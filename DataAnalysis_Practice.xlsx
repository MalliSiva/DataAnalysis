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YMALLESH\Downloads\excelFilesForDataAnalysis-main\excelFilesForDataAnalysis-main\"/>
    </mc:Choice>
  </mc:AlternateContent>
  <xr:revisionPtr revIDLastSave="0" documentId="13_ncr:1_{D77239D6-1BE5-404C-9F4B-8054B7490011}" xr6:coauthVersionLast="47" xr6:coauthVersionMax="47" xr10:uidLastSave="{00000000-0000-0000-0000-000000000000}"/>
  <bookViews>
    <workbookView xWindow="-110" yWindow="-110" windowWidth="19420" windowHeight="10300" firstSheet="1" activeTab="4" xr2:uid="{00000000-000D-0000-FFFF-FFFF00000000}"/>
  </bookViews>
  <sheets>
    <sheet name="2020 Summer Olympics medal tabl" sheetId="2" r:id="rId1"/>
    <sheet name="Staff" sheetId="3" r:id="rId2"/>
    <sheet name="Staff Analysis" sheetId="1" r:id="rId3"/>
    <sheet name="Call Center" sheetId="4" r:id="rId4"/>
    <sheet name="Pivot Table" sheetId="5" r:id="rId5"/>
  </sheets>
  <definedNames>
    <definedName name="ExternalData_1" localSheetId="0" hidden="1">'2020 Summer Olympics medal tabl'!$A$1:$H$94</definedName>
    <definedName name="ExternalData_1" localSheetId="1" hidden="1">Staff!$A$1:$M$266</definedName>
    <definedName name="Slicer_Rating">#N/A</definedName>
    <definedName name="Slicer_Representative">#N/A</definedName>
    <definedName name="Slicer_Representative1">#N/A</definedName>
    <definedName name="Slicer_Representative2">#N/A</definedName>
    <definedName name="Slicer_Representative3">#N/A</definedName>
  </definedNames>
  <calcPr calcId="191029"/>
  <pivotCaches>
    <pivotCache cacheId="4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J2" i="4" a="1"/>
  <c r="J2" i="4" s="1"/>
  <c r="J3" i="4" a="1"/>
  <c r="J3" i="4" s="1"/>
  <c r="J4" i="4" a="1"/>
  <c r="J4" i="4"/>
  <c r="J5" i="4" a="1"/>
  <c r="J5" i="4" s="1"/>
  <c r="J6" i="4" a="1"/>
  <c r="J6" i="4" s="1"/>
  <c r="J7" i="4" a="1"/>
  <c r="J7" i="4" s="1"/>
  <c r="J8" i="4" a="1"/>
  <c r="J8" i="4" s="1"/>
  <c r="J9" i="4" a="1"/>
  <c r="J9" i="4" s="1"/>
  <c r="J10" i="4" a="1"/>
  <c r="J10" i="4" s="1"/>
  <c r="J11" i="4" a="1"/>
  <c r="J11" i="4" s="1"/>
  <c r="J12" i="4" a="1"/>
  <c r="J12" i="4"/>
  <c r="J13" i="4" a="1"/>
  <c r="J13" i="4" s="1"/>
  <c r="J14" i="4" a="1"/>
  <c r="J14" i="4" s="1"/>
  <c r="J15" i="4" a="1"/>
  <c r="J15" i="4" s="1"/>
  <c r="J16" i="4" a="1"/>
  <c r="J16" i="4" s="1"/>
  <c r="J17" i="4" a="1"/>
  <c r="J17" i="4" s="1"/>
  <c r="J18" i="4" a="1"/>
  <c r="J18" i="4" s="1"/>
  <c r="J19" i="4" a="1"/>
  <c r="J19" i="4" s="1"/>
  <c r="J20" i="4" a="1"/>
  <c r="J20" i="4"/>
  <c r="J21" i="4" a="1"/>
  <c r="J21" i="4" s="1"/>
  <c r="J22" i="4" a="1"/>
  <c r="J22" i="4" s="1"/>
  <c r="J23" i="4" a="1"/>
  <c r="J23" i="4" s="1"/>
  <c r="J24" i="4" a="1"/>
  <c r="J24" i="4" s="1"/>
  <c r="J25" i="4" a="1"/>
  <c r="J25" i="4" s="1"/>
  <c r="J26" i="4" a="1"/>
  <c r="J26" i="4" s="1"/>
  <c r="J27" i="4" a="1"/>
  <c r="J27" i="4" s="1"/>
  <c r="J28" i="4" a="1"/>
  <c r="J28" i="4" s="1"/>
  <c r="J29" i="4" a="1"/>
  <c r="J29" i="4" s="1"/>
  <c r="J30" i="4" a="1"/>
  <c r="J30" i="4" s="1"/>
  <c r="J31" i="4" a="1"/>
  <c r="J31" i="4" s="1"/>
  <c r="J32" i="4" a="1"/>
  <c r="J32" i="4" s="1"/>
  <c r="J33" i="4" a="1"/>
  <c r="J33" i="4" s="1"/>
  <c r="J34" i="4" a="1"/>
  <c r="J34" i="4" s="1"/>
  <c r="J35" i="4" a="1"/>
  <c r="J35" i="4" s="1"/>
  <c r="J36" i="4" a="1"/>
  <c r="J36" i="4"/>
  <c r="J37" i="4" a="1"/>
  <c r="J37" i="4" s="1"/>
  <c r="J38" i="4" a="1"/>
  <c r="J38" i="4" s="1"/>
  <c r="J39" i="4" a="1"/>
  <c r="J39" i="4" s="1"/>
  <c r="J40" i="4" a="1"/>
  <c r="J40" i="4" s="1"/>
  <c r="J41" i="4" a="1"/>
  <c r="J41" i="4" s="1"/>
  <c r="J42" i="4" a="1"/>
  <c r="J42" i="4" s="1"/>
  <c r="J43" i="4" a="1"/>
  <c r="J43" i="4" s="1"/>
  <c r="J44" i="4" a="1"/>
  <c r="J44" i="4"/>
  <c r="J45" i="4" a="1"/>
  <c r="J45" i="4" s="1"/>
  <c r="J46" i="4" a="1"/>
  <c r="J46" i="4" s="1"/>
  <c r="J47" i="4" a="1"/>
  <c r="J47" i="4" s="1"/>
  <c r="J48" i="4" a="1"/>
  <c r="J48" i="4" s="1"/>
  <c r="J49" i="4" a="1"/>
  <c r="J49" i="4" s="1"/>
  <c r="J50" i="4" a="1"/>
  <c r="J50" i="4" s="1"/>
  <c r="J51" i="4" a="1"/>
  <c r="J51" i="4" s="1"/>
  <c r="J52" i="4" a="1"/>
  <c r="J52" i="4"/>
  <c r="J53" i="4" a="1"/>
  <c r="J53" i="4" s="1"/>
  <c r="J54" i="4" a="1"/>
  <c r="J54" i="4" s="1"/>
  <c r="J55" i="4" a="1"/>
  <c r="J55" i="4" s="1"/>
  <c r="J56" i="4" a="1"/>
  <c r="J56" i="4" s="1"/>
  <c r="J57" i="4" a="1"/>
  <c r="J57" i="4" s="1"/>
  <c r="J58" i="4" a="1"/>
  <c r="J58" i="4" s="1"/>
  <c r="J59" i="4" a="1"/>
  <c r="J59" i="4" s="1"/>
  <c r="J60" i="4" a="1"/>
  <c r="J60" i="4"/>
  <c r="J61" i="4" a="1"/>
  <c r="J61" i="4" s="1"/>
  <c r="J62" i="4" a="1"/>
  <c r="J62" i="4" s="1"/>
  <c r="J63" i="4" a="1"/>
  <c r="J63" i="4" s="1"/>
  <c r="J64" i="4" a="1"/>
  <c r="J64" i="4" s="1"/>
  <c r="J65" i="4" a="1"/>
  <c r="J65" i="4" s="1"/>
  <c r="J66" i="4" a="1"/>
  <c r="J66" i="4" s="1"/>
  <c r="J67" i="4" a="1"/>
  <c r="J67" i="4" s="1"/>
  <c r="J68" i="4" a="1"/>
  <c r="J68" i="4"/>
  <c r="J69" i="4" a="1"/>
  <c r="J69" i="4" s="1"/>
  <c r="J70" i="4" a="1"/>
  <c r="J70" i="4" s="1"/>
  <c r="J71" i="4" a="1"/>
  <c r="J71" i="4" s="1"/>
  <c r="J72" i="4" a="1"/>
  <c r="J72" i="4" s="1"/>
  <c r="J73" i="4" a="1"/>
  <c r="J73" i="4" s="1"/>
  <c r="J74" i="4" a="1"/>
  <c r="J74" i="4" s="1"/>
  <c r="J75" i="4" a="1"/>
  <c r="J75" i="4" s="1"/>
  <c r="J76" i="4" a="1"/>
  <c r="J76" i="4"/>
  <c r="J77" i="4" a="1"/>
  <c r="J77" i="4" s="1"/>
  <c r="J78" i="4" a="1"/>
  <c r="J78" i="4" s="1"/>
  <c r="J79" i="4" a="1"/>
  <c r="J79" i="4" s="1"/>
  <c r="J80" i="4" a="1"/>
  <c r="J80" i="4" s="1"/>
  <c r="J81" i="4" a="1"/>
  <c r="J81" i="4" s="1"/>
  <c r="J82" i="4" a="1"/>
  <c r="J82" i="4" s="1"/>
  <c r="J83" i="4" a="1"/>
  <c r="J83" i="4" s="1"/>
  <c r="J84" i="4" a="1"/>
  <c r="J84" i="4"/>
  <c r="J85" i="4" a="1"/>
  <c r="J85" i="4" s="1"/>
  <c r="J86" i="4" a="1"/>
  <c r="J86" i="4" s="1"/>
  <c r="J87" i="4" a="1"/>
  <c r="J87" i="4" s="1"/>
  <c r="J88" i="4" a="1"/>
  <c r="J88" i="4" s="1"/>
  <c r="J89" i="4" a="1"/>
  <c r="J89" i="4" s="1"/>
  <c r="J90" i="4" a="1"/>
  <c r="J90" i="4" s="1"/>
  <c r="J91" i="4" a="1"/>
  <c r="J91" i="4" s="1"/>
  <c r="J92" i="4" a="1"/>
  <c r="J92" i="4"/>
  <c r="J93" i="4" a="1"/>
  <c r="J93" i="4" s="1"/>
  <c r="J94" i="4" a="1"/>
  <c r="J94" i="4" s="1"/>
  <c r="J95" i="4" a="1"/>
  <c r="J95" i="4" s="1"/>
  <c r="J96" i="4" a="1"/>
  <c r="J96" i="4" s="1"/>
  <c r="J97" i="4" a="1"/>
  <c r="J97" i="4" s="1"/>
  <c r="J98" i="4" a="1"/>
  <c r="J98" i="4" s="1"/>
  <c r="J99" i="4" a="1"/>
  <c r="J99" i="4" s="1"/>
  <c r="J100" i="4" a="1"/>
  <c r="J100" i="4"/>
  <c r="J101" i="4" a="1"/>
  <c r="J101" i="4" s="1"/>
  <c r="J102" i="4" a="1"/>
  <c r="J102" i="4" s="1"/>
  <c r="J103" i="4" a="1"/>
  <c r="J103" i="4" s="1"/>
  <c r="J104" i="4" a="1"/>
  <c r="J104" i="4" s="1"/>
  <c r="J105" i="4" a="1"/>
  <c r="J105" i="4" s="1"/>
  <c r="J106" i="4" a="1"/>
  <c r="J106" i="4" s="1"/>
  <c r="J107" i="4" a="1"/>
  <c r="J107" i="4" s="1"/>
  <c r="J108" i="4" a="1"/>
  <c r="J108" i="4"/>
  <c r="J109" i="4" a="1"/>
  <c r="J109" i="4" s="1"/>
  <c r="J110" i="4" a="1"/>
  <c r="J110" i="4" s="1"/>
  <c r="J111" i="4" a="1"/>
  <c r="J111" i="4" s="1"/>
  <c r="J112" i="4" a="1"/>
  <c r="J112" i="4" s="1"/>
  <c r="J113" i="4" a="1"/>
  <c r="J113" i="4" s="1"/>
  <c r="J114" i="4" a="1"/>
  <c r="J114" i="4" s="1"/>
  <c r="J115" i="4" a="1"/>
  <c r="J115" i="4" s="1"/>
  <c r="J116" i="4" a="1"/>
  <c r="J116" i="4"/>
  <c r="J117" i="4" a="1"/>
  <c r="J117" i="4" s="1"/>
  <c r="J118" i="4" a="1"/>
  <c r="J118" i="4" s="1"/>
  <c r="J119" i="4" a="1"/>
  <c r="J119" i="4" s="1"/>
  <c r="J120" i="4" a="1"/>
  <c r="J120" i="4" s="1"/>
  <c r="J121" i="4" a="1"/>
  <c r="J121" i="4" s="1"/>
  <c r="J122" i="4" a="1"/>
  <c r="J122" i="4" s="1"/>
  <c r="J123" i="4" a="1"/>
  <c r="J123" i="4" s="1"/>
  <c r="J124" i="4" a="1"/>
  <c r="J124" i="4"/>
  <c r="J125" i="4" a="1"/>
  <c r="J125" i="4" s="1"/>
  <c r="J126" i="4" a="1"/>
  <c r="J126" i="4" s="1"/>
  <c r="J127" i="4" a="1"/>
  <c r="J127" i="4" s="1"/>
  <c r="J128" i="4" a="1"/>
  <c r="J128" i="4" s="1"/>
  <c r="J129" i="4" a="1"/>
  <c r="J129" i="4" s="1"/>
  <c r="J130" i="4" a="1"/>
  <c r="J130" i="4" s="1"/>
  <c r="J131" i="4" a="1"/>
  <c r="J131" i="4" s="1"/>
  <c r="J132" i="4" a="1"/>
  <c r="J132" i="4" s="1"/>
  <c r="J133" i="4" a="1"/>
  <c r="J133" i="4" s="1"/>
  <c r="J134" i="4" a="1"/>
  <c r="J134" i="4" s="1"/>
  <c r="J135" i="4" a="1"/>
  <c r="J135" i="4" s="1"/>
  <c r="J136" i="4" a="1"/>
  <c r="J136" i="4" s="1"/>
  <c r="J137" i="4" a="1"/>
  <c r="J137" i="4" s="1"/>
  <c r="J138" i="4" a="1"/>
  <c r="J138" i="4" s="1"/>
  <c r="J139" i="4" a="1"/>
  <c r="J139" i="4" s="1"/>
  <c r="J140" i="4" a="1"/>
  <c r="J140" i="4"/>
  <c r="J141" i="4" a="1"/>
  <c r="J141" i="4" s="1"/>
  <c r="J142" i="4" a="1"/>
  <c r="J142" i="4" s="1"/>
  <c r="J143" i="4" a="1"/>
  <c r="J143" i="4" s="1"/>
  <c r="J144" i="4" a="1"/>
  <c r="J144" i="4" s="1"/>
  <c r="J145" i="4" a="1"/>
  <c r="J145" i="4" s="1"/>
  <c r="J146" i="4" a="1"/>
  <c r="J146" i="4" s="1"/>
  <c r="J147" i="4" a="1"/>
  <c r="J147" i="4" s="1"/>
  <c r="J148" i="4" a="1"/>
  <c r="J148" i="4"/>
  <c r="J149" i="4" a="1"/>
  <c r="J149" i="4" s="1"/>
  <c r="J150" i="4" a="1"/>
  <c r="J150" i="4" s="1"/>
  <c r="J151" i="4" a="1"/>
  <c r="J151" i="4" s="1"/>
  <c r="J152" i="4" a="1"/>
  <c r="J152" i="4" s="1"/>
  <c r="J153" i="4" a="1"/>
  <c r="J153" i="4" s="1"/>
  <c r="J154" i="4" a="1"/>
  <c r="J154" i="4" s="1"/>
  <c r="J155" i="4" a="1"/>
  <c r="J155" i="4" s="1"/>
  <c r="J156" i="4" a="1"/>
  <c r="J156" i="4"/>
  <c r="J157" i="4" a="1"/>
  <c r="J157" i="4" s="1"/>
  <c r="J158" i="4" a="1"/>
  <c r="J158" i="4" s="1"/>
  <c r="J159" i="4" a="1"/>
  <c r="J159" i="4" s="1"/>
  <c r="J160" i="4" a="1"/>
  <c r="J160" i="4" s="1"/>
  <c r="J161" i="4" a="1"/>
  <c r="J161" i="4" s="1"/>
  <c r="J162" i="4" a="1"/>
  <c r="J162" i="4" s="1"/>
  <c r="J163" i="4" a="1"/>
  <c r="J163" i="4" s="1"/>
  <c r="J164" i="4" a="1"/>
  <c r="J164" i="4"/>
  <c r="J165" i="4" a="1"/>
  <c r="J165" i="4" s="1"/>
  <c r="J166" i="4" a="1"/>
  <c r="J166" i="4" s="1"/>
  <c r="J167" i="4" a="1"/>
  <c r="J167" i="4" s="1"/>
  <c r="J168" i="4" a="1"/>
  <c r="J168" i="4" s="1"/>
  <c r="J169" i="4" a="1"/>
  <c r="J169" i="4" s="1"/>
  <c r="J170" i="4" a="1"/>
  <c r="J170" i="4" s="1"/>
  <c r="J171" i="4" a="1"/>
  <c r="J171" i="4" s="1"/>
  <c r="J172" i="4" a="1"/>
  <c r="J172" i="4"/>
  <c r="J173" i="4" a="1"/>
  <c r="J173" i="4" s="1"/>
  <c r="J174" i="4" a="1"/>
  <c r="J174" i="4" s="1"/>
  <c r="J175" i="4" a="1"/>
  <c r="J175" i="4" s="1"/>
  <c r="J176" i="4" a="1"/>
  <c r="J176" i="4"/>
  <c r="J177" i="4" a="1"/>
  <c r="J177" i="4" s="1"/>
  <c r="J178" i="4" a="1"/>
  <c r="J178" i="4" s="1"/>
  <c r="J179" i="4" a="1"/>
  <c r="J179" i="4" s="1"/>
  <c r="J180" i="4" a="1"/>
  <c r="J180" i="4"/>
  <c r="J181" i="4" a="1"/>
  <c r="J181" i="4" s="1"/>
  <c r="J182" i="4" a="1"/>
  <c r="J182" i="4" s="1"/>
  <c r="J183" i="4" a="1"/>
  <c r="J183" i="4" s="1"/>
  <c r="J184" i="4" a="1"/>
  <c r="J184" i="4" s="1"/>
  <c r="J185" i="4" a="1"/>
  <c r="J185" i="4" s="1"/>
  <c r="J186" i="4" a="1"/>
  <c r="J186" i="4" s="1"/>
  <c r="J187" i="4" a="1"/>
  <c r="J187" i="4" s="1"/>
  <c r="J188" i="4" a="1"/>
  <c r="J188" i="4"/>
  <c r="J189" i="4" a="1"/>
  <c r="J189" i="4" s="1"/>
  <c r="J190" i="4" a="1"/>
  <c r="J190" i="4" s="1"/>
  <c r="J191" i="4" a="1"/>
  <c r="J191" i="4" s="1"/>
  <c r="J192" i="4" a="1"/>
  <c r="J192" i="4" s="1"/>
  <c r="J193" i="4" a="1"/>
  <c r="J193" i="4" s="1"/>
  <c r="J194" i="4" a="1"/>
  <c r="J194" i="4" s="1"/>
  <c r="J195" i="4" a="1"/>
  <c r="J195" i="4" s="1"/>
  <c r="J196" i="4" a="1"/>
  <c r="J196" i="4" s="1"/>
  <c r="J197" i="4" a="1"/>
  <c r="J197" i="4" s="1"/>
  <c r="J198" i="4" a="1"/>
  <c r="J198" i="4" s="1"/>
  <c r="J199" i="4" a="1"/>
  <c r="J199" i="4" s="1"/>
  <c r="J200" i="4" a="1"/>
  <c r="J200" i="4" s="1"/>
  <c r="J201" i="4" a="1"/>
  <c r="J201" i="4" s="1"/>
  <c r="J202" i="4" a="1"/>
  <c r="J202" i="4" s="1"/>
  <c r="J203" i="4" a="1"/>
  <c r="J203" i="4" s="1"/>
  <c r="J204" i="4" a="1"/>
  <c r="J204" i="4"/>
  <c r="J205" i="4" a="1"/>
  <c r="J205" i="4" s="1"/>
  <c r="J206" i="4" a="1"/>
  <c r="J206" i="4" s="1"/>
  <c r="J207" i="4" a="1"/>
  <c r="J207" i="4" s="1"/>
  <c r="J208" i="4" a="1"/>
  <c r="J208" i="4"/>
  <c r="J209" i="4" a="1"/>
  <c r="J209" i="4" s="1"/>
  <c r="J210" i="4" a="1"/>
  <c r="J210" i="4" s="1"/>
  <c r="J211" i="4" a="1"/>
  <c r="J211" i="4" s="1"/>
  <c r="J212" i="4" a="1"/>
  <c r="J212" i="4"/>
  <c r="J213" i="4" a="1"/>
  <c r="J213" i="4" s="1"/>
  <c r="J214" i="4" a="1"/>
  <c r="J214" i="4" s="1"/>
  <c r="J215" i="4" a="1"/>
  <c r="J215" i="4" s="1"/>
  <c r="J216" i="4" a="1"/>
  <c r="J216" i="4" s="1"/>
  <c r="J217" i="4" a="1"/>
  <c r="J217" i="4" s="1"/>
  <c r="J218" i="4" a="1"/>
  <c r="J218" i="4" s="1"/>
  <c r="J219" i="4" a="1"/>
  <c r="J219" i="4" s="1"/>
  <c r="J220" i="4" a="1"/>
  <c r="J220" i="4"/>
  <c r="J221" i="4" a="1"/>
  <c r="J221" i="4" s="1"/>
  <c r="J222" i="4" a="1"/>
  <c r="J222" i="4" s="1"/>
  <c r="J223" i="4" a="1"/>
  <c r="J223" i="4" s="1"/>
  <c r="J224" i="4" a="1"/>
  <c r="J224" i="4" s="1"/>
  <c r="J225" i="4" a="1"/>
  <c r="J225" i="4" s="1"/>
  <c r="J226" i="4" a="1"/>
  <c r="J226" i="4" s="1"/>
  <c r="J227" i="4" a="1"/>
  <c r="J227" i="4" s="1"/>
  <c r="J228" i="4" a="1"/>
  <c r="J228" i="4" s="1"/>
  <c r="J229" i="4" a="1"/>
  <c r="J229" i="4" s="1"/>
  <c r="J230" i="4" a="1"/>
  <c r="J230" i="4" s="1"/>
  <c r="J231" i="4" a="1"/>
  <c r="J231" i="4" s="1"/>
  <c r="J232" i="4" a="1"/>
  <c r="J232" i="4" s="1"/>
  <c r="J233" i="4" a="1"/>
  <c r="J233" i="4" s="1"/>
  <c r="J234" i="4" a="1"/>
  <c r="J234" i="4" s="1"/>
  <c r="J235" i="4" a="1"/>
  <c r="J235" i="4" s="1"/>
  <c r="J236" i="4" a="1"/>
  <c r="J236" i="4"/>
  <c r="J237" i="4" a="1"/>
  <c r="J237" i="4" s="1"/>
  <c r="J238" i="4" a="1"/>
  <c r="J238" i="4" s="1"/>
  <c r="J239" i="4" a="1"/>
  <c r="J239" i="4" s="1"/>
  <c r="J240" i="4" a="1"/>
  <c r="J240" i="4"/>
  <c r="J241" i="4" a="1"/>
  <c r="J241" i="4" s="1"/>
  <c r="J242" i="4" a="1"/>
  <c r="J242" i="4" s="1"/>
  <c r="J243" i="4" a="1"/>
  <c r="J243" i="4" s="1"/>
  <c r="J244" i="4" a="1"/>
  <c r="J244" i="4"/>
  <c r="J245" i="4" a="1"/>
  <c r="J245" i="4" s="1"/>
  <c r="J246" i="4" a="1"/>
  <c r="J246" i="4" s="1"/>
  <c r="J247" i="4" a="1"/>
  <c r="J247" i="4" s="1"/>
  <c r="J248" i="4" a="1"/>
  <c r="J248" i="4" s="1"/>
  <c r="J249" i="4" a="1"/>
  <c r="J249" i="4" s="1"/>
  <c r="J250" i="4" a="1"/>
  <c r="J250" i="4" s="1"/>
  <c r="J251" i="4" a="1"/>
  <c r="J251" i="4" s="1"/>
  <c r="J252" i="4" a="1"/>
  <c r="J252" i="4"/>
  <c r="J253" i="4" a="1"/>
  <c r="J253" i="4" s="1"/>
  <c r="J254" i="4" a="1"/>
  <c r="J254" i="4" s="1"/>
  <c r="J255" i="4" a="1"/>
  <c r="J255" i="4" s="1"/>
  <c r="J256" i="4" a="1"/>
  <c r="J256" i="4" s="1"/>
  <c r="J257" i="4" a="1"/>
  <c r="J257" i="4" s="1"/>
  <c r="J258" i="4" a="1"/>
  <c r="J258" i="4" s="1"/>
  <c r="J259" i="4" a="1"/>
  <c r="J259" i="4" s="1"/>
  <c r="J260" i="4" a="1"/>
  <c r="J260" i="4" s="1"/>
  <c r="J261" i="4" a="1"/>
  <c r="J261" i="4" s="1"/>
  <c r="J262" i="4" a="1"/>
  <c r="J262" i="4" s="1"/>
  <c r="J263" i="4" a="1"/>
  <c r="J263" i="4" s="1"/>
  <c r="J264" i="4" a="1"/>
  <c r="J264" i="4" s="1"/>
  <c r="J265" i="4" a="1"/>
  <c r="J265" i="4" s="1"/>
  <c r="J266" i="4" a="1"/>
  <c r="J266" i="4" s="1"/>
  <c r="J267" i="4" a="1"/>
  <c r="J267" i="4" s="1"/>
  <c r="J268" i="4" a="1"/>
  <c r="J268" i="4"/>
  <c r="J269" i="4" a="1"/>
  <c r="J269" i="4" s="1"/>
  <c r="J270" i="4" a="1"/>
  <c r="J270" i="4" s="1"/>
  <c r="J271" i="4" a="1"/>
  <c r="J271" i="4" s="1"/>
  <c r="J272" i="4" a="1"/>
  <c r="J272" i="4"/>
  <c r="J273" i="4" a="1"/>
  <c r="J273" i="4" s="1"/>
  <c r="J274" i="4" a="1"/>
  <c r="J274" i="4" s="1"/>
  <c r="J275" i="4" a="1"/>
  <c r="J275" i="4" s="1"/>
  <c r="J276" i="4" a="1"/>
  <c r="J276" i="4"/>
  <c r="J277" i="4" a="1"/>
  <c r="J277" i="4" s="1"/>
  <c r="J278" i="4" a="1"/>
  <c r="J278" i="4" s="1"/>
  <c r="J279" i="4" a="1"/>
  <c r="J279" i="4" s="1"/>
  <c r="J280" i="4" a="1"/>
  <c r="J280" i="4" s="1"/>
  <c r="J281" i="4" a="1"/>
  <c r="J281" i="4" s="1"/>
  <c r="J282" i="4" a="1"/>
  <c r="J282" i="4" s="1"/>
  <c r="J283" i="4" a="1"/>
  <c r="J283" i="4" s="1"/>
  <c r="J284" i="4" a="1"/>
  <c r="J284" i="4"/>
  <c r="J285" i="4" a="1"/>
  <c r="J285" i="4" s="1"/>
  <c r="J286" i="4" a="1"/>
  <c r="J286" i="4" s="1"/>
  <c r="J287" i="4" a="1"/>
  <c r="J287" i="4" s="1"/>
  <c r="J288" i="4" a="1"/>
  <c r="J288" i="4" s="1"/>
  <c r="J289" i="4" a="1"/>
  <c r="J289" i="4" s="1"/>
  <c r="J290" i="4" a="1"/>
  <c r="J290" i="4" s="1"/>
  <c r="J291" i="4" a="1"/>
  <c r="J291" i="4" s="1"/>
  <c r="J292" i="4" a="1"/>
  <c r="J292" i="4" s="1"/>
  <c r="J293" i="4" a="1"/>
  <c r="J293" i="4" s="1"/>
  <c r="J294" i="4" a="1"/>
  <c r="J294" i="4" s="1"/>
  <c r="J295" i="4" a="1"/>
  <c r="J295" i="4" s="1"/>
  <c r="J296" i="4" a="1"/>
  <c r="J296" i="4" s="1"/>
  <c r="J297" i="4" a="1"/>
  <c r="J297" i="4" s="1"/>
  <c r="J298" i="4" a="1"/>
  <c r="J298" i="4" s="1"/>
  <c r="J299" i="4" a="1"/>
  <c r="J299" i="4" s="1"/>
  <c r="J300" i="4" a="1"/>
  <c r="J300" i="4"/>
  <c r="J301" i="4" a="1"/>
  <c r="J301" i="4" s="1"/>
  <c r="J302" i="4" a="1"/>
  <c r="J302" i="4" s="1"/>
  <c r="J303" i="4" a="1"/>
  <c r="J303" i="4" s="1"/>
  <c r="J304" i="4" a="1"/>
  <c r="J304" i="4"/>
  <c r="J305" i="4" a="1"/>
  <c r="J305" i="4" s="1"/>
  <c r="J306" i="4" a="1"/>
  <c r="J306" i="4" s="1"/>
  <c r="J307" i="4" a="1"/>
  <c r="J307" i="4" s="1"/>
  <c r="J308" i="4" a="1"/>
  <c r="J308" i="4"/>
  <c r="J309" i="4" a="1"/>
  <c r="J309" i="4" s="1"/>
  <c r="J310" i="4" a="1"/>
  <c r="J310" i="4" s="1"/>
  <c r="J311" i="4" a="1"/>
  <c r="J311" i="4" s="1"/>
  <c r="J312" i="4" a="1"/>
  <c r="J312" i="4" s="1"/>
  <c r="J313" i="4" a="1"/>
  <c r="J313" i="4" s="1"/>
  <c r="J314" i="4" a="1"/>
  <c r="J314" i="4" s="1"/>
  <c r="J315" i="4" a="1"/>
  <c r="J315" i="4" s="1"/>
  <c r="J316" i="4" a="1"/>
  <c r="J316" i="4"/>
  <c r="J317" i="4" a="1"/>
  <c r="J317" i="4" s="1"/>
  <c r="J318" i="4" a="1"/>
  <c r="J318" i="4" s="1"/>
  <c r="J319" i="4" a="1"/>
  <c r="J319" i="4" s="1"/>
  <c r="J320" i="4" a="1"/>
  <c r="J320" i="4" s="1"/>
  <c r="J321" i="4" a="1"/>
  <c r="J321" i="4" s="1"/>
  <c r="J322" i="4" a="1"/>
  <c r="J322" i="4" s="1"/>
  <c r="J323" i="4" a="1"/>
  <c r="J323" i="4" s="1"/>
  <c r="J324" i="4" a="1"/>
  <c r="J324" i="4" s="1"/>
  <c r="J325" i="4" a="1"/>
  <c r="J325" i="4" s="1"/>
  <c r="J326" i="4" a="1"/>
  <c r="J326" i="4" s="1"/>
  <c r="J327" i="4" a="1"/>
  <c r="J327" i="4" s="1"/>
  <c r="J328" i="4" a="1"/>
  <c r="J328" i="4" s="1"/>
  <c r="J329" i="4" a="1"/>
  <c r="J329" i="4" s="1"/>
  <c r="J330" i="4" a="1"/>
  <c r="J330" i="4" s="1"/>
  <c r="J331" i="4" a="1"/>
  <c r="J331" i="4" s="1"/>
  <c r="J332" i="4" a="1"/>
  <c r="J332" i="4"/>
  <c r="J333" i="4" a="1"/>
  <c r="J333" i="4" s="1"/>
  <c r="J334" i="4" a="1"/>
  <c r="J334" i="4" s="1"/>
  <c r="J335" i="4" a="1"/>
  <c r="J335" i="4" s="1"/>
  <c r="J336" i="4" a="1"/>
  <c r="J336" i="4" s="1"/>
  <c r="J337" i="4" a="1"/>
  <c r="J337" i="4" s="1"/>
  <c r="J338" i="4" a="1"/>
  <c r="J338" i="4" s="1"/>
  <c r="J339" i="4" a="1"/>
  <c r="J339" i="4" s="1"/>
  <c r="J340" i="4" a="1"/>
  <c r="J340" i="4"/>
  <c r="J341" i="4" a="1"/>
  <c r="J341" i="4" s="1"/>
  <c r="J342" i="4" a="1"/>
  <c r="J342" i="4" s="1"/>
  <c r="J343" i="4" a="1"/>
  <c r="J343" i="4" s="1"/>
  <c r="J344" i="4" a="1"/>
  <c r="J344" i="4" s="1"/>
  <c r="J345" i="4" a="1"/>
  <c r="J345" i="4" s="1"/>
  <c r="J346" i="4" a="1"/>
  <c r="J346" i="4" s="1"/>
  <c r="J347" i="4" a="1"/>
  <c r="J347" i="4" s="1"/>
  <c r="J348" i="4" a="1"/>
  <c r="J348" i="4" s="1"/>
  <c r="J349" i="4" a="1"/>
  <c r="J349" i="4" s="1"/>
  <c r="J350" i="4" a="1"/>
  <c r="J350" i="4" s="1"/>
  <c r="J351" i="4" a="1"/>
  <c r="J351" i="4" s="1"/>
  <c r="J352" i="4" a="1"/>
  <c r="J352" i="4" s="1"/>
  <c r="J353" i="4" a="1"/>
  <c r="J353" i="4" s="1"/>
  <c r="J354" i="4" a="1"/>
  <c r="J354" i="4" s="1"/>
  <c r="J355" i="4" a="1"/>
  <c r="J355" i="4" s="1"/>
  <c r="J356" i="4" a="1"/>
  <c r="J356" i="4" s="1"/>
  <c r="J357" i="4" a="1"/>
  <c r="J357" i="4" s="1"/>
  <c r="J358" i="4" a="1"/>
  <c r="J358" i="4" s="1"/>
  <c r="J359" i="4" a="1"/>
  <c r="J359" i="4" s="1"/>
  <c r="J360" i="4" a="1"/>
  <c r="J360" i="4" s="1"/>
  <c r="J361" i="4" a="1"/>
  <c r="J361" i="4" s="1"/>
  <c r="J362" i="4" a="1"/>
  <c r="J362" i="4" s="1"/>
  <c r="J363" i="4" a="1"/>
  <c r="J363" i="4" s="1"/>
  <c r="J364" i="4" a="1"/>
  <c r="J364" i="4" s="1"/>
  <c r="J365" i="4" a="1"/>
  <c r="J365" i="4" s="1"/>
  <c r="J366" i="4" a="1"/>
  <c r="J366" i="4" s="1"/>
  <c r="J367" i="4" a="1"/>
  <c r="J367" i="4" s="1"/>
  <c r="J368" i="4" a="1"/>
  <c r="J368" i="4" s="1"/>
  <c r="J369" i="4" a="1"/>
  <c r="J369" i="4" s="1"/>
  <c r="J370" i="4" a="1"/>
  <c r="J370" i="4" s="1"/>
  <c r="J371" i="4" a="1"/>
  <c r="J371" i="4" s="1"/>
  <c r="J372" i="4" a="1"/>
  <c r="J372" i="4" s="1"/>
  <c r="J373" i="4" a="1"/>
  <c r="J373" i="4" s="1"/>
  <c r="J374" i="4" a="1"/>
  <c r="J374" i="4" s="1"/>
  <c r="J375" i="4" a="1"/>
  <c r="J375" i="4" s="1"/>
  <c r="J376" i="4" a="1"/>
  <c r="J376" i="4" s="1"/>
  <c r="J377" i="4" a="1"/>
  <c r="J377" i="4" s="1"/>
  <c r="J378" i="4" a="1"/>
  <c r="J378" i="4" s="1"/>
  <c r="J379" i="4" a="1"/>
  <c r="J379" i="4" s="1"/>
  <c r="J380" i="4" a="1"/>
  <c r="J380" i="4" s="1"/>
  <c r="J381" i="4" a="1"/>
  <c r="J381" i="4" s="1"/>
  <c r="J382" i="4" a="1"/>
  <c r="J382" i="4" s="1"/>
  <c r="J383" i="4" a="1"/>
  <c r="J383" i="4" s="1"/>
  <c r="J384" i="4" a="1"/>
  <c r="J384" i="4" s="1"/>
  <c r="J385" i="4" a="1"/>
  <c r="J385" i="4" s="1"/>
  <c r="J386" i="4" a="1"/>
  <c r="J386" i="4" s="1"/>
  <c r="J387" i="4" a="1"/>
  <c r="J387" i="4" s="1"/>
  <c r="J388" i="4" a="1"/>
  <c r="J388" i="4" s="1"/>
  <c r="J389" i="4" a="1"/>
  <c r="J389" i="4" s="1"/>
  <c r="J390" i="4" a="1"/>
  <c r="J390" i="4" s="1"/>
  <c r="J391" i="4" a="1"/>
  <c r="J391" i="4" s="1"/>
  <c r="J392" i="4" a="1"/>
  <c r="J392" i="4" s="1"/>
  <c r="J393" i="4" a="1"/>
  <c r="J393" i="4" s="1"/>
  <c r="J394" i="4" a="1"/>
  <c r="J394" i="4" s="1"/>
  <c r="J395" i="4" a="1"/>
  <c r="J395" i="4" s="1"/>
  <c r="J396" i="4" a="1"/>
  <c r="J396" i="4" s="1"/>
  <c r="J397" i="4" a="1"/>
  <c r="J397" i="4" s="1"/>
  <c r="J398" i="4" a="1"/>
  <c r="J398" i="4" s="1"/>
  <c r="J399" i="4" a="1"/>
  <c r="J399" i="4" s="1"/>
  <c r="J400" i="4" a="1"/>
  <c r="J400" i="4" s="1"/>
  <c r="J401" i="4" a="1"/>
  <c r="J401" i="4" s="1"/>
  <c r="J402" i="4" a="1"/>
  <c r="J402" i="4" s="1"/>
  <c r="J403" i="4" a="1"/>
  <c r="J403" i="4" s="1"/>
  <c r="J404" i="4" a="1"/>
  <c r="J404" i="4" s="1"/>
  <c r="J405" i="4" a="1"/>
  <c r="J405" i="4" s="1"/>
  <c r="J406" i="4" a="1"/>
  <c r="J406" i="4" s="1"/>
  <c r="J407" i="4" a="1"/>
  <c r="J407" i="4" s="1"/>
  <c r="J408" i="4" a="1"/>
  <c r="J408" i="4" s="1"/>
  <c r="J409" i="4" a="1"/>
  <c r="J409" i="4" s="1"/>
  <c r="J410" i="4" a="1"/>
  <c r="J410" i="4" s="1"/>
  <c r="J411" i="4" a="1"/>
  <c r="J411" i="4" s="1"/>
  <c r="J412" i="4" a="1"/>
  <c r="J412" i="4" s="1"/>
  <c r="J413" i="4" a="1"/>
  <c r="J413" i="4" s="1"/>
  <c r="J414" i="4" a="1"/>
  <c r="J414" i="4" s="1"/>
  <c r="J415" i="4" a="1"/>
  <c r="J415" i="4" s="1"/>
  <c r="J416" i="4" a="1"/>
  <c r="J416" i="4" s="1"/>
  <c r="J417" i="4" a="1"/>
  <c r="J417" i="4" s="1"/>
  <c r="J418" i="4" a="1"/>
  <c r="J418" i="4" s="1"/>
  <c r="J419" i="4" a="1"/>
  <c r="J419" i="4" s="1"/>
  <c r="J420" i="4" a="1"/>
  <c r="J420" i="4" s="1"/>
  <c r="J421" i="4" a="1"/>
  <c r="J421" i="4" s="1"/>
  <c r="J422" i="4" a="1"/>
  <c r="J422" i="4" s="1"/>
  <c r="J423" i="4" a="1"/>
  <c r="J423" i="4" s="1"/>
  <c r="J424" i="4" a="1"/>
  <c r="J424" i="4" s="1"/>
  <c r="J425" i="4" a="1"/>
  <c r="J425" i="4" s="1"/>
  <c r="J426" i="4" a="1"/>
  <c r="J426" i="4" s="1"/>
  <c r="J427" i="4" a="1"/>
  <c r="J427" i="4" s="1"/>
  <c r="J428" i="4" a="1"/>
  <c r="J428" i="4" s="1"/>
  <c r="J429" i="4" a="1"/>
  <c r="J429" i="4" s="1"/>
  <c r="J430" i="4" a="1"/>
  <c r="J430" i="4" s="1"/>
  <c r="J431" i="4" a="1"/>
  <c r="J431" i="4" s="1"/>
  <c r="J432" i="4" a="1"/>
  <c r="J432" i="4" s="1"/>
  <c r="J433" i="4" a="1"/>
  <c r="J433" i="4" s="1"/>
  <c r="J434" i="4" a="1"/>
  <c r="J434" i="4" s="1"/>
  <c r="J435" i="4" a="1"/>
  <c r="J435" i="4" s="1"/>
  <c r="J436" i="4" a="1"/>
  <c r="J436" i="4" s="1"/>
  <c r="J437" i="4" a="1"/>
  <c r="J437" i="4" s="1"/>
  <c r="J438" i="4" a="1"/>
  <c r="J438" i="4" s="1"/>
  <c r="J439" i="4" a="1"/>
  <c r="J439" i="4" s="1"/>
  <c r="J440" i="4" a="1"/>
  <c r="J440" i="4" s="1"/>
  <c r="J441" i="4" a="1"/>
  <c r="J441" i="4" s="1"/>
  <c r="J442" i="4" a="1"/>
  <c r="J442" i="4" s="1"/>
  <c r="J443" i="4" a="1"/>
  <c r="J443" i="4" s="1"/>
  <c r="J444" i="4" a="1"/>
  <c r="J444" i="4" s="1"/>
  <c r="J445" i="4" a="1"/>
  <c r="J445" i="4" s="1"/>
  <c r="J446" i="4" a="1"/>
  <c r="J446" i="4" s="1"/>
  <c r="J447" i="4" a="1"/>
  <c r="J447" i="4" s="1"/>
  <c r="J448" i="4" a="1"/>
  <c r="J448" i="4" s="1"/>
  <c r="J449" i="4" a="1"/>
  <c r="J449" i="4" s="1"/>
  <c r="J450" i="4" a="1"/>
  <c r="J450" i="4" s="1"/>
  <c r="J451" i="4" a="1"/>
  <c r="J451" i="4" s="1"/>
  <c r="J452" i="4" a="1"/>
  <c r="J452" i="4" s="1"/>
  <c r="J453" i="4" a="1"/>
  <c r="J453" i="4" s="1"/>
  <c r="J454" i="4" a="1"/>
  <c r="J454" i="4" s="1"/>
  <c r="J455" i="4" a="1"/>
  <c r="J455" i="4" s="1"/>
  <c r="J456" i="4" a="1"/>
  <c r="J456" i="4" s="1"/>
  <c r="J457" i="4" a="1"/>
  <c r="J457" i="4" s="1"/>
  <c r="J458" i="4" a="1"/>
  <c r="J458" i="4" s="1"/>
  <c r="J459" i="4" a="1"/>
  <c r="J459" i="4" s="1"/>
  <c r="J460" i="4" a="1"/>
  <c r="J460" i="4" s="1"/>
  <c r="J461" i="4" a="1"/>
  <c r="J461" i="4" s="1"/>
  <c r="J462" i="4" a="1"/>
  <c r="J462" i="4" s="1"/>
  <c r="J463" i="4" a="1"/>
  <c r="J463" i="4" s="1"/>
  <c r="J464" i="4" a="1"/>
  <c r="J464" i="4" s="1"/>
  <c r="J465" i="4" a="1"/>
  <c r="J465" i="4" s="1"/>
  <c r="J466" i="4" a="1"/>
  <c r="J466" i="4" s="1"/>
  <c r="J467" i="4" a="1"/>
  <c r="J467" i="4" s="1"/>
  <c r="J468" i="4" a="1"/>
  <c r="J468" i="4" s="1"/>
  <c r="J469" i="4" a="1"/>
  <c r="J469" i="4" s="1"/>
  <c r="J470" i="4" a="1"/>
  <c r="J470" i="4" s="1"/>
  <c r="J471" i="4" a="1"/>
  <c r="J471" i="4" s="1"/>
  <c r="J472" i="4" a="1"/>
  <c r="J472" i="4" s="1"/>
  <c r="J473" i="4" a="1"/>
  <c r="J473" i="4" s="1"/>
  <c r="J474" i="4" a="1"/>
  <c r="J474" i="4" s="1"/>
  <c r="J475" i="4" a="1"/>
  <c r="J475" i="4" s="1"/>
  <c r="J476" i="4" a="1"/>
  <c r="J476" i="4" s="1"/>
  <c r="J477" i="4" a="1"/>
  <c r="J477" i="4" s="1"/>
  <c r="J478" i="4" a="1"/>
  <c r="J478" i="4" s="1"/>
  <c r="J479" i="4" a="1"/>
  <c r="J479" i="4" s="1"/>
  <c r="J480" i="4" a="1"/>
  <c r="J480" i="4" s="1"/>
  <c r="J481" i="4" a="1"/>
  <c r="J481" i="4" s="1"/>
  <c r="J482" i="4" a="1"/>
  <c r="J482" i="4" s="1"/>
  <c r="J483" i="4" a="1"/>
  <c r="J483" i="4" s="1"/>
  <c r="J484" i="4" a="1"/>
  <c r="J484" i="4" s="1"/>
  <c r="J485" i="4" a="1"/>
  <c r="J485" i="4" s="1"/>
  <c r="J486" i="4" a="1"/>
  <c r="J486" i="4" s="1"/>
  <c r="J487" i="4" a="1"/>
  <c r="J487" i="4" s="1"/>
  <c r="J488" i="4" a="1"/>
  <c r="J488" i="4" s="1"/>
  <c r="J489" i="4" a="1"/>
  <c r="J489" i="4" s="1"/>
  <c r="J490" i="4" a="1"/>
  <c r="J490" i="4" s="1"/>
  <c r="J491" i="4" a="1"/>
  <c r="J491" i="4" s="1"/>
  <c r="J492" i="4" a="1"/>
  <c r="J492" i="4" s="1"/>
  <c r="J493" i="4" a="1"/>
  <c r="J493" i="4" s="1"/>
  <c r="J494" i="4" a="1"/>
  <c r="J494" i="4" s="1"/>
  <c r="J495" i="4" a="1"/>
  <c r="J495" i="4" s="1"/>
  <c r="J496" i="4" a="1"/>
  <c r="J496" i="4" s="1"/>
  <c r="J497" i="4" a="1"/>
  <c r="J497" i="4" s="1"/>
  <c r="J498" i="4" a="1"/>
  <c r="J498" i="4" s="1"/>
  <c r="J499" i="4" a="1"/>
  <c r="J499" i="4" s="1"/>
  <c r="J500" i="4" a="1"/>
  <c r="J500" i="4" s="1"/>
  <c r="J501" i="4" a="1"/>
  <c r="J501" i="4" s="1"/>
  <c r="J502" i="4" a="1"/>
  <c r="J502" i="4" s="1"/>
  <c r="J503" i="4" a="1"/>
  <c r="J503" i="4" s="1"/>
  <c r="J504" i="4" a="1"/>
  <c r="J504" i="4" s="1"/>
  <c r="J505" i="4" a="1"/>
  <c r="J505" i="4" s="1"/>
  <c r="J506" i="4" a="1"/>
  <c r="J506" i="4" s="1"/>
  <c r="J507" i="4" a="1"/>
  <c r="J507" i="4" s="1"/>
  <c r="J508" i="4" a="1"/>
  <c r="J508" i="4" s="1"/>
  <c r="J509" i="4" a="1"/>
  <c r="J509" i="4" s="1"/>
  <c r="J510" i="4" a="1"/>
  <c r="J510" i="4" s="1"/>
  <c r="J511" i="4" a="1"/>
  <c r="J511" i="4" s="1"/>
  <c r="J512" i="4" a="1"/>
  <c r="J512" i="4" s="1"/>
  <c r="J513" i="4" a="1"/>
  <c r="J513" i="4" s="1"/>
  <c r="J514" i="4" a="1"/>
  <c r="J514" i="4" s="1"/>
  <c r="J515" i="4" a="1"/>
  <c r="J515" i="4" s="1"/>
  <c r="J516" i="4" a="1"/>
  <c r="J516" i="4" s="1"/>
  <c r="J517" i="4" a="1"/>
  <c r="J517" i="4" s="1"/>
  <c r="J518" i="4" a="1"/>
  <c r="J518" i="4" s="1"/>
  <c r="J519" i="4" a="1"/>
  <c r="J519" i="4" s="1"/>
  <c r="J520" i="4" a="1"/>
  <c r="J520" i="4" s="1"/>
  <c r="J521" i="4" a="1"/>
  <c r="J521" i="4" s="1"/>
  <c r="J522" i="4" a="1"/>
  <c r="J522" i="4" s="1"/>
  <c r="J523" i="4" a="1"/>
  <c r="J523" i="4" s="1"/>
  <c r="J524" i="4" a="1"/>
  <c r="J524" i="4" s="1"/>
  <c r="J525" i="4" a="1"/>
  <c r="J525" i="4" s="1"/>
  <c r="J526" i="4" a="1"/>
  <c r="J526" i="4" s="1"/>
  <c r="J527" i="4" a="1"/>
  <c r="J527" i="4" s="1"/>
  <c r="J528" i="4" a="1"/>
  <c r="J528" i="4" s="1"/>
  <c r="J529" i="4" a="1"/>
  <c r="J529" i="4" s="1"/>
  <c r="J530" i="4" a="1"/>
  <c r="J530" i="4" s="1"/>
  <c r="J531" i="4" a="1"/>
  <c r="J531" i="4" s="1"/>
  <c r="J532" i="4" a="1"/>
  <c r="J532" i="4" s="1"/>
  <c r="J533" i="4" a="1"/>
  <c r="J533" i="4" s="1"/>
  <c r="J534" i="4" a="1"/>
  <c r="J534" i="4" s="1"/>
  <c r="J535" i="4" a="1"/>
  <c r="J535" i="4" s="1"/>
  <c r="J536" i="4" a="1"/>
  <c r="J536" i="4" s="1"/>
  <c r="J537" i="4" a="1"/>
  <c r="J537" i="4" s="1"/>
  <c r="J538" i="4" a="1"/>
  <c r="J538" i="4" s="1"/>
  <c r="J539" i="4" a="1"/>
  <c r="J539" i="4" s="1"/>
  <c r="J540" i="4" a="1"/>
  <c r="J540" i="4" s="1"/>
  <c r="J541" i="4" a="1"/>
  <c r="J541" i="4" s="1"/>
  <c r="J542" i="4" a="1"/>
  <c r="J542" i="4" s="1"/>
  <c r="J543" i="4" a="1"/>
  <c r="J543" i="4" s="1"/>
  <c r="J544" i="4" a="1"/>
  <c r="J544" i="4" s="1"/>
  <c r="J545" i="4" a="1"/>
  <c r="J545" i="4" s="1"/>
  <c r="J546" i="4" a="1"/>
  <c r="J546" i="4" s="1"/>
  <c r="J547" i="4" a="1"/>
  <c r="J547" i="4" s="1"/>
  <c r="J548" i="4" a="1"/>
  <c r="J548" i="4" s="1"/>
  <c r="J549" i="4" a="1"/>
  <c r="J549" i="4" s="1"/>
  <c r="J550" i="4" a="1"/>
  <c r="J550" i="4" s="1"/>
  <c r="J551" i="4" a="1"/>
  <c r="J551" i="4" s="1"/>
  <c r="J552" i="4" a="1"/>
  <c r="J552" i="4" s="1"/>
  <c r="J553" i="4" a="1"/>
  <c r="J553" i="4" s="1"/>
  <c r="J554" i="4" a="1"/>
  <c r="J554" i="4" s="1"/>
  <c r="J555" i="4" a="1"/>
  <c r="J555" i="4" s="1"/>
  <c r="J556" i="4" a="1"/>
  <c r="J556" i="4" s="1"/>
  <c r="J557" i="4" a="1"/>
  <c r="J557" i="4" s="1"/>
  <c r="J558" i="4" a="1"/>
  <c r="J558" i="4" s="1"/>
  <c r="J559" i="4" a="1"/>
  <c r="J559" i="4" s="1"/>
  <c r="J560" i="4" a="1"/>
  <c r="J560" i="4" s="1"/>
  <c r="J561" i="4" a="1"/>
  <c r="J561" i="4" s="1"/>
  <c r="J562" i="4" a="1"/>
  <c r="J562" i="4" s="1"/>
  <c r="J563" i="4" a="1"/>
  <c r="J563" i="4" s="1"/>
  <c r="J564" i="4" a="1"/>
  <c r="J564" i="4" s="1"/>
  <c r="J565" i="4" a="1"/>
  <c r="J565" i="4" s="1"/>
  <c r="J566" i="4" a="1"/>
  <c r="J566" i="4" s="1"/>
  <c r="J567" i="4" a="1"/>
  <c r="J567" i="4" s="1"/>
  <c r="J568" i="4" a="1"/>
  <c r="J568" i="4" s="1"/>
  <c r="J569" i="4" a="1"/>
  <c r="J569" i="4" s="1"/>
  <c r="J570" i="4" a="1"/>
  <c r="J570" i="4" s="1"/>
  <c r="J571" i="4" a="1"/>
  <c r="J571" i="4" s="1"/>
  <c r="J572" i="4" a="1"/>
  <c r="J572" i="4" s="1"/>
  <c r="J573" i="4" a="1"/>
  <c r="J573" i="4" s="1"/>
  <c r="J574" i="4" a="1"/>
  <c r="J574" i="4" s="1"/>
  <c r="J575" i="4" a="1"/>
  <c r="J575" i="4" s="1"/>
  <c r="J576" i="4" a="1"/>
  <c r="J576" i="4" s="1"/>
  <c r="J577" i="4" a="1"/>
  <c r="J577" i="4" s="1"/>
  <c r="J578" i="4" a="1"/>
  <c r="J578" i="4" s="1"/>
  <c r="J579" i="4" a="1"/>
  <c r="J579" i="4" s="1"/>
  <c r="J580" i="4" a="1"/>
  <c r="J580" i="4" s="1"/>
  <c r="J581" i="4" a="1"/>
  <c r="J581" i="4" s="1"/>
  <c r="J582" i="4" a="1"/>
  <c r="J582" i="4" s="1"/>
  <c r="J583" i="4" a="1"/>
  <c r="J583" i="4" s="1"/>
  <c r="J584" i="4" a="1"/>
  <c r="J584" i="4" s="1"/>
  <c r="J585" i="4" a="1"/>
  <c r="J585" i="4" s="1"/>
  <c r="J586" i="4" a="1"/>
  <c r="J586" i="4" s="1"/>
  <c r="J587" i="4" a="1"/>
  <c r="J587" i="4" s="1"/>
  <c r="J588" i="4" a="1"/>
  <c r="J588" i="4"/>
  <c r="J589" i="4" a="1"/>
  <c r="J589" i="4" s="1"/>
  <c r="J590" i="4" a="1"/>
  <c r="J590" i="4" s="1"/>
  <c r="J591" i="4" a="1"/>
  <c r="J591" i="4" s="1"/>
  <c r="J592" i="4" a="1"/>
  <c r="J592" i="4" s="1"/>
  <c r="J593" i="4" a="1"/>
  <c r="J593" i="4" s="1"/>
  <c r="J594" i="4" a="1"/>
  <c r="J594" i="4" s="1"/>
  <c r="J595" i="4" a="1"/>
  <c r="J595" i="4" s="1"/>
  <c r="J596" i="4" a="1"/>
  <c r="J596" i="4"/>
  <c r="J597" i="4" a="1"/>
  <c r="J597" i="4" s="1"/>
  <c r="J598" i="4" a="1"/>
  <c r="J598" i="4" s="1"/>
  <c r="J599" i="4" a="1"/>
  <c r="J599" i="4" s="1"/>
  <c r="J600" i="4" a="1"/>
  <c r="J600" i="4" s="1"/>
  <c r="J601" i="4" a="1"/>
  <c r="J601" i="4" s="1"/>
  <c r="J602" i="4" a="1"/>
  <c r="J602" i="4" s="1"/>
  <c r="J603" i="4" a="1"/>
  <c r="J603" i="4" s="1"/>
  <c r="J604" i="4" a="1"/>
  <c r="J604" i="4" s="1"/>
  <c r="J605" i="4" a="1"/>
  <c r="J605" i="4" s="1"/>
  <c r="J606" i="4" a="1"/>
  <c r="J606" i="4" s="1"/>
  <c r="J607" i="4" a="1"/>
  <c r="J607" i="4" s="1"/>
  <c r="J608" i="4" a="1"/>
  <c r="J608" i="4" s="1"/>
  <c r="J609" i="4" a="1"/>
  <c r="J609" i="4" s="1"/>
  <c r="J610" i="4" a="1"/>
  <c r="J610" i="4" s="1"/>
  <c r="J611" i="4" a="1"/>
  <c r="J611" i="4" s="1"/>
  <c r="J612" i="4" a="1"/>
  <c r="J612" i="4"/>
  <c r="J613" i="4" a="1"/>
  <c r="J613" i="4" s="1"/>
  <c r="J614" i="4" a="1"/>
  <c r="J614" i="4" s="1"/>
  <c r="J615" i="4" a="1"/>
  <c r="J615" i="4" s="1"/>
  <c r="J616" i="4" a="1"/>
  <c r="J616" i="4"/>
  <c r="J617" i="4" a="1"/>
  <c r="J617" i="4" s="1"/>
  <c r="J618" i="4" a="1"/>
  <c r="J618" i="4" s="1"/>
  <c r="J619" i="4" a="1"/>
  <c r="J619" i="4" s="1"/>
  <c r="J620" i="4" a="1"/>
  <c r="J620" i="4"/>
  <c r="J621" i="4" a="1"/>
  <c r="J621" i="4" s="1"/>
  <c r="J622" i="4" a="1"/>
  <c r="J622" i="4" s="1"/>
  <c r="J623" i="4" a="1"/>
  <c r="J623" i="4" s="1"/>
  <c r="J624" i="4" a="1"/>
  <c r="J624" i="4" s="1"/>
  <c r="J625" i="4" a="1"/>
  <c r="J625" i="4" s="1"/>
  <c r="J626" i="4" a="1"/>
  <c r="J626" i="4" s="1"/>
  <c r="J627" i="4" a="1"/>
  <c r="J627" i="4" s="1"/>
  <c r="J628" i="4" a="1"/>
  <c r="J628" i="4"/>
  <c r="J629" i="4" a="1"/>
  <c r="J629" i="4" s="1"/>
  <c r="J630" i="4" a="1"/>
  <c r="J630" i="4" s="1"/>
  <c r="J631" i="4" a="1"/>
  <c r="J631" i="4" s="1"/>
  <c r="J632" i="4" a="1"/>
  <c r="J632" i="4" s="1"/>
  <c r="J633" i="4" a="1"/>
  <c r="J633" i="4" s="1"/>
  <c r="J634" i="4" a="1"/>
  <c r="J634" i="4"/>
  <c r="J635" i="4" a="1"/>
  <c r="J635" i="4" s="1"/>
  <c r="J636" i="4" a="1"/>
  <c r="J636" i="4" s="1"/>
  <c r="J637" i="4" a="1"/>
  <c r="J637" i="4" s="1"/>
  <c r="J638" i="4" a="1"/>
  <c r="J638" i="4"/>
  <c r="J639" i="4" a="1"/>
  <c r="J639" i="4" s="1"/>
  <c r="J640" i="4" a="1"/>
  <c r="J640" i="4" s="1"/>
  <c r="J641" i="4" a="1"/>
  <c r="J641" i="4" s="1"/>
  <c r="J642" i="4" a="1"/>
  <c r="J642" i="4" s="1"/>
  <c r="J643" i="4" a="1"/>
  <c r="J643" i="4" s="1"/>
  <c r="J644" i="4" a="1"/>
  <c r="J644" i="4" s="1"/>
  <c r="J645" i="4" a="1"/>
  <c r="J645" i="4" s="1"/>
  <c r="J646" i="4" a="1"/>
  <c r="J646" i="4" s="1"/>
  <c r="J647" i="4" a="1"/>
  <c r="J647" i="4" s="1"/>
  <c r="J648" i="4" a="1"/>
  <c r="J648" i="4" s="1"/>
  <c r="J649" i="4" a="1"/>
  <c r="J649" i="4" s="1"/>
  <c r="J650" i="4" a="1"/>
  <c r="J650" i="4" s="1"/>
  <c r="J651" i="4" a="1"/>
  <c r="J651" i="4" s="1"/>
  <c r="J652" i="4" a="1"/>
  <c r="J652" i="4"/>
  <c r="J653" i="4" a="1"/>
  <c r="J653" i="4" s="1"/>
  <c r="J654" i="4" a="1"/>
  <c r="J654" i="4" s="1"/>
  <c r="J655" i="4" a="1"/>
  <c r="J655" i="4" s="1"/>
  <c r="J656" i="4" a="1"/>
  <c r="J656" i="4" s="1"/>
  <c r="J657" i="4" a="1"/>
  <c r="J657" i="4" s="1"/>
  <c r="J658" i="4" a="1"/>
  <c r="J658" i="4" s="1"/>
  <c r="J659" i="4" a="1"/>
  <c r="J659" i="4" s="1"/>
  <c r="J660" i="4" a="1"/>
  <c r="J660" i="4"/>
  <c r="J661" i="4" a="1"/>
  <c r="J661" i="4" s="1"/>
  <c r="J662" i="4" a="1"/>
  <c r="J662" i="4" s="1"/>
  <c r="J663" i="4" a="1"/>
  <c r="J663" i="4" s="1"/>
  <c r="J664" i="4" a="1"/>
  <c r="J664" i="4"/>
  <c r="J665" i="4" a="1"/>
  <c r="J665" i="4" s="1"/>
  <c r="J666" i="4" a="1"/>
  <c r="J666" i="4" s="1"/>
  <c r="J667" i="4" a="1"/>
  <c r="J667" i="4" s="1"/>
  <c r="J668" i="4" a="1"/>
  <c r="J668" i="4"/>
  <c r="J669" i="4" a="1"/>
  <c r="J669" i="4" s="1"/>
  <c r="J670" i="4" a="1"/>
  <c r="J670" i="4" s="1"/>
  <c r="J671" i="4" a="1"/>
  <c r="J671" i="4" s="1"/>
  <c r="J672" i="4" a="1"/>
  <c r="J672" i="4" s="1"/>
  <c r="J673" i="4" a="1"/>
  <c r="J673" i="4" s="1"/>
  <c r="J674" i="4" a="1"/>
  <c r="J674" i="4" s="1"/>
  <c r="J675" i="4" a="1"/>
  <c r="J675" i="4" s="1"/>
  <c r="J676" i="4" a="1"/>
  <c r="J676" i="4" s="1"/>
  <c r="J677" i="4" a="1"/>
  <c r="J677" i="4" s="1"/>
  <c r="J678" i="4" a="1"/>
  <c r="J678" i="4" s="1"/>
  <c r="J679" i="4" a="1"/>
  <c r="J679" i="4" s="1"/>
  <c r="J680" i="4" a="1"/>
  <c r="J680" i="4" s="1"/>
  <c r="J681" i="4" a="1"/>
  <c r="J681" i="4" s="1"/>
  <c r="J682" i="4" a="1"/>
  <c r="J682" i="4" s="1"/>
  <c r="J683" i="4" a="1"/>
  <c r="J683" i="4" s="1"/>
  <c r="J684" i="4" a="1"/>
  <c r="J684" i="4"/>
  <c r="J685" i="4" a="1"/>
  <c r="J685" i="4" s="1"/>
  <c r="J686" i="4" a="1"/>
  <c r="J686" i="4" s="1"/>
  <c r="J687" i="4" a="1"/>
  <c r="J687" i="4" s="1"/>
  <c r="J688" i="4" a="1"/>
  <c r="J688" i="4" s="1"/>
  <c r="J689" i="4" a="1"/>
  <c r="J689" i="4" s="1"/>
  <c r="J690" i="4" a="1"/>
  <c r="J690" i="4" s="1"/>
  <c r="J691" i="4" a="1"/>
  <c r="J691" i="4" s="1"/>
  <c r="J692" i="4" a="1"/>
  <c r="J692" i="4"/>
  <c r="J693" i="4" a="1"/>
  <c r="J693" i="4" s="1"/>
  <c r="J694" i="4" a="1"/>
  <c r="J694" i="4" s="1"/>
  <c r="J695" i="4" a="1"/>
  <c r="J695" i="4" s="1"/>
  <c r="J696" i="4" a="1"/>
  <c r="J696" i="4"/>
  <c r="J697" i="4" a="1"/>
  <c r="J697" i="4" s="1"/>
  <c r="J698" i="4" a="1"/>
  <c r="J698" i="4" s="1"/>
  <c r="J699" i="4" a="1"/>
  <c r="J699" i="4" s="1"/>
  <c r="J700" i="4" a="1"/>
  <c r="J700" i="4" s="1"/>
  <c r="J701" i="4" a="1"/>
  <c r="J701" i="4" s="1"/>
  <c r="J702" i="4" a="1"/>
  <c r="J702" i="4" s="1"/>
  <c r="J703" i="4" a="1"/>
  <c r="J703" i="4" s="1"/>
  <c r="J704" i="4" a="1"/>
  <c r="J704" i="4" s="1"/>
  <c r="J705" i="4" a="1"/>
  <c r="J705" i="4" s="1"/>
  <c r="J706" i="4" a="1"/>
  <c r="J706" i="4" s="1"/>
  <c r="J707" i="4" a="1"/>
  <c r="J707" i="4" s="1"/>
  <c r="J708" i="4" a="1"/>
  <c r="J708" i="4"/>
  <c r="J709" i="4" a="1"/>
  <c r="J709" i="4" s="1"/>
  <c r="J710" i="4" a="1"/>
  <c r="J710" i="4" s="1"/>
  <c r="J711" i="4" a="1"/>
  <c r="J711" i="4" s="1"/>
  <c r="J712" i="4" a="1"/>
  <c r="J712" i="4" s="1"/>
  <c r="J713" i="4" a="1"/>
  <c r="J713" i="4" s="1"/>
  <c r="J714" i="4" a="1"/>
  <c r="J714" i="4" s="1"/>
  <c r="J715" i="4" a="1"/>
  <c r="J715" i="4" s="1"/>
  <c r="J716" i="4" a="1"/>
  <c r="J716" i="4"/>
  <c r="J717" i="4" a="1"/>
  <c r="J717" i="4" s="1"/>
  <c r="J718" i="4" a="1"/>
  <c r="J718" i="4" s="1"/>
  <c r="J719" i="4" a="1"/>
  <c r="J719" i="4" s="1"/>
  <c r="J720" i="4" a="1"/>
  <c r="J720" i="4" s="1"/>
  <c r="J721" i="4" a="1"/>
  <c r="J721" i="4" s="1"/>
  <c r="J722" i="4" a="1"/>
  <c r="J722" i="4" s="1"/>
  <c r="J723" i="4" a="1"/>
  <c r="J723" i="4" s="1"/>
  <c r="J724" i="4" a="1"/>
  <c r="J724" i="4"/>
  <c r="J725" i="4" a="1"/>
  <c r="J725" i="4" s="1"/>
  <c r="J726" i="4" a="1"/>
  <c r="J726" i="4" s="1"/>
  <c r="J727" i="4" a="1"/>
  <c r="J727" i="4" s="1"/>
  <c r="J728" i="4" a="1"/>
  <c r="J728" i="4"/>
  <c r="J729" i="4" a="1"/>
  <c r="J729" i="4" s="1"/>
  <c r="J730" i="4" a="1"/>
  <c r="J730" i="4" s="1"/>
  <c r="J731" i="4" a="1"/>
  <c r="J731" i="4" s="1"/>
  <c r="J732" i="4" a="1"/>
  <c r="J732" i="4" s="1"/>
  <c r="J733" i="4" a="1"/>
  <c r="J733" i="4" s="1"/>
  <c r="J734" i="4" a="1"/>
  <c r="J734" i="4" s="1"/>
  <c r="J735" i="4" a="1"/>
  <c r="J735" i="4" s="1"/>
  <c r="J736" i="4" a="1"/>
  <c r="J736" i="4" s="1"/>
  <c r="J737" i="4" a="1"/>
  <c r="J737" i="4" s="1"/>
  <c r="J738" i="4" a="1"/>
  <c r="J738" i="4" s="1"/>
  <c r="J739" i="4" a="1"/>
  <c r="J739" i="4" s="1"/>
  <c r="J740" i="4" a="1"/>
  <c r="J740" i="4" s="1"/>
  <c r="J741" i="4" a="1"/>
  <c r="J741" i="4" s="1"/>
  <c r="J742" i="4" a="1"/>
  <c r="J742" i="4" s="1"/>
  <c r="J743" i="4" a="1"/>
  <c r="J743" i="4" s="1"/>
  <c r="J744" i="4" a="1"/>
  <c r="J744" i="4" s="1"/>
  <c r="J745" i="4" a="1"/>
  <c r="J745" i="4" s="1"/>
  <c r="J746" i="4" a="1"/>
  <c r="J746" i="4" s="1"/>
  <c r="J747" i="4" a="1"/>
  <c r="J747" i="4" s="1"/>
  <c r="J748" i="4" a="1"/>
  <c r="J748" i="4"/>
  <c r="J749" i="4" a="1"/>
  <c r="J749" i="4" s="1"/>
  <c r="J750" i="4" a="1"/>
  <c r="J750" i="4" s="1"/>
  <c r="J751" i="4" a="1"/>
  <c r="J751" i="4" s="1"/>
  <c r="J752" i="4" a="1"/>
  <c r="J752" i="4" s="1"/>
  <c r="J753" i="4" a="1"/>
  <c r="J753" i="4" s="1"/>
  <c r="J754" i="4" a="1"/>
  <c r="J754" i="4" s="1"/>
  <c r="J755" i="4" a="1"/>
  <c r="J755" i="4" s="1"/>
  <c r="J756" i="4" a="1"/>
  <c r="J756" i="4"/>
  <c r="J757" i="4" a="1"/>
  <c r="J757" i="4" s="1"/>
  <c r="J758" i="4" a="1"/>
  <c r="J758" i="4" s="1"/>
  <c r="J759" i="4" a="1"/>
  <c r="J759" i="4" s="1"/>
  <c r="J760" i="4" a="1"/>
  <c r="J760" i="4"/>
  <c r="J761" i="4" a="1"/>
  <c r="J761" i="4" s="1"/>
  <c r="J762" i="4" a="1"/>
  <c r="J762" i="4" s="1"/>
  <c r="J763" i="4" a="1"/>
  <c r="J763" i="4" s="1"/>
  <c r="J764" i="4" a="1"/>
  <c r="J764" i="4" s="1"/>
  <c r="J765" i="4" a="1"/>
  <c r="J765" i="4" s="1"/>
  <c r="J766" i="4" a="1"/>
  <c r="J766" i="4" s="1"/>
  <c r="J767" i="4" a="1"/>
  <c r="J767" i="4" s="1"/>
  <c r="J768" i="4" a="1"/>
  <c r="J768" i="4" s="1"/>
  <c r="J769" i="4" a="1"/>
  <c r="J769" i="4" s="1"/>
  <c r="J770" i="4" a="1"/>
  <c r="J770" i="4" s="1"/>
  <c r="J771" i="4" a="1"/>
  <c r="J771" i="4" s="1"/>
  <c r="J772" i="4" a="1"/>
  <c r="J772" i="4" s="1"/>
  <c r="J773" i="4" a="1"/>
  <c r="J773" i="4" s="1"/>
  <c r="J774" i="4" a="1"/>
  <c r="J774" i="4" s="1"/>
  <c r="J775" i="4" a="1"/>
  <c r="J775" i="4" s="1"/>
  <c r="J776" i="4" a="1"/>
  <c r="J776" i="4" s="1"/>
  <c r="J777" i="4" a="1"/>
  <c r="J777" i="4" s="1"/>
  <c r="J778" i="4" a="1"/>
  <c r="J778" i="4" s="1"/>
  <c r="J779" i="4" a="1"/>
  <c r="J779" i="4" s="1"/>
  <c r="J780" i="4" a="1"/>
  <c r="J780" i="4"/>
  <c r="J781" i="4" a="1"/>
  <c r="J781" i="4" s="1"/>
  <c r="J782" i="4" a="1"/>
  <c r="J782" i="4" s="1"/>
  <c r="J783" i="4" a="1"/>
  <c r="J783" i="4" s="1"/>
  <c r="J784" i="4" a="1"/>
  <c r="J784" i="4" s="1"/>
  <c r="J785" i="4" a="1"/>
  <c r="J785" i="4" s="1"/>
  <c r="J786" i="4" a="1"/>
  <c r="J786" i="4" s="1"/>
  <c r="J787" i="4" a="1"/>
  <c r="J787" i="4" s="1"/>
  <c r="J788" i="4" a="1"/>
  <c r="J788" i="4"/>
  <c r="J789" i="4" a="1"/>
  <c r="J789" i="4" s="1"/>
  <c r="J790" i="4" a="1"/>
  <c r="J790" i="4" s="1"/>
  <c r="J791" i="4" a="1"/>
  <c r="J791" i="4" s="1"/>
  <c r="J792" i="4" a="1"/>
  <c r="J792" i="4"/>
  <c r="J793" i="4" a="1"/>
  <c r="J793" i="4" s="1"/>
  <c r="J794" i="4" a="1"/>
  <c r="J794" i="4" s="1"/>
  <c r="J795" i="4" a="1"/>
  <c r="J795" i="4" s="1"/>
  <c r="J796" i="4" a="1"/>
  <c r="J796" i="4" s="1"/>
  <c r="J797" i="4" a="1"/>
  <c r="J797" i="4" s="1"/>
  <c r="J798" i="4" a="1"/>
  <c r="J798" i="4" s="1"/>
  <c r="J799" i="4" a="1"/>
  <c r="J799" i="4" s="1"/>
  <c r="J800" i="4" a="1"/>
  <c r="J800" i="4" s="1"/>
  <c r="J801" i="4" a="1"/>
  <c r="J801" i="4" s="1"/>
  <c r="J802" i="4" a="1"/>
  <c r="J802" i="4" s="1"/>
  <c r="J803" i="4" a="1"/>
  <c r="J803" i="4" s="1"/>
  <c r="J804" i="4" a="1"/>
  <c r="J804" i="4" s="1"/>
  <c r="J805" i="4" a="1"/>
  <c r="J805" i="4" s="1"/>
  <c r="J806" i="4" a="1"/>
  <c r="J806" i="4" s="1"/>
  <c r="J807" i="4" a="1"/>
  <c r="J807" i="4" s="1"/>
  <c r="J808" i="4" a="1"/>
  <c r="J808" i="4" s="1"/>
  <c r="J809" i="4" a="1"/>
  <c r="J809" i="4" s="1"/>
  <c r="J810" i="4" a="1"/>
  <c r="J810" i="4" s="1"/>
  <c r="J811" i="4" a="1"/>
  <c r="J811" i="4" s="1"/>
  <c r="J812" i="4" a="1"/>
  <c r="J812" i="4"/>
  <c r="J813" i="4" a="1"/>
  <c r="J813" i="4" s="1"/>
  <c r="J814" i="4" a="1"/>
  <c r="J814" i="4" s="1"/>
  <c r="J815" i="4" a="1"/>
  <c r="J815" i="4" s="1"/>
  <c r="J816" i="4" a="1"/>
  <c r="J816" i="4" s="1"/>
  <c r="J817" i="4" a="1"/>
  <c r="J817" i="4" s="1"/>
  <c r="J818" i="4" a="1"/>
  <c r="J818" i="4" s="1"/>
  <c r="J819" i="4" a="1"/>
  <c r="J819" i="4" s="1"/>
  <c r="J820" i="4" a="1"/>
  <c r="J820" i="4"/>
  <c r="J821" i="4" a="1"/>
  <c r="J821" i="4" s="1"/>
  <c r="J822" i="4" a="1"/>
  <c r="J822" i="4" s="1"/>
  <c r="J823" i="4" a="1"/>
  <c r="J823" i="4" s="1"/>
  <c r="J824" i="4" a="1"/>
  <c r="J824" i="4"/>
  <c r="J825" i="4" a="1"/>
  <c r="J825" i="4" s="1"/>
  <c r="J826" i="4" a="1"/>
  <c r="J826" i="4" s="1"/>
  <c r="J827" i="4" a="1"/>
  <c r="J827" i="4" s="1"/>
  <c r="J828" i="4" a="1"/>
  <c r="J828" i="4" s="1"/>
  <c r="J829" i="4" a="1"/>
  <c r="J829" i="4" s="1"/>
  <c r="J830" i="4" a="1"/>
  <c r="J830" i="4" s="1"/>
  <c r="J831" i="4" a="1"/>
  <c r="J831" i="4" s="1"/>
  <c r="J832" i="4" a="1"/>
  <c r="J832" i="4" s="1"/>
  <c r="J833" i="4" a="1"/>
  <c r="J833" i="4" s="1"/>
  <c r="J834" i="4" a="1"/>
  <c r="J834" i="4" s="1"/>
  <c r="J835" i="4" a="1"/>
  <c r="J835" i="4" s="1"/>
  <c r="J836" i="4" a="1"/>
  <c r="J836" i="4" s="1"/>
  <c r="J837" i="4" a="1"/>
  <c r="J837" i="4" s="1"/>
  <c r="J838" i="4" a="1"/>
  <c r="J838" i="4" s="1"/>
  <c r="J839" i="4" a="1"/>
  <c r="J839" i="4" s="1"/>
  <c r="J840" i="4" a="1"/>
  <c r="J840" i="4" s="1"/>
  <c r="J841" i="4" a="1"/>
  <c r="J841" i="4" s="1"/>
  <c r="J842" i="4" a="1"/>
  <c r="J842" i="4" s="1"/>
  <c r="J843" i="4" a="1"/>
  <c r="J843" i="4" s="1"/>
  <c r="J844" i="4" a="1"/>
  <c r="J844" i="4"/>
  <c r="J845" i="4" a="1"/>
  <c r="J845" i="4" s="1"/>
  <c r="J846" i="4" a="1"/>
  <c r="J846" i="4" s="1"/>
  <c r="J847" i="4" a="1"/>
  <c r="J847" i="4" s="1"/>
  <c r="J848" i="4" a="1"/>
  <c r="J848" i="4" s="1"/>
  <c r="J849" i="4" a="1"/>
  <c r="J849" i="4" s="1"/>
  <c r="J850" i="4" a="1"/>
  <c r="J850" i="4" s="1"/>
  <c r="J851" i="4" a="1"/>
  <c r="J851" i="4" s="1"/>
  <c r="J852" i="4" a="1"/>
  <c r="J852" i="4"/>
  <c r="J853" i="4" a="1"/>
  <c r="J853" i="4" s="1"/>
  <c r="J854" i="4" a="1"/>
  <c r="J854" i="4" s="1"/>
  <c r="J855" i="4" a="1"/>
  <c r="J855" i="4" s="1"/>
  <c r="J856" i="4" a="1"/>
  <c r="J856" i="4"/>
  <c r="J857" i="4" a="1"/>
  <c r="J857" i="4" s="1"/>
  <c r="J858" i="4" a="1"/>
  <c r="J858" i="4" s="1"/>
  <c r="J859" i="4" a="1"/>
  <c r="J859" i="4" s="1"/>
  <c r="J860" i="4" a="1"/>
  <c r="J860" i="4" s="1"/>
  <c r="J861" i="4" a="1"/>
  <c r="J861" i="4" s="1"/>
  <c r="J862" i="4" a="1"/>
  <c r="J862" i="4" s="1"/>
  <c r="J863" i="4" a="1"/>
  <c r="J863" i="4" s="1"/>
  <c r="J864" i="4" a="1"/>
  <c r="J864" i="4" s="1"/>
  <c r="J865" i="4" a="1"/>
  <c r="J865" i="4" s="1"/>
  <c r="J866" i="4" a="1"/>
  <c r="J866" i="4" s="1"/>
  <c r="J867" i="4" a="1"/>
  <c r="J867" i="4" s="1"/>
  <c r="J868" i="4" a="1"/>
  <c r="J868" i="4" s="1"/>
  <c r="J869" i="4" a="1"/>
  <c r="J869" i="4" s="1"/>
  <c r="J870" i="4" a="1"/>
  <c r="J870" i="4" s="1"/>
  <c r="J871" i="4" a="1"/>
  <c r="J871" i="4" s="1"/>
  <c r="J872" i="4" a="1"/>
  <c r="J872" i="4" s="1"/>
  <c r="J873" i="4" a="1"/>
  <c r="J873" i="4" s="1"/>
  <c r="J874" i="4" a="1"/>
  <c r="J874" i="4" s="1"/>
  <c r="J875" i="4" a="1"/>
  <c r="J875" i="4" s="1"/>
  <c r="J876" i="4" a="1"/>
  <c r="J876" i="4"/>
  <c r="J877" i="4" a="1"/>
  <c r="J877" i="4" s="1"/>
  <c r="J878" i="4" a="1"/>
  <c r="J878" i="4" s="1"/>
  <c r="J879" i="4" a="1"/>
  <c r="J879" i="4" s="1"/>
  <c r="J880" i="4" a="1"/>
  <c r="J880" i="4" s="1"/>
  <c r="J881" i="4" a="1"/>
  <c r="J881" i="4" s="1"/>
  <c r="J882" i="4" a="1"/>
  <c r="J882" i="4" s="1"/>
  <c r="J883" i="4" a="1"/>
  <c r="J883" i="4" s="1"/>
  <c r="J884" i="4" a="1"/>
  <c r="J884" i="4"/>
  <c r="J885" i="4" a="1"/>
  <c r="J885" i="4" s="1"/>
  <c r="J886" i="4" a="1"/>
  <c r="J886" i="4" s="1"/>
  <c r="J887" i="4" a="1"/>
  <c r="J887" i="4" s="1"/>
  <c r="J888" i="4" a="1"/>
  <c r="J888" i="4"/>
  <c r="J889" i="4" a="1"/>
  <c r="J889" i="4" s="1"/>
  <c r="J890" i="4" a="1"/>
  <c r="J890" i="4" s="1"/>
  <c r="J891" i="4" a="1"/>
  <c r="J891" i="4" s="1"/>
  <c r="J892" i="4" a="1"/>
  <c r="J892" i="4" s="1"/>
  <c r="J893" i="4" a="1"/>
  <c r="J893" i="4" s="1"/>
  <c r="J894" i="4" a="1"/>
  <c r="J894" i="4" s="1"/>
  <c r="J895" i="4" a="1"/>
  <c r="J895" i="4" s="1"/>
  <c r="J896" i="4" a="1"/>
  <c r="J896" i="4" s="1"/>
  <c r="J897" i="4" a="1"/>
  <c r="J897" i="4" s="1"/>
  <c r="J898" i="4" a="1"/>
  <c r="J898" i="4" s="1"/>
  <c r="J899" i="4" a="1"/>
  <c r="J899" i="4" s="1"/>
  <c r="J900" i="4" a="1"/>
  <c r="J900" i="4" s="1"/>
  <c r="J901" i="4" a="1"/>
  <c r="J901" i="4" s="1"/>
  <c r="J902" i="4" a="1"/>
  <c r="J902" i="4" s="1"/>
  <c r="J903" i="4" a="1"/>
  <c r="J903" i="4" s="1"/>
  <c r="J904" i="4" a="1"/>
  <c r="J904" i="4" s="1"/>
  <c r="J905" i="4" a="1"/>
  <c r="J905" i="4" s="1"/>
  <c r="J906" i="4" a="1"/>
  <c r="J906" i="4" s="1"/>
  <c r="J907" i="4" a="1"/>
  <c r="J907" i="4" s="1"/>
  <c r="J908" i="4" a="1"/>
  <c r="J908" i="4"/>
  <c r="J909" i="4" a="1"/>
  <c r="J909" i="4" s="1"/>
  <c r="J910" i="4" a="1"/>
  <c r="J910" i="4" s="1"/>
  <c r="J911" i="4" a="1"/>
  <c r="J911" i="4" s="1"/>
  <c r="J912" i="4" a="1"/>
  <c r="J912" i="4" s="1"/>
  <c r="J913" i="4" a="1"/>
  <c r="J913" i="4" s="1"/>
  <c r="J914" i="4" a="1"/>
  <c r="J914" i="4" s="1"/>
  <c r="J915" i="4" a="1"/>
  <c r="J915" i="4" s="1"/>
  <c r="J916" i="4" a="1"/>
  <c r="J916" i="4"/>
  <c r="J917" i="4" a="1"/>
  <c r="J917" i="4" s="1"/>
  <c r="J918" i="4" a="1"/>
  <c r="J918" i="4" s="1"/>
  <c r="J919" i="4" a="1"/>
  <c r="J919" i="4" s="1"/>
  <c r="J920" i="4" a="1"/>
  <c r="J920" i="4"/>
  <c r="J921" i="4" a="1"/>
  <c r="J921" i="4" s="1"/>
  <c r="J922" i="4" a="1"/>
  <c r="J922" i="4" s="1"/>
  <c r="J923" i="4" a="1"/>
  <c r="J923" i="4" s="1"/>
  <c r="J924" i="4" a="1"/>
  <c r="J924" i="4" s="1"/>
  <c r="J925" i="4" a="1"/>
  <c r="J925" i="4" s="1"/>
  <c r="J926" i="4" a="1"/>
  <c r="J926" i="4" s="1"/>
  <c r="J927" i="4" a="1"/>
  <c r="J927" i="4" s="1"/>
  <c r="J928" i="4" a="1"/>
  <c r="J928" i="4" s="1"/>
  <c r="J929" i="4" a="1"/>
  <c r="J929" i="4" s="1"/>
  <c r="J930" i="4" a="1"/>
  <c r="J930" i="4" s="1"/>
  <c r="J931" i="4" a="1"/>
  <c r="J931" i="4" s="1"/>
  <c r="J932" i="4" a="1"/>
  <c r="J932" i="4" s="1"/>
  <c r="J933" i="4" a="1"/>
  <c r="J933" i="4" s="1"/>
  <c r="J934" i="4" a="1"/>
  <c r="J934" i="4" s="1"/>
  <c r="J935" i="4" a="1"/>
  <c r="J935" i="4" s="1"/>
  <c r="J936" i="4" a="1"/>
  <c r="J936" i="4" s="1"/>
  <c r="J937" i="4" a="1"/>
  <c r="J937" i="4" s="1"/>
  <c r="J938" i="4" a="1"/>
  <c r="J938" i="4" s="1"/>
  <c r="J939" i="4" a="1"/>
  <c r="J939" i="4" s="1"/>
  <c r="J940" i="4" a="1"/>
  <c r="J940" i="4"/>
  <c r="J941" i="4" a="1"/>
  <c r="J941" i="4" s="1"/>
  <c r="J942" i="4" a="1"/>
  <c r="J942" i="4" s="1"/>
  <c r="J943" i="4" a="1"/>
  <c r="J943" i="4" s="1"/>
  <c r="J944" i="4" a="1"/>
  <c r="J944" i="4" s="1"/>
  <c r="J945" i="4" a="1"/>
  <c r="J945" i="4" s="1"/>
  <c r="J946" i="4" a="1"/>
  <c r="J946" i="4" s="1"/>
  <c r="J947" i="4" a="1"/>
  <c r="J947" i="4" s="1"/>
  <c r="J948" i="4" a="1"/>
  <c r="J948" i="4"/>
  <c r="J949" i="4" a="1"/>
  <c r="J949" i="4" s="1"/>
  <c r="J950" i="4" a="1"/>
  <c r="J950" i="4" s="1"/>
  <c r="J951" i="4" a="1"/>
  <c r="J951" i="4" s="1"/>
  <c r="J952" i="4" a="1"/>
  <c r="J952" i="4"/>
  <c r="J953" i="4" a="1"/>
  <c r="J953" i="4" s="1"/>
  <c r="J954" i="4" a="1"/>
  <c r="J954" i="4" s="1"/>
  <c r="J955" i="4" a="1"/>
  <c r="J955" i="4" s="1"/>
  <c r="J956" i="4" a="1"/>
  <c r="J956" i="4" s="1"/>
  <c r="J957" i="4" a="1"/>
  <c r="J957" i="4" s="1"/>
  <c r="J958" i="4" a="1"/>
  <c r="J958" i="4" s="1"/>
  <c r="J959" i="4" a="1"/>
  <c r="J959" i="4" s="1"/>
  <c r="J960" i="4" a="1"/>
  <c r="J960" i="4" s="1"/>
  <c r="J961" i="4" a="1"/>
  <c r="J961" i="4" s="1"/>
  <c r="J962" i="4" a="1"/>
  <c r="J962" i="4" s="1"/>
  <c r="J963" i="4" a="1"/>
  <c r="J963" i="4" s="1"/>
  <c r="J964" i="4" a="1"/>
  <c r="J964" i="4" s="1"/>
  <c r="J965" i="4" a="1"/>
  <c r="J965" i="4" s="1"/>
  <c r="J966" i="4" a="1"/>
  <c r="J966" i="4" s="1"/>
  <c r="J967" i="4" a="1"/>
  <c r="J967" i="4" s="1"/>
  <c r="J968" i="4" a="1"/>
  <c r="J968" i="4" s="1"/>
  <c r="J969" i="4" a="1"/>
  <c r="J969" i="4" s="1"/>
  <c r="J970" i="4" a="1"/>
  <c r="J970" i="4" s="1"/>
  <c r="J971" i="4" a="1"/>
  <c r="J971" i="4" s="1"/>
  <c r="J972" i="4" a="1"/>
  <c r="J972" i="4"/>
  <c r="J973" i="4" a="1"/>
  <c r="J973" i="4" s="1"/>
  <c r="J974" i="4" a="1"/>
  <c r="J974" i="4" s="1"/>
  <c r="J975" i="4" a="1"/>
  <c r="J975" i="4" s="1"/>
  <c r="J976" i="4" a="1"/>
  <c r="J976" i="4" s="1"/>
  <c r="J977" i="4" a="1"/>
  <c r="J977" i="4" s="1"/>
  <c r="J978" i="4" a="1"/>
  <c r="J978" i="4" s="1"/>
  <c r="J979" i="4" a="1"/>
  <c r="J979" i="4" s="1"/>
  <c r="J980" i="4" a="1"/>
  <c r="J980" i="4" s="1"/>
  <c r="J981" i="4" a="1"/>
  <c r="J981" i="4" s="1"/>
  <c r="J982" i="4" a="1"/>
  <c r="J982" i="4" s="1"/>
  <c r="J983" i="4" a="1"/>
  <c r="J983" i="4"/>
  <c r="J984" i="4" a="1"/>
  <c r="J984" i="4" s="1"/>
  <c r="J985" i="4" a="1"/>
  <c r="J985" i="4" s="1"/>
  <c r="J986" i="4" a="1"/>
  <c r="J986" i="4" s="1"/>
  <c r="J987" i="4" a="1"/>
  <c r="J987" i="4" s="1"/>
  <c r="J988" i="4" a="1"/>
  <c r="J988" i="4"/>
  <c r="J989" i="4" a="1"/>
  <c r="J989" i="4" s="1"/>
  <c r="J990" i="4" a="1"/>
  <c r="J990" i="4" s="1"/>
  <c r="J991" i="4" a="1"/>
  <c r="J991" i="4" s="1"/>
  <c r="J992" i="4" a="1"/>
  <c r="J992" i="4" s="1"/>
  <c r="J993" i="4" a="1"/>
  <c r="J993" i="4" s="1"/>
  <c r="J994" i="4" a="1"/>
  <c r="J994" i="4" s="1"/>
  <c r="J995" i="4" a="1"/>
  <c r="J995" i="4" s="1"/>
  <c r="J996" i="4" a="1"/>
  <c r="J996" i="4" s="1"/>
  <c r="J997" i="4" a="1"/>
  <c r="J997" i="4" s="1"/>
  <c r="J998" i="4" a="1"/>
  <c r="J998" i="4" s="1"/>
  <c r="J999" i="4" a="1"/>
  <c r="J999" i="4"/>
  <c r="J1000" i="4" a="1"/>
  <c r="J1000" i="4" s="1"/>
  <c r="J1001" i="4" a="1"/>
  <c r="J1001" i="4" s="1"/>
  <c r="O11" i="3"/>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F252" i="1"/>
  <c r="D254" i="1" a="1"/>
  <c r="D254" i="1" s="1"/>
  <c r="E254" i="1" s="1" a="1"/>
  <c r="E254" i="1" s="1"/>
  <c r="E252" i="1"/>
  <c r="E133" i="1" a="1"/>
  <c r="E133" i="1" s="1"/>
  <c r="E110" i="1" a="1"/>
  <c r="E110" i="1" s="1"/>
  <c r="E106" i="1" a="1"/>
  <c r="E106" i="1" s="1"/>
  <c r="E93" i="1" a="1"/>
  <c r="E93" i="1" s="1"/>
  <c r="D91" i="1" a="1"/>
  <c r="D91" i="1" s="1"/>
  <c r="E89" i="1" a="1"/>
  <c r="E89" i="1" s="1"/>
  <c r="E84" i="1" a="1"/>
  <c r="E84" i="1" s="1"/>
  <c r="E82" i="1"/>
  <c r="E65" i="1" a="1"/>
  <c r="E65" i="1" s="1"/>
  <c r="E64" i="1"/>
  <c r="G56" i="1" a="1"/>
  <c r="G56" i="1" s="1"/>
  <c r="G55" i="1" a="1"/>
  <c r="G55" i="1" s="1"/>
  <c r="G54" i="1" a="1"/>
  <c r="G54" i="1" s="1"/>
  <c r="G53" i="1" a="1"/>
  <c r="G53" i="1" s="1"/>
  <c r="G52" i="1" a="1"/>
  <c r="G52" i="1" s="1"/>
  <c r="G51" i="1" a="1"/>
  <c r="G51" i="1" s="1"/>
  <c r="F56" i="1" a="1"/>
  <c r="F56" i="1" s="1"/>
  <c r="F55" i="1" a="1"/>
  <c r="F55" i="1" s="1"/>
  <c r="F54" i="1" a="1"/>
  <c r="F54" i="1" s="1"/>
  <c r="F53" i="1" a="1"/>
  <c r="F53" i="1" s="1"/>
  <c r="F52" i="1" a="1"/>
  <c r="F52" i="1" s="1"/>
  <c r="F51" i="1" a="1"/>
  <c r="F51" i="1" s="1"/>
  <c r="G50" i="1"/>
  <c r="G49" i="1"/>
  <c r="F50" i="1"/>
  <c r="F49" i="1"/>
  <c r="E56" i="1" a="1"/>
  <c r="E56" i="1" s="1"/>
  <c r="E55" i="1"/>
  <c r="E54" i="1"/>
  <c r="E53" i="1"/>
  <c r="E52" i="1"/>
  <c r="E51" i="1"/>
  <c r="E50" i="1"/>
  <c r="E49" i="1"/>
  <c r="D27" i="1" a="1"/>
  <c r="D27" i="1" s="1"/>
  <c r="D28" i="1" a="1"/>
  <c r="D28" i="1" s="1"/>
  <c r="E26" i="1" a="1"/>
  <c r="E26" i="1" s="1"/>
  <c r="E22" i="1" a="1"/>
  <c r="E22" i="1" s="1"/>
  <c r="E21" i="1" a="1"/>
  <c r="E21" i="1" s="1"/>
  <c r="D5" i="1" a="1"/>
  <c r="D5" i="1" s="1"/>
  <c r="F5" i="1" s="1" a="1"/>
  <c r="F5" i="1" s="1"/>
  <c r="F254" i="1" l="1" a="1"/>
  <c r="F254" i="1" s="1"/>
  <c r="G254" i="1" s="1" a="1"/>
  <c r="G254" i="1" s="1"/>
  <c r="H254" i="1" s="1" a="1"/>
  <c r="H254" i="1" s="1"/>
  <c r="I254" i="1" a="1"/>
  <c r="I254" i="1" s="1"/>
  <c r="E5" i="1" a="1"/>
  <c r="E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F696CD-2A12-4134-AE6E-6D7975E8EDEF}" keepAlive="1" name="Query - 2020 Olympics Medals" description="Connection to the '2020 Olympics Medals' query in the workbook." type="5" refreshedVersion="8" background="1" saveData="1">
    <dbPr connection="Provider=Microsoft.Mashup.OleDb.1;Data Source=$Workbook$;Location=&quot;2020 Olympics Medals&quot;;Extended Properties=&quot;&quot;" command="SELECT * FROM [2020 Olympics Medals]"/>
  </connection>
  <connection id="2" xr16:uid="{8E4B4D72-7B15-48BC-8CAF-D53743663E13}"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<sst xmlns="http://schemas.openxmlformats.org/spreadsheetml/2006/main" count="5805" uniqueCount="2021">
  <si>
    <t>Rank</t>
  </si>
  <si>
    <t>NOC</t>
  </si>
  <si>
    <t>Gold</t>
  </si>
  <si>
    <t>Silver</t>
  </si>
  <si>
    <t>Bronze</t>
  </si>
  <si>
    <t>Total</t>
  </si>
  <si>
    <t>Percent Of Gold Medals</t>
  </si>
  <si>
    <t>Percent of silver medals</t>
  </si>
  <si>
    <t>1</t>
  </si>
  <si>
    <t>United States</t>
  </si>
  <si>
    <t>2</t>
  </si>
  <si>
    <t>China</t>
  </si>
  <si>
    <t>3</t>
  </si>
  <si>
    <t>Japan</t>
  </si>
  <si>
    <t>4</t>
  </si>
  <si>
    <t>Great Britain</t>
  </si>
  <si>
    <t>5</t>
  </si>
  <si>
    <t>ROC</t>
  </si>
  <si>
    <t>6</t>
  </si>
  <si>
    <t>Australia</t>
  </si>
  <si>
    <t>7</t>
  </si>
  <si>
    <t>Netherlands</t>
  </si>
  <si>
    <t>8</t>
  </si>
  <si>
    <t>France</t>
  </si>
  <si>
    <t>9</t>
  </si>
  <si>
    <t>Germany</t>
  </si>
  <si>
    <t>10</t>
  </si>
  <si>
    <t>Italy</t>
  </si>
  <si>
    <t>11</t>
  </si>
  <si>
    <t>Canada</t>
  </si>
  <si>
    <t>12</t>
  </si>
  <si>
    <t>Brazil</t>
  </si>
  <si>
    <t>13</t>
  </si>
  <si>
    <t>New Zealand</t>
  </si>
  <si>
    <t>14</t>
  </si>
  <si>
    <t>Cuba</t>
  </si>
  <si>
    <t>15</t>
  </si>
  <si>
    <t>Hungary</t>
  </si>
  <si>
    <t>16</t>
  </si>
  <si>
    <t>South Korea</t>
  </si>
  <si>
    <t>17</t>
  </si>
  <si>
    <t>Poland</t>
  </si>
  <si>
    <t>18</t>
  </si>
  <si>
    <t>Czech Republic</t>
  </si>
  <si>
    <t>19</t>
  </si>
  <si>
    <t>Kenya</t>
  </si>
  <si>
    <t>20</t>
  </si>
  <si>
    <t>Norway</t>
  </si>
  <si>
    <t>21</t>
  </si>
  <si>
    <t>Jamaica</t>
  </si>
  <si>
    <t>22</t>
  </si>
  <si>
    <t>Spain</t>
  </si>
  <si>
    <t>23</t>
  </si>
  <si>
    <t>Sweden</t>
  </si>
  <si>
    <t>24</t>
  </si>
  <si>
    <t>Switzerland</t>
  </si>
  <si>
    <t>25</t>
  </si>
  <si>
    <t>Denmark</t>
  </si>
  <si>
    <t>26</t>
  </si>
  <si>
    <t>Croatia</t>
  </si>
  <si>
    <t>27</t>
  </si>
  <si>
    <t>Iran</t>
  </si>
  <si>
    <t>28</t>
  </si>
  <si>
    <t>Serbia</t>
  </si>
  <si>
    <t>29</t>
  </si>
  <si>
    <t>Belgium</t>
  </si>
  <si>
    <t>30</t>
  </si>
  <si>
    <t>Bulgaria</t>
  </si>
  <si>
    <t>31</t>
  </si>
  <si>
    <t>Slovenia</t>
  </si>
  <si>
    <t>32</t>
  </si>
  <si>
    <t>Uzbekistan</t>
  </si>
  <si>
    <t>33</t>
  </si>
  <si>
    <t>Georgia</t>
  </si>
  <si>
    <t>34</t>
  </si>
  <si>
    <t>Chinese Taipei</t>
  </si>
  <si>
    <t>35</t>
  </si>
  <si>
    <t>Turkey</t>
  </si>
  <si>
    <t>36</t>
  </si>
  <si>
    <t>Greece</t>
  </si>
  <si>
    <t>Uganda</t>
  </si>
  <si>
    <t>38</t>
  </si>
  <si>
    <t>Ecuador</t>
  </si>
  <si>
    <t>39</t>
  </si>
  <si>
    <t>Ireland</t>
  </si>
  <si>
    <t>Israel</t>
  </si>
  <si>
    <t>41</t>
  </si>
  <si>
    <t>Qatar</t>
  </si>
  <si>
    <t>42</t>
  </si>
  <si>
    <t>Bahamas</t>
  </si>
  <si>
    <t>Kosovo</t>
  </si>
  <si>
    <t>44</t>
  </si>
  <si>
    <t>Ukraine</t>
  </si>
  <si>
    <t>45</t>
  </si>
  <si>
    <t>Belarus</t>
  </si>
  <si>
    <t>46</t>
  </si>
  <si>
    <t>Romania</t>
  </si>
  <si>
    <t>Venezuela</t>
  </si>
  <si>
    <t>48</t>
  </si>
  <si>
    <t>India</t>
  </si>
  <si>
    <t>49</t>
  </si>
  <si>
    <t>Hong Kong</t>
  </si>
  <si>
    <t>50</t>
  </si>
  <si>
    <t>Philippines</t>
  </si>
  <si>
    <t>Slovakia</t>
  </si>
  <si>
    <t>52</t>
  </si>
  <si>
    <t>South Africa</t>
  </si>
  <si>
    <t>53</t>
  </si>
  <si>
    <t>Austria</t>
  </si>
  <si>
    <t>54</t>
  </si>
  <si>
    <t>Egypt</t>
  </si>
  <si>
    <t>55</t>
  </si>
  <si>
    <t>Indonesia</t>
  </si>
  <si>
    <t>56</t>
  </si>
  <si>
    <t>Ethiopia</t>
  </si>
  <si>
    <t>Portugal</t>
  </si>
  <si>
    <t>58</t>
  </si>
  <si>
    <t>Tunisia</t>
  </si>
  <si>
    <t>59</t>
  </si>
  <si>
    <t>Estonia</t>
  </si>
  <si>
    <t>Fiji</t>
  </si>
  <si>
    <t>Latvia</t>
  </si>
  <si>
    <t>Thailand</t>
  </si>
  <si>
    <t>63</t>
  </si>
  <si>
    <t>Bermuda</t>
  </si>
  <si>
    <t>Morocco</t>
  </si>
  <si>
    <t>Puerto Rico</t>
  </si>
  <si>
    <t>66</t>
  </si>
  <si>
    <t>Colombia</t>
  </si>
  <si>
    <t>67</t>
  </si>
  <si>
    <t>Azerbaijan</t>
  </si>
  <si>
    <t>68</t>
  </si>
  <si>
    <t>Dominican Republic</t>
  </si>
  <si>
    <t>69</t>
  </si>
  <si>
    <t>Armenia</t>
  </si>
  <si>
    <t>70</t>
  </si>
  <si>
    <t>Kyrgyzstan</t>
  </si>
  <si>
    <t>71</t>
  </si>
  <si>
    <t>Mongolia</t>
  </si>
  <si>
    <t>72</t>
  </si>
  <si>
    <t>Argentina</t>
  </si>
  <si>
    <t>San Marino</t>
  </si>
  <si>
    <t>74</t>
  </si>
  <si>
    <t>Jordan</t>
  </si>
  <si>
    <t>Malaysia</t>
  </si>
  <si>
    <t>Nigeria</t>
  </si>
  <si>
    <t>77</t>
  </si>
  <si>
    <t>Bahrain</t>
  </si>
  <si>
    <t>Lithuania</t>
  </si>
  <si>
    <t>Namibia</t>
  </si>
  <si>
    <t>North Macedonia</t>
  </si>
  <si>
    <t>Saudi Arabia</t>
  </si>
  <si>
    <t>Turkmenistan</t>
  </si>
  <si>
    <t>83</t>
  </si>
  <si>
    <t>Kazakhstan</t>
  </si>
  <si>
    <t>84</t>
  </si>
  <si>
    <t>Mexico</t>
  </si>
  <si>
    <t>85</t>
  </si>
  <si>
    <t>Finland</t>
  </si>
  <si>
    <t>86</t>
  </si>
  <si>
    <t>Botswana</t>
  </si>
  <si>
    <t>Burkina Faso</t>
  </si>
  <si>
    <t>Ghana</t>
  </si>
  <si>
    <t>Grenada</t>
  </si>
  <si>
    <t>Ivory Coast</t>
  </si>
  <si>
    <t>Kuwait</t>
  </si>
  <si>
    <t>Moldova</t>
  </si>
  <si>
    <t>Syria</t>
  </si>
  <si>
    <t>Emp ID</t>
  </si>
  <si>
    <t>Gender</t>
  </si>
  <si>
    <t>Department</t>
  </si>
  <si>
    <t>Salary</t>
  </si>
  <si>
    <t>Salary Bucket</t>
  </si>
  <si>
    <t>Start Date</t>
  </si>
  <si>
    <t>FTE</t>
  </si>
  <si>
    <t>Employee type</t>
  </si>
  <si>
    <t>Work location</t>
  </si>
  <si>
    <t>Total Years</t>
  </si>
  <si>
    <t>Work Type</t>
  </si>
  <si>
    <t>PR00147</t>
  </si>
  <si>
    <t>Minerva</t>
  </si>
  <si>
    <t>Ricardot</t>
  </si>
  <si>
    <t>Male</t>
  </si>
  <si>
    <t>Engeneering</t>
  </si>
  <si>
    <t>Above 100k</t>
  </si>
  <si>
    <t>Permanent</t>
  </si>
  <si>
    <t>Remote</t>
  </si>
  <si>
    <t>Fulltime</t>
  </si>
  <si>
    <t>PR04686</t>
  </si>
  <si>
    <t>Oona</t>
  </si>
  <si>
    <t>Donan</t>
  </si>
  <si>
    <t>Female</t>
  </si>
  <si>
    <t>Business Development</t>
  </si>
  <si>
    <t>Above 50k but less than 100k</t>
  </si>
  <si>
    <t>Seattle, USA</t>
  </si>
  <si>
    <t>Partime</t>
  </si>
  <si>
    <t>SQ04612</t>
  </si>
  <si>
    <t>Mick</t>
  </si>
  <si>
    <t>Spraberry</t>
  </si>
  <si>
    <t>Services</t>
  </si>
  <si>
    <t>VT01803</t>
  </si>
  <si>
    <t>Freddy</t>
  </si>
  <si>
    <t>Linford</t>
  </si>
  <si>
    <t>Training</t>
  </si>
  <si>
    <t>Fixed Term</t>
  </si>
  <si>
    <t>TN02749</t>
  </si>
  <si>
    <t>Parasuramudu</t>
  </si>
  <si>
    <t>Jamakayala</t>
  </si>
  <si>
    <t>Hyderabad, India</t>
  </si>
  <si>
    <t>SQ00144</t>
  </si>
  <si>
    <t>Collen</t>
  </si>
  <si>
    <t>Dunbleton</t>
  </si>
  <si>
    <t>Engineering</t>
  </si>
  <si>
    <t>Wellington, New Zealand</t>
  </si>
  <si>
    <t>PR04601</t>
  </si>
  <si>
    <t>Yedukondalu</t>
  </si>
  <si>
    <t>Panditula</t>
  </si>
  <si>
    <t>Unkown</t>
  </si>
  <si>
    <t>Support</t>
  </si>
  <si>
    <t>SQ01854</t>
  </si>
  <si>
    <t>Jessica</t>
  </si>
  <si>
    <t>Callcott</t>
  </si>
  <si>
    <t>Marketing</t>
  </si>
  <si>
    <t>SQ00612</t>
  </si>
  <si>
    <t>Leena</t>
  </si>
  <si>
    <t>Bruckshaw</t>
  </si>
  <si>
    <t>Research and Development</t>
  </si>
  <si>
    <t>PR00419</t>
  </si>
  <si>
    <t>Billi</t>
  </si>
  <si>
    <t>Fellgate</t>
  </si>
  <si>
    <t>VT00578</t>
  </si>
  <si>
    <t>Magnum</t>
  </si>
  <si>
    <t>Locksley</t>
  </si>
  <si>
    <t>Less than 50k</t>
  </si>
  <si>
    <t>TN01281</t>
  </si>
  <si>
    <t>Cletus</t>
  </si>
  <si>
    <t>McGarahan</t>
  </si>
  <si>
    <t>PR04473</t>
  </si>
  <si>
    <t>Wyn</t>
  </si>
  <si>
    <t>Treadger</t>
  </si>
  <si>
    <t>Columbus, USA</t>
  </si>
  <si>
    <t>VT02417</t>
  </si>
  <si>
    <t>Evangelina</t>
  </si>
  <si>
    <t>Lergan</t>
  </si>
  <si>
    <t>Temporary</t>
  </si>
  <si>
    <t>Auckland, New Zealand</t>
  </si>
  <si>
    <t>SQ00691</t>
  </si>
  <si>
    <t>Verla</t>
  </si>
  <si>
    <t>Timmis</t>
  </si>
  <si>
    <t>TN00214</t>
  </si>
  <si>
    <t>Devsena</t>
  </si>
  <si>
    <t>Veluvalapalli</t>
  </si>
  <si>
    <t>Chennai, India</t>
  </si>
  <si>
    <t>VT02539</t>
  </si>
  <si>
    <t>Devinne</t>
  </si>
  <si>
    <t>Tuny</t>
  </si>
  <si>
    <t>SQ04598</t>
  </si>
  <si>
    <t>Pearla</t>
  </si>
  <si>
    <t>Beteriss</t>
  </si>
  <si>
    <t>TN00464</t>
  </si>
  <si>
    <t>Gopal</t>
  </si>
  <si>
    <t>Venkata</t>
  </si>
  <si>
    <t>PR00893</t>
  </si>
  <si>
    <t>Vasavi</t>
  </si>
  <si>
    <t>Veeravasarapu</t>
  </si>
  <si>
    <t>Human Resources</t>
  </si>
  <si>
    <t>PR00882</t>
  </si>
  <si>
    <t>Jill</t>
  </si>
  <si>
    <t>Shipsey</t>
  </si>
  <si>
    <t>Accounting</t>
  </si>
  <si>
    <t>PR03445</t>
  </si>
  <si>
    <t>Myrle</t>
  </si>
  <si>
    <t>Prandoni</t>
  </si>
  <si>
    <t>Sales</t>
  </si>
  <si>
    <t>TN03416</t>
  </si>
  <si>
    <t>Seward</t>
  </si>
  <si>
    <t>Kubera</t>
  </si>
  <si>
    <t>TN00890</t>
  </si>
  <si>
    <t>Mayur</t>
  </si>
  <si>
    <t>Kousika</t>
  </si>
  <si>
    <t>VT04137</t>
  </si>
  <si>
    <t>Marissa</t>
  </si>
  <si>
    <t>Infante</t>
  </si>
  <si>
    <t>PR02603</t>
  </si>
  <si>
    <t>Dinanath</t>
  </si>
  <si>
    <t>Simhambhatla</t>
  </si>
  <si>
    <t>PR03158</t>
  </si>
  <si>
    <t>Danica</t>
  </si>
  <si>
    <t>Nayshe</t>
  </si>
  <si>
    <t>PR02288</t>
  </si>
  <si>
    <t>Althea</t>
  </si>
  <si>
    <t>Bronger</t>
  </si>
  <si>
    <t>Product Management</t>
  </si>
  <si>
    <t>VT03849</t>
  </si>
  <si>
    <t>Leonidas</t>
  </si>
  <si>
    <t>Cavaney</t>
  </si>
  <si>
    <t>SQ01395</t>
  </si>
  <si>
    <t>Dennison</t>
  </si>
  <si>
    <t>Crosswaite</t>
  </si>
  <si>
    <t>Legal</t>
  </si>
  <si>
    <t>SQ02559</t>
  </si>
  <si>
    <t>Aldrich</t>
  </si>
  <si>
    <t>Glenny</t>
  </si>
  <si>
    <t>VT04627</t>
  </si>
  <si>
    <t>Yvette</t>
  </si>
  <si>
    <t>Bett</t>
  </si>
  <si>
    <t>VT03537</t>
  </si>
  <si>
    <t>Renaldo</t>
  </si>
  <si>
    <t>Thomassin</t>
  </si>
  <si>
    <t>PR01662</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</si>
  <si>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</si>
  <si>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</si>
  <si>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</si>
  <si>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</si>
  <si>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</si>
  <si>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</si>
  <si>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</si>
  <si>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</si>
  <si>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</si>
  <si>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</si>
  <si>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</si>
  <si>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</si>
  <si>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</si>
  <si>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</si>
  <si>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</si>
  <si>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</si>
  <si>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</si>
  <si>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</si>
  <si>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</si>
  <si>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</si>
  <si>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</si>
  <si>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</si>
  <si>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</si>
  <si>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</si>
  <si>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</si>
  <si>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</si>
  <si>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</si>
  <si>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</si>
  <si>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</si>
  <si>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</si>
  <si>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</si>
  <si>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</si>
  <si>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</si>
  <si>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</si>
  <si>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</si>
  <si>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</si>
  <si>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</si>
  <si>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</si>
  <si>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</si>
  <si>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</si>
  <si>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</si>
  <si>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</si>
  <si>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</si>
  <si>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</si>
  <si>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</si>
  <si>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</si>
  <si>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</si>
  <si>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PR02208</t>
  </si>
  <si>
    <t>Gowri</t>
  </si>
  <si>
    <t>Sankar</t>
  </si>
  <si>
    <t>SQ01637</t>
  </si>
  <si>
    <t>Joaquin</t>
  </si>
  <si>
    <t>McVitty</t>
  </si>
  <si>
    <t>TN03210</t>
  </si>
  <si>
    <t>Suman</t>
  </si>
  <si>
    <t>Katte</t>
  </si>
  <si>
    <t>PR03844</t>
  </si>
  <si>
    <t>Brose</t>
  </si>
  <si>
    <t>MacCorkell</t>
  </si>
  <si>
    <t>VT04093</t>
  </si>
  <si>
    <t>Prasanna</t>
  </si>
  <si>
    <t>Lakshmi</t>
  </si>
  <si>
    <t>SQ02246</t>
  </si>
  <si>
    <t>Matias</t>
  </si>
  <si>
    <t>Cormack</t>
  </si>
  <si>
    <t>TN03032</t>
  </si>
  <si>
    <t>Jaipal</t>
  </si>
  <si>
    <t>Potanapudi</t>
  </si>
  <si>
    <t>SQ00914</t>
  </si>
  <si>
    <t>Duran</t>
  </si>
  <si>
    <t>Appala</t>
  </si>
  <si>
    <t>SQ02525</t>
  </si>
  <si>
    <t>Mickie</t>
  </si>
  <si>
    <t>Dagwell</t>
  </si>
  <si>
    <t>TN02667</t>
  </si>
  <si>
    <t>Lizzie</t>
  </si>
  <si>
    <t>Mullally</t>
  </si>
  <si>
    <t>PR02782</t>
  </si>
  <si>
    <t>Isaak</t>
  </si>
  <si>
    <t>Rawne</t>
  </si>
  <si>
    <t>TN03331</t>
  </si>
  <si>
    <t>Crawford</t>
  </si>
  <si>
    <t>Scad</t>
  </si>
  <si>
    <t>VT01249</t>
  </si>
  <si>
    <t>Brendan</t>
  </si>
  <si>
    <t>Edgeller</t>
  </si>
  <si>
    <t>PR00576</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</si>
  <si>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</si>
  <si>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</si>
  <si>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</si>
  <si>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</si>
  <si>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</si>
  <si>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</si>
  <si>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</si>
  <si>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</si>
  <si>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</si>
  <si>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</si>
  <si>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</si>
  <si>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</si>
  <si>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</si>
  <si>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</si>
  <si>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</si>
  <si>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</si>
  <si>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</si>
  <si>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</si>
  <si>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</si>
  <si>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</si>
  <si>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PR01346</t>
  </si>
  <si>
    <t>Adolph</t>
  </si>
  <si>
    <t>McNalley</t>
  </si>
  <si>
    <t>VT02118</t>
  </si>
  <si>
    <t>Oorjit</t>
  </si>
  <si>
    <t>Nandanavanam</t>
  </si>
  <si>
    <t>TN02496</t>
  </si>
  <si>
    <t>Ponnan</t>
  </si>
  <si>
    <t>Delhi</t>
  </si>
  <si>
    <t>VT02491</t>
  </si>
  <si>
    <t>Alexis</t>
  </si>
  <si>
    <t>Gotfrey</t>
  </si>
  <si>
    <t>PR03980</t>
  </si>
  <si>
    <t>Kath</t>
  </si>
  <si>
    <t>Bletsoe</t>
  </si>
  <si>
    <t>VT03307</t>
  </si>
  <si>
    <t>Tallie</t>
  </si>
  <si>
    <t>Chaikovski</t>
  </si>
  <si>
    <t>TN04058</t>
  </si>
  <si>
    <t>Subbarao</t>
  </si>
  <si>
    <t>Malladi</t>
  </si>
  <si>
    <t>VT03993</t>
  </si>
  <si>
    <t>Dulce</t>
  </si>
  <si>
    <t>Colbeck</t>
  </si>
  <si>
    <t>VT02663</t>
  </si>
  <si>
    <t>Sravanthi</t>
  </si>
  <si>
    <t>Chalaki</t>
  </si>
  <si>
    <t>PR03034</t>
  </si>
  <si>
    <t>Sreenivasa</t>
  </si>
  <si>
    <t>Naik</t>
  </si>
  <si>
    <t>PR01159</t>
  </si>
  <si>
    <t>Mollie</t>
  </si>
  <si>
    <t>Hanway</t>
  </si>
  <si>
    <t>SQ03476</t>
  </si>
  <si>
    <t>Ramalingam</t>
  </si>
  <si>
    <t>Kothapeta</t>
  </si>
  <si>
    <t>PR04380</t>
  </si>
  <si>
    <t>Van</t>
  </si>
  <si>
    <t>Tuxwell</t>
  </si>
  <si>
    <t>TN00182</t>
  </si>
  <si>
    <t>Camilla</t>
  </si>
  <si>
    <t>Castle</t>
  </si>
  <si>
    <t>VT01523</t>
  </si>
  <si>
    <t>Charmane</t>
  </si>
  <si>
    <t>Heistermann</t>
  </si>
  <si>
    <t>PR00916</t>
  </si>
  <si>
    <t>Inger</t>
  </si>
  <si>
    <t>Chapelhow</t>
  </si>
  <si>
    <t>PR01211</t>
  </si>
  <si>
    <t>Enoch</t>
  </si>
  <si>
    <t>Dowrey</t>
  </si>
  <si>
    <t>VT01684</t>
  </si>
  <si>
    <t>Audry</t>
  </si>
  <si>
    <t>Yu</t>
  </si>
  <si>
    <t>TN04740</t>
  </si>
  <si>
    <t>Tristam</t>
  </si>
  <si>
    <t>Cuming</t>
  </si>
  <si>
    <t>TN03575</t>
  </si>
  <si>
    <t>Janina</t>
  </si>
  <si>
    <t>Wolverson</t>
  </si>
  <si>
    <t>VT04984</t>
  </si>
  <si>
    <t>Dell</t>
  </si>
  <si>
    <t>Molloy</t>
  </si>
  <si>
    <t>PR00095</t>
  </si>
  <si>
    <t>Devrat</t>
  </si>
  <si>
    <t>Damarsingh</t>
  </si>
  <si>
    <t>SQ03546</t>
  </si>
  <si>
    <t>Amlankusum</t>
  </si>
  <si>
    <t>Rajabhushan</t>
  </si>
  <si>
    <t>VT02374</t>
  </si>
  <si>
    <t>Delphine</t>
  </si>
  <si>
    <t>Jewis</t>
  </si>
  <si>
    <t>SQ00450</t>
  </si>
  <si>
    <t>Louise</t>
  </si>
  <si>
    <t>Lamming</t>
  </si>
  <si>
    <t>PR03804</t>
  </si>
  <si>
    <t>Pratigya</t>
  </si>
  <si>
    <t>Rema</t>
  </si>
  <si>
    <t>SQ04488</t>
  </si>
  <si>
    <t>Ramnath</t>
  </si>
  <si>
    <t>Ravuri</t>
  </si>
  <si>
    <t>TN00735</t>
  </si>
  <si>
    <t>Caresa</t>
  </si>
  <si>
    <t>Christer</t>
  </si>
  <si>
    <t>VT01893</t>
  </si>
  <si>
    <t>Lindy</t>
  </si>
  <si>
    <t>Guillet</t>
  </si>
  <si>
    <t>SQ02223</t>
  </si>
  <si>
    <t>Pippy</t>
  </si>
  <si>
    <t>Shepperd</t>
  </si>
  <si>
    <t>PR02010</t>
  </si>
  <si>
    <t>Prerana</t>
  </si>
  <si>
    <t>Nishita</t>
  </si>
  <si>
    <t>SQ00498</t>
  </si>
  <si>
    <t>Amery</t>
  </si>
  <si>
    <t>Ofer</t>
  </si>
  <si>
    <t>PR02113</t>
  </si>
  <si>
    <t>Beverie</t>
  </si>
  <si>
    <t>Moffet</t>
  </si>
  <si>
    <t>TN00727</t>
  </si>
  <si>
    <t>Dulsea</t>
  </si>
  <si>
    <t>Folkes</t>
  </si>
  <si>
    <t>SQ01697</t>
  </si>
  <si>
    <t>Makshi</t>
  </si>
  <si>
    <t>Vinutha</t>
  </si>
  <si>
    <t>SQ01519</t>
  </si>
  <si>
    <t>Caron</t>
  </si>
  <si>
    <t>Kolakovic</t>
  </si>
  <si>
    <t>PR00210</t>
  </si>
  <si>
    <t>Marquita</t>
  </si>
  <si>
    <t>Liquorish</t>
  </si>
  <si>
    <t>VT03500</t>
  </si>
  <si>
    <t>Shiuli</t>
  </si>
  <si>
    <t>Sapna</t>
  </si>
  <si>
    <t>SQ01962</t>
  </si>
  <si>
    <t>Lezlie</t>
  </si>
  <si>
    <t>Philcott</t>
  </si>
  <si>
    <t>TN01210</t>
  </si>
  <si>
    <t>Alyosha</t>
  </si>
  <si>
    <t>Riquet</t>
  </si>
  <si>
    <t>SQ02051</t>
  </si>
  <si>
    <t>Agrata</t>
  </si>
  <si>
    <t>Rajarama</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</si>
  <si>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</si>
  <si>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</si>
  <si>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</si>
  <si>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</si>
  <si>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</si>
  <si>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</si>
  <si>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</si>
  <si>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</si>
  <si>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</si>
  <si>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</si>
  <si>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</si>
  <si>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</si>
  <si>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</si>
  <si>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</si>
  <si>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</si>
  <si>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</si>
  <si>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</si>
  <si>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</si>
  <si>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</si>
  <si>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</si>
  <si>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</si>
  <si>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</si>
  <si>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</si>
  <si>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</si>
  <si>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</si>
  <si>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</si>
  <si>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</si>
  <si>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</si>
  <si>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</si>
  <si>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PR01956</t>
  </si>
  <si>
    <t>Jamesy</t>
  </si>
  <si>
    <t>O'Ferris</t>
  </si>
  <si>
    <t>PR02140</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</si>
  <si>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</si>
  <si>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</si>
  <si>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</si>
  <si>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</si>
  <si>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</si>
  <si>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</si>
  <si>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</si>
  <si>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</si>
  <si>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</si>
  <si>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</si>
  <si>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</si>
  <si>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</si>
  <si>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</si>
  <si>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</si>
  <si>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</si>
  <si>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</si>
  <si>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</si>
  <si>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</si>
  <si>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</si>
  <si>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</si>
  <si>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PR04446</t>
  </si>
  <si>
    <t>Sameer</t>
  </si>
  <si>
    <t>Shashank</t>
  </si>
  <si>
    <t>SQ01283</t>
  </si>
  <si>
    <t>Barr</t>
  </si>
  <si>
    <t>Faughny</t>
  </si>
  <si>
    <t>SQ01026</t>
  </si>
  <si>
    <t>Anumati</t>
  </si>
  <si>
    <t>Shyamari</t>
  </si>
  <si>
    <t>TN01912</t>
  </si>
  <si>
    <t>Fred</t>
  </si>
  <si>
    <t>Dudeney</t>
  </si>
  <si>
    <t>VT02319</t>
  </si>
  <si>
    <t>Tarala</t>
  </si>
  <si>
    <t>Vishaal</t>
  </si>
  <si>
    <t>SQ04960</t>
  </si>
  <si>
    <t>Shubhra</t>
  </si>
  <si>
    <t>Potla</t>
  </si>
  <si>
    <t>SQ01829</t>
  </si>
  <si>
    <t>Mabel</t>
  </si>
  <si>
    <t>Orrow</t>
  </si>
  <si>
    <t>SQ00022</t>
  </si>
  <si>
    <t>Carlin</t>
  </si>
  <si>
    <t>Demke</t>
  </si>
  <si>
    <t>Hemavati</t>
  </si>
  <si>
    <t>Muthiah</t>
  </si>
  <si>
    <t>TN02798</t>
  </si>
  <si>
    <t>Krittika</t>
  </si>
  <si>
    <t>Gaekwad</t>
  </si>
  <si>
    <t>VT02532</t>
  </si>
  <si>
    <t>Adey</t>
  </si>
  <si>
    <t>Ryal</t>
  </si>
  <si>
    <t>PR02321</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</si>
  <si>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</si>
  <si>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</si>
  <si>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</si>
  <si>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</si>
  <si>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</si>
  <si>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</si>
  <si>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</si>
  <si>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</si>
  <si>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</si>
  <si>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</si>
  <si>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</si>
  <si>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</si>
  <si>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</si>
  <si>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</si>
  <si>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</si>
  <si>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</si>
  <si>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</si>
  <si>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</si>
  <si>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</si>
  <si>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</si>
  <si>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</si>
  <si>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</si>
  <si>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</si>
  <si>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PR03271</t>
  </si>
  <si>
    <t>Stan</t>
  </si>
  <si>
    <t>Tolliday</t>
  </si>
  <si>
    <t>VT01101</t>
  </si>
  <si>
    <t>Adela</t>
  </si>
  <si>
    <t>Dowsett</t>
  </si>
  <si>
    <t>TN04660</t>
  </si>
  <si>
    <t>Thedrick</t>
  </si>
  <si>
    <t>Bothwell</t>
  </si>
  <si>
    <t>VT00596</t>
  </si>
  <si>
    <t>Letisha</t>
  </si>
  <si>
    <t>Carrett</t>
  </si>
  <si>
    <t>VT03552</t>
  </si>
  <si>
    <t>Kamalakshi</t>
  </si>
  <si>
    <t>Mukundan</t>
  </si>
  <si>
    <t>TN00083</t>
  </si>
  <si>
    <t>Chandana</t>
  </si>
  <si>
    <t>Sannidhi</t>
  </si>
  <si>
    <t>SQ02643</t>
  </si>
  <si>
    <t>Indu</t>
  </si>
  <si>
    <t>Varada</t>
  </si>
  <si>
    <t>Karuna</t>
  </si>
  <si>
    <t>Pashupathy</t>
  </si>
  <si>
    <t>TN02674</t>
  </si>
  <si>
    <t>Antonetta</t>
  </si>
  <si>
    <t>Coggeshall</t>
  </si>
  <si>
    <t>TN02727</t>
  </si>
  <si>
    <t>Wald</t>
  </si>
  <si>
    <t>Bountiff</t>
  </si>
  <si>
    <t>VT01323</t>
  </si>
  <si>
    <t>Mardav</t>
  </si>
  <si>
    <t>Ramaswami</t>
  </si>
  <si>
    <t>PR03886</t>
  </si>
  <si>
    <t>Edd</t>
  </si>
  <si>
    <t>MacKnockiter</t>
  </si>
  <si>
    <t>PR00746</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</si>
  <si>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</si>
  <si>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</si>
  <si>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</si>
  <si>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</si>
  <si>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</si>
  <si>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</si>
  <si>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</si>
  <si>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</si>
  <si>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</si>
  <si>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</si>
  <si>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</si>
  <si>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</si>
  <si>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</si>
  <si>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</si>
  <si>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</si>
  <si>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</si>
  <si>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</si>
  <si>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</si>
  <si>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</si>
  <si>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</si>
  <si>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</si>
  <si>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</si>
  <si>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</si>
  <si>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</si>
  <si>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</si>
  <si>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</si>
  <si>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</si>
  <si>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t>
  </si>
  <si>
    <t>PR02016</t>
  </si>
  <si>
    <t>Iris</t>
  </si>
  <si>
    <t>Wagg</t>
  </si>
  <si>
    <t>VT04415</t>
  </si>
  <si>
    <t>Malory</t>
  </si>
  <si>
    <t>Biles</t>
  </si>
  <si>
    <t>TN04067</t>
  </si>
  <si>
    <t>Lea</t>
  </si>
  <si>
    <t>Chaplin</t>
  </si>
  <si>
    <t>TN04175</t>
  </si>
  <si>
    <t>Hinda</t>
  </si>
  <si>
    <t>Label</t>
  </si>
  <si>
    <t>VT00687</t>
  </si>
  <si>
    <t>Godavari</t>
  </si>
  <si>
    <t>Veena</t>
  </si>
  <si>
    <t>PR01269</t>
  </si>
  <si>
    <t>Eleonore</t>
  </si>
  <si>
    <t>Airdrie</t>
  </si>
  <si>
    <t>TN00579</t>
  </si>
  <si>
    <t>Rafaelita</t>
  </si>
  <si>
    <t>Blaksland</t>
  </si>
  <si>
    <t>TN03097</t>
  </si>
  <si>
    <t>Bendite</t>
  </si>
  <si>
    <t>Bloan</t>
  </si>
  <si>
    <t>SQ02174</t>
  </si>
  <si>
    <t>Sidoney</t>
  </si>
  <si>
    <t>Yitzhok</t>
  </si>
  <si>
    <t>PR02957</t>
  </si>
  <si>
    <t>Vaughn</t>
  </si>
  <si>
    <t>Carvill</t>
  </si>
  <si>
    <t>TN01601</t>
  </si>
  <si>
    <t>Melva</t>
  </si>
  <si>
    <t>Jickells</t>
  </si>
  <si>
    <t>SQ01730</t>
  </si>
  <si>
    <t>Austine</t>
  </si>
  <si>
    <t>Littlewood</t>
  </si>
  <si>
    <t>TN03355</t>
  </si>
  <si>
    <t>Ruby</t>
  </si>
  <si>
    <t>Cracie</t>
  </si>
  <si>
    <t>VT01246</t>
  </si>
  <si>
    <t>Zach</t>
  </si>
  <si>
    <t>Polon</t>
  </si>
  <si>
    <t>PR02275</t>
  </si>
  <si>
    <t>TN04166</t>
  </si>
  <si>
    <t>Dowdle</t>
  </si>
  <si>
    <t>SQ00070</t>
  </si>
  <si>
    <t>Larissa</t>
  </si>
  <si>
    <t>Ingledow</t>
  </si>
  <si>
    <t>TN01701</t>
  </si>
  <si>
    <t>Yves</t>
  </si>
  <si>
    <t>Pawlik</t>
  </si>
  <si>
    <t>VT03298</t>
  </si>
  <si>
    <t>Nonah</t>
  </si>
  <si>
    <t>Bissell</t>
  </si>
  <si>
    <t>TN04892</t>
  </si>
  <si>
    <t>Luca</t>
  </si>
  <si>
    <t>Wolstenholme</t>
  </si>
  <si>
    <t>PR01055</t>
  </si>
  <si>
    <t>Devasree</t>
  </si>
  <si>
    <t>Fullara</t>
  </si>
  <si>
    <t>SQ04437</t>
  </si>
  <si>
    <t>Hephzibah</t>
  </si>
  <si>
    <t>Summerell</t>
  </si>
  <si>
    <t>PR00770</t>
  </si>
  <si>
    <t>Beryl</t>
  </si>
  <si>
    <t>Burnsyde</t>
  </si>
  <si>
    <t>VT01762</t>
  </si>
  <si>
    <t>Geena</t>
  </si>
  <si>
    <t>Raghavanpillai</t>
  </si>
  <si>
    <t>VT04273</t>
  </si>
  <si>
    <t>Brad</t>
  </si>
  <si>
    <t>Gumb</t>
  </si>
  <si>
    <t>SQ00187</t>
  </si>
  <si>
    <t>Rupak</t>
  </si>
  <si>
    <t>Mehra</t>
  </si>
  <si>
    <t>PR00113</t>
  </si>
  <si>
    <t>PR01383</t>
  </si>
  <si>
    <t>Addi</t>
  </si>
  <si>
    <t>Studdeard</t>
  </si>
  <si>
    <t>TN00258</t>
  </si>
  <si>
    <t>Joyce</t>
  </si>
  <si>
    <t>Leyband</t>
  </si>
  <si>
    <t>VT00476</t>
  </si>
  <si>
    <t>Hartin</t>
  </si>
  <si>
    <t>Sawini</t>
  </si>
  <si>
    <t>Chandan</t>
  </si>
  <si>
    <t>Baruna</t>
  </si>
  <si>
    <t>Ogale</t>
  </si>
  <si>
    <t>TN01566</t>
  </si>
  <si>
    <t>Fonzie</t>
  </si>
  <si>
    <t>O'Shea</t>
  </si>
  <si>
    <t>PR04851</t>
  </si>
  <si>
    <t>Rodina</t>
  </si>
  <si>
    <t>Drinan</t>
  </si>
  <si>
    <t>PR00007</t>
  </si>
  <si>
    <t>Torrance</t>
  </si>
  <si>
    <t>Collier</t>
  </si>
  <si>
    <t>SQ03491</t>
  </si>
  <si>
    <t>Freda</t>
  </si>
  <si>
    <t>Legan</t>
  </si>
  <si>
    <t>SQ02465</t>
  </si>
  <si>
    <t>Bernie</t>
  </si>
  <si>
    <t>Gorges</t>
  </si>
  <si>
    <t>VT00194</t>
  </si>
  <si>
    <t>Violante</t>
  </si>
  <si>
    <t>Courtonne</t>
  </si>
  <si>
    <t>TN00328</t>
  </si>
  <si>
    <t>Jeannie</t>
  </si>
  <si>
    <t>Petracco</t>
  </si>
  <si>
    <t>PR03137</t>
  </si>
  <si>
    <t>Jagajeet</t>
  </si>
  <si>
    <t>Viraj</t>
  </si>
  <si>
    <t>PR00246</t>
  </si>
  <si>
    <t>Husein</t>
  </si>
  <si>
    <t>Augar</t>
  </si>
  <si>
    <t>SQ02371</t>
  </si>
  <si>
    <t>Alida</t>
  </si>
  <si>
    <t>Welman</t>
  </si>
  <si>
    <t>VT04350</t>
  </si>
  <si>
    <t>Kulbhushan</t>
  </si>
  <si>
    <t>Moorthy</t>
  </si>
  <si>
    <t>SQ02035</t>
  </si>
  <si>
    <t>Anni</t>
  </si>
  <si>
    <t>Izzard</t>
  </si>
  <si>
    <t>SQ00286</t>
  </si>
  <si>
    <t>Ilesh</t>
  </si>
  <si>
    <t>Dasgupta</t>
  </si>
  <si>
    <t>TN02205</t>
  </si>
  <si>
    <t>Madhumati</t>
  </si>
  <si>
    <t>Gazala</t>
  </si>
  <si>
    <t>VT00740</t>
  </si>
  <si>
    <t>Chitrasen</t>
  </si>
  <si>
    <t>Laul</t>
  </si>
  <si>
    <t>PR01476</t>
  </si>
  <si>
    <t>Jaishree</t>
  </si>
  <si>
    <t>Atasi</t>
  </si>
  <si>
    <t>SQ03112</t>
  </si>
  <si>
    <t>Kantimoy</t>
  </si>
  <si>
    <t>Pritish</t>
  </si>
  <si>
    <t>PR01943</t>
  </si>
  <si>
    <t>Rameshwari</t>
  </si>
  <si>
    <t>Chikodi</t>
  </si>
  <si>
    <t>Lalit</t>
  </si>
  <si>
    <t>Kothari</t>
  </si>
  <si>
    <t>VT01996</t>
  </si>
  <si>
    <t>Hali</t>
  </si>
  <si>
    <t>Behnecke</t>
  </si>
  <si>
    <t>Sahas</t>
  </si>
  <si>
    <t>Sanabhi</t>
  </si>
  <si>
    <t>SQ04934</t>
  </si>
  <si>
    <t>Pedro</t>
  </si>
  <si>
    <t>St.</t>
  </si>
  <si>
    <t>SQ02624</t>
  </si>
  <si>
    <t>Gwenneth</t>
  </si>
  <si>
    <t>Fealey</t>
  </si>
  <si>
    <t>SQ02565</t>
  </si>
  <si>
    <t>Konstantin</t>
  </si>
  <si>
    <t>Timblett</t>
  </si>
  <si>
    <t>SQ02582</t>
  </si>
  <si>
    <t>Kaishori</t>
  </si>
  <si>
    <t>Harathi</t>
  </si>
  <si>
    <t>TN02397</t>
  </si>
  <si>
    <t>Mendel</t>
  </si>
  <si>
    <t>Gentsch</t>
  </si>
  <si>
    <t>TN04265</t>
  </si>
  <si>
    <t>Rushil</t>
  </si>
  <si>
    <t>Kripa</t>
  </si>
  <si>
    <t>TN02204</t>
  </si>
  <si>
    <t>PR01306</t>
  </si>
  <si>
    <t>Patti</t>
  </si>
  <si>
    <t>Dradey</t>
  </si>
  <si>
    <t>VT03771</t>
  </si>
  <si>
    <t>Marjie</t>
  </si>
  <si>
    <t>Bamford</t>
  </si>
  <si>
    <t>SQ04613</t>
  </si>
  <si>
    <t>Sarojini</t>
  </si>
  <si>
    <t>Naueshwara</t>
  </si>
  <si>
    <t>PR02436</t>
  </si>
  <si>
    <t>Marmaduke</t>
  </si>
  <si>
    <t>Worssam</t>
  </si>
  <si>
    <t>VT00534</t>
  </si>
  <si>
    <t>Roselle</t>
  </si>
  <si>
    <t>Wandrach</t>
  </si>
  <si>
    <t>Sartaj</t>
  </si>
  <si>
    <t>Probal</t>
  </si>
  <si>
    <t>TN01396</t>
  </si>
  <si>
    <t>Koral</t>
  </si>
  <si>
    <t>Gerriet</t>
  </si>
  <si>
    <t>TN02377</t>
  </si>
  <si>
    <t>Anjela</t>
  </si>
  <si>
    <t>Spancock</t>
  </si>
  <si>
    <t>PR03532</t>
  </si>
  <si>
    <t>TN02988</t>
  </si>
  <si>
    <t>Mahindra</t>
  </si>
  <si>
    <t>Sreedharan</t>
  </si>
  <si>
    <t>VT04905</t>
  </si>
  <si>
    <t>Suchira</t>
  </si>
  <si>
    <t>Bhanupriya</t>
  </si>
  <si>
    <t>PR04366</t>
  </si>
  <si>
    <t>Carry</t>
  </si>
  <si>
    <t>Loblie</t>
  </si>
  <si>
    <t>Sushanti</t>
  </si>
  <si>
    <t>TN04775</t>
  </si>
  <si>
    <t>Hridaynath</t>
  </si>
  <si>
    <t>Tendulkar</t>
  </si>
  <si>
    <t>SQ03625</t>
  </si>
  <si>
    <t>Fidela</t>
  </si>
  <si>
    <t>Artis</t>
  </si>
  <si>
    <t xml:space="preserve">1. Total Salary and headcount by department </t>
  </si>
  <si>
    <t>Total Departments</t>
  </si>
  <si>
    <t>First Name</t>
  </si>
  <si>
    <t>Last Name</t>
  </si>
  <si>
    <t>Head Count</t>
  </si>
  <si>
    <t>2. All Employees with more thank 100k Salary</t>
  </si>
  <si>
    <t>List Of Employee Id's</t>
  </si>
  <si>
    <t>3. All Female employees with more than 100k Salary</t>
  </si>
  <si>
    <t>Number of Employees with more than 100k</t>
  </si>
  <si>
    <t>Number of female Employees with more than 100k</t>
  </si>
  <si>
    <t>4.Lowest highest, and Top 5 Salary Values</t>
  </si>
  <si>
    <t>Highest Salary</t>
  </si>
  <si>
    <t>Lowest salary</t>
  </si>
  <si>
    <t>Top 5 salaries using Large</t>
  </si>
  <si>
    <t>Top 5 salaries using SORT + TAKE</t>
  </si>
  <si>
    <t>TotalEMp</t>
  </si>
  <si>
    <t>5. List of All Department</t>
  </si>
  <si>
    <t>No of departments</t>
  </si>
  <si>
    <t>List of departments</t>
  </si>
  <si>
    <t>6. Employee details LookUp</t>
  </si>
  <si>
    <t>Enter EmpId</t>
  </si>
  <si>
    <t>Employee Department using VLOOKUP</t>
  </si>
  <si>
    <t xml:space="preserve">Who is the Highest paid employee by Match and Index </t>
  </si>
  <si>
    <t>7. XLOOKUP + MAX</t>
  </si>
  <si>
    <t>Who is the Highest paid employee by XLOOKUP and MAX</t>
  </si>
  <si>
    <t>Entire Record using XLOOKUP</t>
  </si>
  <si>
    <t>List of Employes whose name starts with J</t>
  </si>
  <si>
    <t>Count of Employes whose name starts with J</t>
  </si>
  <si>
    <t>8. List of the Employees who joined in month of March</t>
  </si>
  <si>
    <t>List of the Employees who joined in month of March</t>
  </si>
  <si>
    <t>List of the Employees who joined on Monday</t>
  </si>
  <si>
    <t>10. Department vise report</t>
  </si>
  <si>
    <t>Headcount</t>
  </si>
  <si>
    <t>Avg. Salary</t>
  </si>
  <si>
    <t>%diff from
Overall avg</t>
  </si>
  <si>
    <t>Heighest Salary</t>
  </si>
  <si>
    <t>ALL Department</t>
  </si>
  <si>
    <t>Call number</t>
  </si>
  <si>
    <t>Customer ID</t>
  </si>
  <si>
    <t>Duration</t>
  </si>
  <si>
    <t>Representative</t>
  </si>
  <si>
    <t>Date of Call</t>
  </si>
  <si>
    <t>Purchase Amount</t>
  </si>
  <si>
    <t>Satisfaction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</si>
  <si>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</si>
  <si>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</si>
  <si>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</si>
  <si>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</si>
  <si>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</si>
  <si>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</si>
  <si>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</si>
  <si>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</si>
  <si>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</si>
  <si>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</si>
  <si>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</si>
  <si>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</si>
  <si>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</si>
  <si>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</si>
  <si>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</si>
  <si>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</si>
  <si>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</si>
  <si>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</si>
  <si>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</si>
  <si>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</si>
  <si>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</si>
  <si>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</si>
  <si>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</si>
  <si>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</si>
  <si>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</si>
  <si>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</si>
  <si>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</si>
  <si>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</si>
  <si>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</si>
  <si>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</si>
  <si>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</si>
  <si>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</si>
  <si>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</si>
  <si>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</si>
  <si>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</si>
  <si>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</si>
  <si>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</si>
  <si>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</si>
  <si>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</si>
  <si>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</si>
  <si>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</si>
  <si>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</si>
  <si>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</si>
  <si>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</si>
  <si>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</si>
  <si>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</si>
  <si>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</si>
  <si>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</si>
  <si>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</si>
  <si>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</si>
  <si>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</si>
  <si>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</si>
  <si>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</si>
  <si>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</si>
  <si>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</si>
  <si>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</si>
  <si>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</si>
  <si>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</si>
  <si>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</si>
  <si>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</si>
  <si>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</si>
  <si>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</si>
  <si>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</si>
  <si>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</si>
  <si>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</si>
  <si>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</si>
  <si>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</si>
  <si>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</si>
  <si>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</si>
  <si>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</si>
  <si>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</si>
  <si>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</si>
  <si>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</si>
  <si>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</si>
  <si>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</si>
  <si>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</si>
  <si>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</si>
  <si>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</si>
  <si>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</si>
  <si>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</si>
  <si>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</si>
  <si>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</si>
  <si>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</si>
  <si>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</si>
  <si>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</si>
  <si>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</si>
  <si>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</si>
  <si>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</si>
  <si>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</si>
  <si>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</si>
  <si>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</si>
  <si>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</si>
  <si>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</si>
  <si>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</si>
  <si>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</si>
  <si>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</si>
  <si>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</si>
  <si>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</si>
  <si>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</si>
  <si>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</si>
  <si>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</si>
  <si>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</si>
  <si>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</si>
  <si>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</si>
  <si>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</si>
  <si>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</si>
  <si>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</si>
  <si>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</si>
  <si>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</si>
  <si>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</si>
  <si>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</si>
  <si>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</si>
  <si>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</si>
  <si>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</si>
  <si>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</si>
  <si>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</si>
  <si>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</si>
  <si>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</si>
  <si>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</si>
  <si>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</si>
  <si>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</si>
  <si>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</si>
  <si>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</si>
  <si>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</si>
  <si>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</si>
  <si>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</si>
  <si>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</si>
  <si>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</si>
  <si>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</si>
  <si>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</si>
  <si>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</si>
  <si>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</si>
  <si>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</si>
  <si>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</si>
  <si>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</si>
  <si>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</si>
  <si>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</si>
  <si>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</si>
  <si>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</si>
  <si>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</si>
  <si>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</si>
  <si>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</si>
  <si>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</si>
  <si>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</si>
  <si>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</si>
  <si>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</si>
  <si>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</si>
  <si>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</si>
  <si>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</si>
  <si>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</si>
  <si>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</si>
  <si>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</si>
  <si>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</si>
  <si>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</si>
  <si>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</si>
  <si>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</si>
  <si>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</si>
  <si>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</si>
  <si>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</si>
  <si>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</si>
  <si>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</si>
  <si>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</si>
  <si>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</si>
  <si>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</si>
  <si>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</si>
  <si>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</si>
  <si>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</si>
  <si>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</si>
  <si>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</si>
  <si>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</si>
  <si>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</si>
  <si>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</si>
  <si>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</si>
  <si>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</si>
  <si>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</si>
  <si>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</si>
  <si>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</si>
  <si>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</si>
  <si>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</si>
  <si>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</si>
  <si>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</si>
  <si>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</si>
  <si>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</si>
  <si>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</si>
  <si>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</si>
  <si>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</si>
  <si>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</si>
  <si>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</si>
  <si>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</si>
  <si>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</si>
  <si>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</si>
  <si>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</si>
  <si>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</si>
  <si>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</si>
  <si>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</si>
  <si>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</si>
  <si>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</si>
  <si>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</si>
  <si>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</si>
  <si>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</si>
  <si>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</si>
  <si>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</si>
  <si>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</si>
  <si>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</si>
  <si>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</si>
  <si>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</si>
  <si>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</si>
  <si>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</si>
  <si>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</si>
  <si>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</si>
  <si>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</si>
  <si>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</si>
  <si>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</si>
  <si>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</si>
  <si>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</si>
  <si>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</si>
  <si>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</si>
  <si>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</si>
  <si>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</si>
  <si>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</si>
  <si>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</si>
  <si>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</si>
  <si>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</si>
  <si>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</si>
  <si>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</si>
  <si>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</si>
  <si>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</si>
  <si>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</si>
  <si>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</si>
  <si>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</si>
  <si>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</si>
  <si>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</si>
  <si>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</si>
  <si>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</si>
  <si>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</si>
  <si>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</si>
  <si>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</si>
  <si>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</si>
  <si>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</si>
  <si>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</si>
  <si>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</si>
  <si>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</si>
  <si>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</si>
  <si>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</si>
  <si>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</si>
  <si>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</si>
  <si>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</si>
  <si>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</si>
  <si>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</si>
  <si>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</si>
  <si>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</si>
  <si>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</si>
  <si>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</si>
  <si>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</si>
  <si>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</si>
  <si>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</si>
  <si>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</si>
  <si>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</si>
  <si>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</si>
  <si>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</si>
  <si>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</si>
  <si>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</si>
  <si>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</si>
  <si>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</si>
  <si>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</si>
  <si>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</si>
  <si>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</si>
  <si>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</si>
  <si>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</si>
  <si>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</si>
  <si>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</si>
  <si>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</si>
  <si>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</si>
  <si>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</si>
  <si>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</si>
  <si>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</si>
  <si>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</si>
  <si>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</si>
  <si>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</si>
  <si>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</si>
  <si>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</si>
  <si>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</si>
  <si>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</si>
  <si>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</si>
  <si>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</si>
  <si>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</si>
  <si>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</si>
  <si>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</si>
  <si>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</si>
  <si>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</si>
  <si>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</si>
  <si>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</si>
  <si>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</si>
  <si>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</si>
  <si>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</si>
  <si>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</si>
  <si>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</si>
  <si>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</si>
  <si>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</si>
  <si>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</si>
  <si>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</si>
  <si>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</si>
  <si>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</si>
  <si>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</si>
  <si>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</si>
  <si>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</si>
  <si>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</si>
  <si>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</si>
  <si>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</si>
  <si>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</si>
  <si>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</si>
  <si>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</si>
  <si>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</si>
  <si>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</si>
  <si>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</si>
  <si>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</si>
  <si>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</si>
  <si>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</si>
  <si>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</si>
  <si>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</si>
  <si>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</si>
  <si>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</si>
  <si>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</si>
  <si>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</si>
  <si>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</si>
  <si>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</si>
  <si>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</si>
  <si>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</si>
  <si>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</si>
  <si>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</si>
  <si>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</si>
  <si>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</si>
  <si>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</si>
  <si>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</si>
  <si>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</si>
  <si>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</si>
  <si>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</si>
  <si>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</si>
  <si>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</si>
  <si>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</si>
  <si>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</si>
  <si>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</si>
  <si>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</si>
  <si>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</si>
  <si>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</si>
  <si>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</si>
  <si>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</si>
  <si>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</si>
  <si>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</si>
  <si>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</si>
  <si>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</si>
  <si>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</si>
  <si>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</si>
  <si>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</si>
  <si>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</si>
  <si>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</si>
  <si>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</si>
  <si>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</si>
  <si>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</si>
  <si>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</si>
  <si>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</si>
  <si>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</si>
  <si>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</si>
  <si>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</si>
  <si>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</si>
  <si>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</si>
  <si>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</si>
  <si>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</si>
  <si>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</si>
  <si>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</si>
  <si>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</si>
  <si>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</si>
  <si>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</si>
  <si>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</si>
  <si>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</si>
  <si>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</si>
  <si>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</si>
  <si>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</si>
  <si>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</si>
  <si>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</si>
  <si>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</si>
  <si>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</si>
  <si>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</si>
  <si>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</si>
  <si>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</si>
  <si>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</si>
  <si>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</si>
  <si>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</si>
  <si>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</si>
  <si>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</si>
  <si>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</si>
  <si>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</si>
  <si>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</si>
  <si>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</si>
  <si>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</si>
  <si>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</si>
  <si>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</si>
  <si>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</si>
  <si>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</si>
  <si>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</si>
  <si>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</si>
  <si>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</si>
  <si>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</si>
  <si>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</si>
  <si>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</si>
  <si>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</si>
  <si>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</si>
  <si>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</si>
  <si>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</si>
  <si>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</si>
  <si>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</si>
  <si>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</si>
  <si>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</si>
  <si>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</si>
  <si>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</si>
  <si>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</si>
  <si>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</si>
  <si>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</si>
  <si>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</si>
  <si>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</si>
  <si>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</si>
  <si>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</si>
  <si>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</si>
  <si>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</si>
  <si>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</si>
  <si>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</si>
  <si>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</si>
  <si>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</si>
  <si>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</si>
  <si>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</si>
  <si>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</si>
  <si>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</si>
  <si>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</si>
  <si>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</si>
  <si>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</si>
  <si>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</si>
  <si>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</si>
  <si>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</si>
  <si>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</si>
  <si>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</si>
  <si>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</si>
  <si>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</si>
  <si>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</si>
  <si>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</si>
  <si>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</si>
  <si>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</si>
  <si>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</si>
  <si>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</si>
  <si>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</si>
  <si>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</si>
  <si>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</si>
  <si>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</si>
  <si>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</si>
  <si>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</si>
  <si>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</si>
  <si>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</si>
  <si>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</si>
  <si>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</si>
  <si>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</si>
  <si>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</si>
  <si>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</si>
  <si>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</si>
  <si>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</si>
  <si>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</si>
  <si>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</si>
  <si>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</si>
  <si>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</si>
  <si>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</si>
  <si>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</si>
  <si>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</si>
  <si>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</si>
  <si>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</si>
  <si>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</si>
  <si>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</si>
  <si>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</si>
  <si>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</si>
  <si>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</si>
  <si>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</si>
  <si>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</si>
  <si>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</si>
  <si>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</si>
  <si>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</si>
  <si>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</si>
  <si>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</si>
  <si>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</si>
  <si>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</si>
  <si>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</si>
  <si>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</si>
  <si>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</si>
  <si>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</si>
  <si>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</si>
  <si>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</si>
  <si>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</si>
  <si>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</si>
  <si>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</si>
  <si>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</si>
  <si>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</si>
  <si>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</si>
  <si>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</si>
  <si>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</si>
  <si>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</si>
  <si>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</si>
  <si>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</si>
  <si>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</si>
  <si>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</si>
  <si>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</si>
  <si>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</si>
  <si>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</si>
  <si>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</si>
  <si>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</si>
  <si>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</si>
  <si>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</si>
  <si>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</si>
  <si>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</si>
  <si>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</si>
  <si>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</si>
  <si>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</si>
  <si>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</si>
  <si>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</si>
  <si>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</si>
  <si>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</si>
  <si>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</si>
  <si>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</si>
  <si>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</si>
  <si>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</si>
  <si>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</si>
  <si>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</si>
  <si>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</si>
  <si>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</si>
  <si>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</si>
  <si>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</si>
  <si>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</si>
  <si>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</si>
  <si>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</si>
  <si>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</si>
  <si>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</si>
  <si>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</si>
  <si>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</si>
  <si>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</si>
  <si>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</si>
  <si>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</si>
  <si>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</si>
  <si>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</si>
  <si>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</si>
  <si>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</si>
  <si>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</si>
  <si>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</si>
  <si>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</si>
  <si>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</si>
  <si>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</si>
  <si>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</si>
  <si>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</si>
  <si>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</si>
  <si>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</si>
  <si>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</si>
  <si>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</si>
  <si>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</si>
  <si>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</si>
  <si>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</si>
  <si>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</si>
  <si>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</si>
  <si>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</si>
  <si>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</si>
  <si>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</si>
  <si>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</si>
  <si>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</si>
  <si>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</si>
  <si>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</si>
  <si>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</si>
  <si>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</si>
  <si>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</si>
  <si>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</si>
  <si>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</si>
  <si>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</si>
  <si>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</si>
  <si>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</si>
  <si>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</si>
  <si>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</si>
  <si>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</si>
  <si>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</si>
  <si>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</si>
  <si>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</si>
  <si>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</si>
  <si>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</si>
  <si>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</si>
  <si>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</si>
  <si>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</si>
  <si>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</si>
  <si>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</si>
  <si>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</si>
  <si>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</si>
  <si>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</si>
  <si>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</si>
  <si>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</si>
  <si>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</si>
  <si>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</si>
  <si>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</si>
  <si>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</si>
  <si>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</si>
  <si>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</si>
  <si>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</si>
  <si>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</si>
  <si>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</si>
  <si>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</si>
  <si>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</si>
  <si>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</si>
  <si>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</si>
  <si>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</si>
  <si>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</si>
  <si>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</si>
  <si>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</si>
  <si>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</si>
  <si>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</si>
  <si>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</si>
  <si>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</si>
  <si>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</si>
  <si>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</si>
  <si>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</si>
  <si>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</si>
  <si>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</si>
  <si>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</si>
  <si>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</si>
  <si>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</si>
  <si>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</si>
  <si>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</si>
  <si>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</si>
  <si>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</si>
  <si>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</si>
  <si>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</si>
  <si>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</si>
  <si>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</si>
  <si>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</si>
  <si>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</si>
  <si>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</si>
  <si>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</si>
  <si>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</si>
  <si>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</si>
  <si>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</si>
  <si>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</si>
  <si>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</si>
  <si>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</si>
  <si>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</si>
  <si>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</si>
  <si>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</si>
  <si>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</si>
  <si>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</si>
  <si>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</si>
  <si>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</si>
  <si>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</si>
  <si>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</si>
  <si>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</si>
  <si>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</si>
  <si>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</si>
  <si>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</si>
  <si>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</si>
  <si>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</si>
  <si>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</si>
  <si>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</si>
  <si>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</si>
  <si>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</si>
  <si>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</si>
  <si>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</si>
  <si>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</si>
  <si>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</si>
  <si>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</si>
  <si>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</si>
  <si>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</si>
  <si>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</si>
  <si>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</si>
  <si>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</si>
  <si>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</si>
  <si>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</si>
  <si>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</si>
  <si>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</si>
  <si>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</si>
  <si>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</si>
  <si>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</si>
  <si>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</si>
  <si>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</si>
  <si>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</si>
  <si>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</si>
  <si>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</si>
  <si>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</si>
  <si>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</si>
  <si>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</si>
  <si>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</si>
  <si>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</si>
  <si>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</si>
  <si>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</si>
  <si>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</si>
  <si>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</si>
  <si>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</si>
  <si>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</si>
  <si>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</si>
  <si>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</si>
  <si>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</si>
  <si>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</si>
  <si>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</si>
  <si>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</si>
  <si>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</si>
  <si>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</si>
  <si>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</si>
  <si>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</si>
  <si>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</si>
  <si>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</si>
  <si>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</si>
  <si>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</si>
  <si>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</si>
  <si>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</si>
  <si>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</si>
  <si>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</si>
  <si>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</si>
  <si>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</si>
  <si>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</si>
  <si>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</si>
  <si>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</si>
  <si>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</si>
  <si>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</si>
  <si>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</si>
  <si>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</si>
  <si>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</si>
  <si>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</si>
  <si>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</si>
  <si>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</si>
  <si>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</si>
  <si>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</si>
  <si>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</si>
  <si>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</si>
  <si>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</si>
  <si>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</si>
  <si>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</si>
  <si>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</si>
  <si>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</si>
  <si>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</si>
  <si>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</si>
  <si>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</si>
  <si>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</si>
  <si>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</si>
  <si>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</si>
  <si>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</si>
  <si>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</si>
  <si>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</si>
  <si>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</si>
  <si>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</si>
  <si>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</si>
  <si>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</si>
  <si>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</si>
  <si>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</si>
  <si>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</si>
  <si>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</si>
  <si>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</si>
  <si>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</si>
  <si>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</si>
  <si>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</si>
  <si>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</si>
  <si>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</si>
  <si>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</si>
  <si>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</si>
  <si>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</si>
  <si>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</si>
  <si>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</si>
  <si>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</si>
  <si>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</si>
  <si>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</si>
  <si>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</si>
  <si>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</si>
  <si>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</si>
  <si>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</si>
  <si>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</si>
  <si>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</si>
  <si>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</si>
  <si>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</si>
  <si>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</si>
  <si>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</si>
  <si>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</si>
  <si>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</si>
  <si>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</si>
  <si>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</si>
  <si>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</si>
  <si>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</si>
  <si>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</si>
  <si>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</si>
  <si>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</si>
  <si>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</si>
  <si>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</si>
  <si>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</si>
  <si>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</si>
  <si>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</si>
  <si>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</si>
  <si>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</si>
  <si>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</si>
  <si>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</si>
  <si>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</si>
  <si>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</si>
  <si>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</si>
  <si>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</si>
  <si>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</si>
  <si>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</si>
  <si>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</si>
  <si>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</si>
  <si>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</si>
  <si>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</si>
  <si>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</si>
  <si>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</si>
  <si>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</si>
  <si>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</si>
  <si>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</si>
  <si>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</si>
  <si>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</si>
  <si>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</si>
  <si>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</si>
  <si>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</si>
  <si>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</si>
  <si>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</si>
  <si>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</si>
  <si>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</si>
  <si>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</si>
  <si>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</si>
  <si>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</si>
  <si>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</si>
  <si>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</si>
  <si>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</si>
  <si>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</si>
  <si>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</si>
  <si>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</si>
  <si>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</si>
  <si>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</si>
  <si>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</si>
  <si>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</si>
  <si>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</si>
  <si>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</si>
  <si>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</si>
  <si>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</si>
  <si>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</si>
  <si>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</si>
  <si>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</si>
  <si>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</si>
  <si>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</si>
  <si>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</si>
  <si>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</si>
  <si>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</si>
  <si>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</si>
  <si>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</si>
  <si>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</si>
  <si>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</si>
  <si>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</si>
  <si>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</si>
  <si>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</si>
  <si>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</si>
  <si>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</si>
  <si>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</si>
  <si>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</si>
  <si>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</si>
  <si>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</si>
  <si>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</si>
  <si>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</si>
  <si>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</si>
  <si>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</si>
  <si>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</si>
  <si>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</si>
  <si>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</si>
  <si>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</si>
  <si>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</si>
  <si>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</si>
  <si>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</si>
  <si>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</si>
  <si>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</si>
  <si>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</si>
  <si>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</si>
  <si>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</si>
  <si>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</si>
  <si>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</si>
  <si>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</si>
  <si>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</si>
  <si>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</si>
  <si>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</si>
  <si>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</si>
  <si>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</si>
  <si>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</si>
  <si>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</si>
  <si>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</si>
  <si>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</si>
  <si>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</si>
  <si>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</si>
  <si>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</si>
  <si>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</si>
  <si>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</si>
  <si>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</si>
  <si>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</si>
  <si>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</si>
  <si>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</si>
  <si>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</si>
  <si>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</si>
  <si>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</si>
  <si>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</si>
  <si>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</si>
  <si>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</si>
  <si>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</si>
  <si>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</si>
  <si>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</si>
  <si>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</si>
  <si>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</si>
  <si>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</si>
  <si>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</si>
  <si>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</si>
  <si>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</si>
  <si>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</si>
  <si>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</si>
  <si>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</si>
  <si>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</si>
  <si>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</si>
  <si>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</si>
  <si>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</si>
  <si>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</si>
  <si>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</si>
  <si>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</si>
  <si>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</si>
  <si>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</si>
  <si>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</si>
  <si>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</si>
  <si>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</si>
  <si>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</si>
  <si>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</si>
  <si>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</si>
  <si>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</si>
  <si>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</si>
  <si>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</si>
  <si>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</si>
  <si>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</si>
  <si>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</si>
  <si>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</si>
  <si>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</si>
  <si>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</si>
  <si>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</si>
  <si>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</si>
  <si>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</si>
  <si>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</si>
  <si>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</si>
  <si>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</si>
  <si>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</si>
  <si>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</si>
  <si>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</si>
  <si>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</si>
  <si>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</si>
  <si>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</si>
  <si>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</si>
  <si>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</si>
  <si>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</si>
  <si>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</si>
  <si>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</si>
  <si>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</si>
  <si>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</si>
  <si>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</si>
  <si>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</si>
  <si>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</si>
  <si>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</si>
  <si>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</si>
  <si>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</si>
  <si>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</si>
  <si>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</si>
  <si>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</si>
  <si>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</si>
  <si>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</si>
  <si>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</si>
  <si>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</si>
  <si>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</si>
  <si>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</si>
  <si>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</si>
  <si>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</si>
  <si>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</si>
  <si>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</si>
  <si>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</si>
  <si>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</si>
  <si>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</si>
  <si>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</si>
  <si>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</si>
  <si>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</si>
  <si>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</si>
  <si>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</si>
  <si>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</si>
  <si>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</si>
  <si>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</si>
  <si>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</si>
  <si>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</si>
  <si>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</si>
  <si>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</si>
  <si>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</si>
  <si>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</si>
  <si>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</si>
  <si>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</si>
  <si>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</si>
  <si>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</si>
  <si>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</si>
  <si>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</si>
  <si>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</si>
  <si>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</si>
  <si>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</si>
  <si>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</si>
  <si>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</si>
  <si>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</si>
  <si>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</si>
  <si>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</si>
  <si>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</si>
  <si>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</si>
  <si>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</si>
  <si>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</si>
  <si>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</si>
  <si>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</si>
  <si>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</si>
  <si>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</si>
  <si>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</si>
  <si>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</si>
  <si>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</si>
  <si>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</si>
  <si>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</si>
  <si>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</si>
  <si>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</si>
  <si>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</si>
  <si>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</si>
  <si>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</si>
  <si>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</si>
  <si>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</si>
  <si>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</si>
  <si>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(All)</t>
  </si>
  <si>
    <t>Column Labels</t>
  </si>
  <si>
    <t>Average of Satisfaction Rating</t>
  </si>
  <si>
    <t>Sum of Purchase Amount</t>
  </si>
  <si>
    <t>Jan</t>
  </si>
  <si>
    <t>Feb</t>
  </si>
  <si>
    <t>Mar</t>
  </si>
  <si>
    <t>Apr</t>
  </si>
  <si>
    <t>May</t>
  </si>
  <si>
    <t>Jun</t>
  </si>
  <si>
    <t>Jul</t>
  </si>
  <si>
    <t>Aug</t>
  </si>
  <si>
    <t>Sep</t>
  </si>
  <si>
    <t>Oct</t>
  </si>
  <si>
    <t>Nov</t>
  </si>
  <si>
    <t>Dec</t>
  </si>
  <si>
    <t>FY</t>
  </si>
  <si>
    <t>Day of week</t>
  </si>
  <si>
    <t>Monday</t>
  </si>
  <si>
    <t>Tuesday</t>
  </si>
  <si>
    <t>Wednesday</t>
  </si>
  <si>
    <t>Thursday</t>
  </si>
  <si>
    <t>Saturday</t>
  </si>
  <si>
    <t>Sunday</t>
  </si>
  <si>
    <t>Total Count of Call number</t>
  </si>
  <si>
    <t>Total Sum of Purchase Amount</t>
  </si>
  <si>
    <t>Duration Bucket</t>
  </si>
  <si>
    <t>Rating</t>
  </si>
  <si>
    <t>1 to 2 hours</t>
  </si>
  <si>
    <t>10 to 30 min</t>
  </si>
  <si>
    <t>30 to 60 min</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</si>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</sst>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409]* #,##0.00_ ;_-[$$-409]* \-#,##0.00\ ;_-[$$-409]* &quot;-&quot;??_ ;_-@_ "/>
    <numFmt numFmtId="166" formatCode="_-[$$-409]* #,##0_ ;_-[$$-409]* \-#,##0\ ;_-[$$-409]* &quot;-&quot;??_ ;_-@_ "/>
    <numFmt numFmtId="167" formatCode="0.00;[Red]0.00"/>
    <numFmt numFmtId="172" formatCode="[$-409]d\-mmm\-yy;@"/>
    <numFmt numFmtId="173" formatCode="0.0"/>
    <numFmt numFmtId="174" formatCode="[$$-1009]#,##0"/>
  </numFmts>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0">
    <xf numFmtId="0" fontId="0" fillId="0" borderId="0" xfId="0"/>
    <xf numFmtId="0" fontId="0" fillId="0" borderId="0" xfId="0" applyNumberFormat="1"/>
    <xf numFmtId="14" fontId="0" fillId="0" borderId="0" xfId="0" applyNumberFormat="1"/>
    <xf numFmtId="0" fontId="0" fillId="2" borderId="0" xfId="0" applyFill="1" applyAlignment="1">
      <alignment horizontal="center"/>
    </xf>
    <xf numFmtId="164" fontId="0" fillId="0" borderId="0" xfId="0" applyNumberFormat="1"/>
    <xf numFmtId="166" fontId="0" fillId="0" borderId="0" xfId="0" applyNumberFormat="1"/>
    <xf numFmtId="0" fontId="0" fillId="0" borderId="1" xfId="0" applyBorder="1"/>
    <xf numFmtId="166" fontId="0" fillId="0" borderId="1" xfId="0" applyNumberFormat="1" applyBorder="1"/>
    <xf numFmtId="0" fontId="0" fillId="3" borderId="1" xfId="0" applyFill="1" applyBorder="1"/>
    <xf numFmtId="0" fontId="0" fillId="0" borderId="0" xfId="0" applyFill="1" applyAlignment="1"/>
    <xf numFmtId="0" fontId="0" fillId="0" borderId="0" xfId="0" applyFill="1" applyAlignment="1">
      <alignment vertical="center"/>
    </xf>
    <xf numFmtId="0" fontId="0" fillId="2" borderId="0" xfId="0" applyFill="1" applyAlignment="1">
      <alignment horizontal="center" vertical="center"/>
    </xf>
    <xf numFmtId="0" fontId="0" fillId="3" borderId="0" xfId="0" applyFill="1"/>
    <xf numFmtId="0" fontId="0" fillId="0" borderId="0" xfId="0" applyFill="1"/>
    <xf numFmtId="0" fontId="0" fillId="4" borderId="0" xfId="0" applyFill="1"/>
    <xf numFmtId="167" fontId="0" fillId="0" borderId="0" xfId="0" applyNumberFormat="1"/>
    <xf numFmtId="0" fontId="0" fillId="4" borderId="0" xfId="0" applyFill="1" applyAlignment="1">
      <alignment wrapText="1"/>
    </xf>
    <xf numFmtId="0" fontId="0" fillId="0" borderId="0" xfId="0"/>
    <xf numFmtId="0" fontId="0" fillId="0" borderId="1" xfId="0" applyBorder="1"/>
    <xf numFmtId="2" fontId="0" fillId="0" borderId="1" xfId="0" applyNumberFormat="1" applyBorder="1" applyAlignment="1">
      <alignment horizontal="center"/>
    </xf>
    <xf numFmtId="172" fontId="0" fillId="0" borderId="1" xfId="0" applyNumberFormat="1" applyBorder="1" applyAlignment="1">
      <alignment horizont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172"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173" fontId="0" fillId="0" borderId="0" xfId="0" applyNumberFormat="1"/>
    <xf numFmtId="0" fontId="0" fillId="0" borderId="10" xfId="0" applyBorder="1"/>
    <xf numFmtId="0" fontId="0" fillId="0" borderId="0" xfId="0" applyAlignment="1">
      <alignment horizontal="left" indent="1"/>
    </xf>
    <xf numFmtId="174" fontId="0" fillId="0" borderId="0" xfId="0" applyNumberFormat="1"/>
    <xf numFmtId="1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72"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42CFE52A-ACC4-4C20-988F-8AEF04D64EAA}">
      <tableStyleElement type="wholeTabl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Purchase Amount</c:v>
                </c:pt>
              </c:strCache>
            </c:strRef>
          </c:tx>
          <c:spPr>
            <a:solidFill>
              <a:schemeClr val="accent1"/>
            </a:solidFill>
            <a:ln>
              <a:noFill/>
            </a:ln>
            <a:effectLst/>
          </c:spPr>
          <c:invertIfNegative val="0"/>
          <c:cat>
            <c:strRef>
              <c:f>'Pivot Table'!$A$4:$A$19</c:f>
              <c:strCache>
                <c:ptCount val="15"/>
                <c:pt idx="0">
                  <c:v>C0005</c:v>
                </c:pt>
                <c:pt idx="1">
                  <c:v>C0004</c:v>
                </c:pt>
                <c:pt idx="2">
                  <c:v>C0013</c:v>
                </c:pt>
                <c:pt idx="3">
                  <c:v>C0007</c:v>
                </c:pt>
                <c:pt idx="4">
                  <c:v>C0012</c:v>
                </c:pt>
                <c:pt idx="5">
                  <c:v>C0001</c:v>
                </c:pt>
                <c:pt idx="6">
                  <c:v>C0011</c:v>
                </c:pt>
                <c:pt idx="7">
                  <c:v>C0009</c:v>
                </c:pt>
                <c:pt idx="8">
                  <c:v>C0015</c:v>
                </c:pt>
                <c:pt idx="9">
                  <c:v>C0010</c:v>
                </c:pt>
                <c:pt idx="10">
                  <c:v>C0006</c:v>
                </c:pt>
                <c:pt idx="11">
                  <c:v>C0002</c:v>
                </c:pt>
                <c:pt idx="12">
                  <c:v>C0014</c:v>
                </c:pt>
                <c:pt idx="13">
                  <c:v>C0008</c:v>
                </c:pt>
                <c:pt idx="14">
                  <c:v>C0003</c:v>
                </c:pt>
              </c:strCache>
            </c:strRef>
          </c:cat>
          <c:val>
            <c:numRef>
              <c:f>'Pivot Table'!$B$4:$B$19</c:f>
              <c:numCache>
                <c:formatCode>[$$-1009]#,##0</c:formatCode>
                <c:ptCount val="15"/>
                <c:pt idx="0">
                  <c:v>7747</c:v>
                </c:pt>
                <c:pt idx="1">
                  <c:v>7689</c:v>
                </c:pt>
                <c:pt idx="2">
                  <c:v>7230</c:v>
                </c:pt>
                <c:pt idx="3">
                  <c:v>7216</c:v>
                </c:pt>
                <c:pt idx="4">
                  <c:v>6819</c:v>
                </c:pt>
                <c:pt idx="5">
                  <c:v>6785</c:v>
                </c:pt>
                <c:pt idx="6">
                  <c:v>6749</c:v>
                </c:pt>
                <c:pt idx="7">
                  <c:v>6601</c:v>
                </c:pt>
                <c:pt idx="8">
                  <c:v>6518</c:v>
                </c:pt>
                <c:pt idx="9">
                  <c:v>6242</c:v>
                </c:pt>
                <c:pt idx="10">
                  <c:v>6176</c:v>
                </c:pt>
                <c:pt idx="11">
                  <c:v>5634</c:v>
                </c:pt>
                <c:pt idx="12">
                  <c:v>5404</c:v>
                </c:pt>
                <c:pt idx="13">
                  <c:v>5009</c:v>
                </c:pt>
                <c:pt idx="14">
                  <c:v>4804</c:v>
                </c:pt>
              </c:numCache>
            </c:numRef>
          </c:val>
          <c:extLst>
            <c:ext xmlns:c16="http://schemas.microsoft.com/office/drawing/2014/chart" uri="{C3380CC4-5D6E-409C-BE32-E72D297353CC}">
              <c16:uniqueId val="{00000000-08D3-4A14-B307-7D38C02EF5E0}"/>
            </c:ext>
          </c:extLst>
        </c:ser>
        <c:ser>
          <c:idx val="1"/>
          <c:order val="1"/>
          <c:tx>
            <c:strRef>
              <c:f>'Pivot Table'!$C$3</c:f>
              <c:strCache>
                <c:ptCount val="1"/>
                <c:pt idx="0">
                  <c:v>Count of Call number</c:v>
                </c:pt>
              </c:strCache>
            </c:strRef>
          </c:tx>
          <c:spPr>
            <a:solidFill>
              <a:schemeClr val="accent2"/>
            </a:solidFill>
            <a:ln>
              <a:noFill/>
            </a:ln>
            <a:effectLst/>
          </c:spPr>
          <c:invertIfNegative val="0"/>
          <c:cat>
            <c:strRef>
              <c:f>'Pivot Table'!$A$4:$A$19</c:f>
              <c:strCache>
                <c:ptCount val="15"/>
                <c:pt idx="0">
                  <c:v>C0005</c:v>
                </c:pt>
                <c:pt idx="1">
                  <c:v>C0004</c:v>
                </c:pt>
                <c:pt idx="2">
                  <c:v>C0013</c:v>
                </c:pt>
                <c:pt idx="3">
                  <c:v>C0007</c:v>
                </c:pt>
                <c:pt idx="4">
                  <c:v>C0012</c:v>
                </c:pt>
                <c:pt idx="5">
                  <c:v>C0001</c:v>
                </c:pt>
                <c:pt idx="6">
                  <c:v>C0011</c:v>
                </c:pt>
                <c:pt idx="7">
                  <c:v>C0009</c:v>
                </c:pt>
                <c:pt idx="8">
                  <c:v>C0015</c:v>
                </c:pt>
                <c:pt idx="9">
                  <c:v>C0010</c:v>
                </c:pt>
                <c:pt idx="10">
                  <c:v>C0006</c:v>
                </c:pt>
                <c:pt idx="11">
                  <c:v>C0002</c:v>
                </c:pt>
                <c:pt idx="12">
                  <c:v>C0014</c:v>
                </c:pt>
                <c:pt idx="13">
                  <c:v>C0008</c:v>
                </c:pt>
                <c:pt idx="14">
                  <c:v>C0003</c:v>
                </c:pt>
              </c:strCache>
            </c:strRef>
          </c:cat>
          <c:val>
            <c:numRef>
              <c:f>'Pivot Table'!$C$4:$C$19</c:f>
              <c:numCache>
                <c:formatCode>General</c:formatCode>
                <c:ptCount val="15"/>
                <c:pt idx="0">
                  <c:v>79</c:v>
                </c:pt>
                <c:pt idx="1">
                  <c:v>82</c:v>
                </c:pt>
                <c:pt idx="2">
                  <c:v>69</c:v>
                </c:pt>
                <c:pt idx="3">
                  <c:v>67</c:v>
                </c:pt>
                <c:pt idx="4">
                  <c:v>70</c:v>
                </c:pt>
                <c:pt idx="5">
                  <c:v>65</c:v>
                </c:pt>
                <c:pt idx="6">
                  <c:v>74</c:v>
                </c:pt>
                <c:pt idx="7">
                  <c:v>69</c:v>
                </c:pt>
                <c:pt idx="8">
                  <c:v>59</c:v>
                </c:pt>
                <c:pt idx="9">
                  <c:v>72</c:v>
                </c:pt>
                <c:pt idx="10">
                  <c:v>62</c:v>
                </c:pt>
                <c:pt idx="11">
                  <c:v>63</c:v>
                </c:pt>
                <c:pt idx="12">
                  <c:v>60</c:v>
                </c:pt>
                <c:pt idx="13">
                  <c:v>59</c:v>
                </c:pt>
                <c:pt idx="14">
                  <c:v>50</c:v>
                </c:pt>
              </c:numCache>
            </c:numRef>
          </c:val>
          <c:extLst>
            <c:ext xmlns:c16="http://schemas.microsoft.com/office/drawing/2014/chart" uri="{C3380CC4-5D6E-409C-BE32-E72D297353CC}">
              <c16:uniqueId val="{00000001-08D3-4A14-B307-7D38C02EF5E0}"/>
            </c:ext>
          </c:extLst>
        </c:ser>
        <c:ser>
          <c:idx val="2"/>
          <c:order val="2"/>
          <c:tx>
            <c:strRef>
              <c:f>'Pivot Table'!$D$3</c:f>
              <c:strCache>
                <c:ptCount val="1"/>
                <c:pt idx="0">
                  <c:v>Average of Satisfaction Rating</c:v>
                </c:pt>
              </c:strCache>
            </c:strRef>
          </c:tx>
          <c:spPr>
            <a:solidFill>
              <a:schemeClr val="accent3"/>
            </a:solidFill>
            <a:ln>
              <a:noFill/>
            </a:ln>
            <a:effectLst/>
          </c:spPr>
          <c:invertIfNegative val="0"/>
          <c:cat>
            <c:strRef>
              <c:f>'Pivot Table'!$A$4:$A$19</c:f>
              <c:strCache>
                <c:ptCount val="15"/>
                <c:pt idx="0">
                  <c:v>C0005</c:v>
                </c:pt>
                <c:pt idx="1">
                  <c:v>C0004</c:v>
                </c:pt>
                <c:pt idx="2">
                  <c:v>C0013</c:v>
                </c:pt>
                <c:pt idx="3">
                  <c:v>C0007</c:v>
                </c:pt>
                <c:pt idx="4">
                  <c:v>C0012</c:v>
                </c:pt>
                <c:pt idx="5">
                  <c:v>C0001</c:v>
                </c:pt>
                <c:pt idx="6">
                  <c:v>C0011</c:v>
                </c:pt>
                <c:pt idx="7">
                  <c:v>C0009</c:v>
                </c:pt>
                <c:pt idx="8">
                  <c:v>C0015</c:v>
                </c:pt>
                <c:pt idx="9">
                  <c:v>C0010</c:v>
                </c:pt>
                <c:pt idx="10">
                  <c:v>C0006</c:v>
                </c:pt>
                <c:pt idx="11">
                  <c:v>C0002</c:v>
                </c:pt>
                <c:pt idx="12">
                  <c:v>C0014</c:v>
                </c:pt>
                <c:pt idx="13">
                  <c:v>C0008</c:v>
                </c:pt>
                <c:pt idx="14">
                  <c:v>C0003</c:v>
                </c:pt>
              </c:strCache>
            </c:strRef>
          </c:cat>
          <c:val>
            <c:numRef>
              <c:f>'Pivot Table'!$D$4:$D$19</c:f>
              <c:numCache>
                <c:formatCode>0.0</c:formatCode>
                <c:ptCount val="15"/>
                <c:pt idx="0">
                  <c:v>3.9797468354430396</c:v>
                </c:pt>
                <c:pt idx="1">
                  <c:v>3.976829268292684</c:v>
                </c:pt>
                <c:pt idx="2">
                  <c:v>3.7753623188405814</c:v>
                </c:pt>
                <c:pt idx="3">
                  <c:v>3.8522388059701487</c:v>
                </c:pt>
                <c:pt idx="4">
                  <c:v>4.1300000000000008</c:v>
                </c:pt>
                <c:pt idx="5">
                  <c:v>3.8307692307692309</c:v>
                </c:pt>
                <c:pt idx="6">
                  <c:v>3.9837837837837853</c:v>
                </c:pt>
                <c:pt idx="7">
                  <c:v>3.62608695652174</c:v>
                </c:pt>
                <c:pt idx="8">
                  <c:v>3.8389830508474563</c:v>
                </c:pt>
                <c:pt idx="9">
                  <c:v>3.863888888888888</c:v>
                </c:pt>
                <c:pt idx="10">
                  <c:v>3.7774193548387092</c:v>
                </c:pt>
                <c:pt idx="11">
                  <c:v>4.0730158730158736</c:v>
                </c:pt>
                <c:pt idx="12">
                  <c:v>3.609999999999999</c:v>
                </c:pt>
                <c:pt idx="13">
                  <c:v>3.901694915254236</c:v>
                </c:pt>
                <c:pt idx="14">
                  <c:v>4.0179999999999998</c:v>
                </c:pt>
              </c:numCache>
            </c:numRef>
          </c:val>
          <c:extLst>
            <c:ext xmlns:c16="http://schemas.microsoft.com/office/drawing/2014/chart" uri="{C3380CC4-5D6E-409C-BE32-E72D297353CC}">
              <c16:uniqueId val="{00000002-08D3-4A14-B307-7D38C02EF5E0}"/>
            </c:ext>
          </c:extLst>
        </c:ser>
        <c:dLbls>
          <c:showLegendKey val="0"/>
          <c:showVal val="0"/>
          <c:showCatName val="0"/>
          <c:showSerName val="0"/>
          <c:showPercent val="0"/>
          <c:showBubbleSize val="0"/>
        </c:dLbls>
        <c:gapWidth val="219"/>
        <c:overlap val="-27"/>
        <c:axId val="2131378624"/>
        <c:axId val="2131376104"/>
      </c:barChart>
      <c:catAx>
        <c:axId val="213137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376104"/>
        <c:crosses val="autoZero"/>
        <c:auto val="1"/>
        <c:lblAlgn val="ctr"/>
        <c:lblOffset val="100"/>
        <c:noMultiLvlLbl val="0"/>
      </c:catAx>
      <c:valAx>
        <c:axId val="2131376104"/>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37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none"/>
          </c:marker>
          <c:cat>
            <c:strRef>
              <c:f>'Pivot Table'!$A$24:$A$36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Table'!$B$24:$B$36</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4727-4597-A42F-F18C171A85D7}"/>
            </c:ext>
          </c:extLst>
        </c:ser>
        <c:dLbls>
          <c:showLegendKey val="0"/>
          <c:showVal val="0"/>
          <c:showCatName val="0"/>
          <c:showSerName val="0"/>
          <c:showPercent val="0"/>
          <c:showBubbleSize val="0"/>
        </c:dLbls>
        <c:smooth val="0"/>
        <c:axId val="2140552744"/>
        <c:axId val="2140553464"/>
      </c:lineChart>
      <c:catAx>
        <c:axId val="214055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53464"/>
        <c:crosses val="autoZero"/>
        <c:auto val="1"/>
        <c:lblAlgn val="ctr"/>
        <c:lblOffset val="100"/>
        <c:noMultiLvlLbl val="0"/>
      </c:catAx>
      <c:valAx>
        <c:axId val="2140553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52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Table'!$B$42</c:f>
              <c:strCache>
                <c:ptCount val="1"/>
                <c:pt idx="0">
                  <c:v>Total</c:v>
                </c:pt>
              </c:strCache>
            </c:strRef>
          </c:tx>
          <c:spPr>
            <a:solidFill>
              <a:schemeClr val="accent1"/>
            </a:solidFill>
            <a:ln>
              <a:noFill/>
            </a:ln>
            <a:effectLst/>
          </c:spPr>
          <c:cat>
            <c:strRef>
              <c:f>'Pivot Table'!$A$43:$A$55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Table'!$B$43:$B$55</c:f>
              <c:numCache>
                <c:formatCode>[$$-1009]#,##0</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7F2C-4D58-9B5D-4D37C2E2627D}"/>
            </c:ext>
          </c:extLst>
        </c:ser>
        <c:dLbls>
          <c:showLegendKey val="0"/>
          <c:showVal val="0"/>
          <c:showCatName val="0"/>
          <c:showSerName val="0"/>
          <c:showPercent val="0"/>
          <c:showBubbleSize val="0"/>
        </c:dLbls>
        <c:axId val="115621599"/>
        <c:axId val="115619439"/>
      </c:areaChart>
      <c:catAx>
        <c:axId val="11562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9439"/>
        <c:crosses val="autoZero"/>
        <c:auto val="1"/>
        <c:lblAlgn val="ctr"/>
        <c:lblOffset val="100"/>
        <c:noMultiLvlLbl val="0"/>
      </c:catAx>
      <c:valAx>
        <c:axId val="115619439"/>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15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multiLvlStrRef>
              <c:f>'Pivot Table'!$A$65:$A$79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'Pivot Table'!$B$65:$B$79</c:f>
              <c:numCache>
                <c:formatCode>[$$-1009]#,##0</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0966-4848-987E-134AA75D2B5F}"/>
            </c:ext>
          </c:extLst>
        </c:ser>
        <c:dLbls>
          <c:showLegendKey val="0"/>
          <c:showVal val="0"/>
          <c:showCatName val="0"/>
          <c:showSerName val="0"/>
          <c:showPercent val="0"/>
          <c:showBubbleSize val="0"/>
        </c:dLbls>
        <c:gapWidth val="219"/>
        <c:overlap val="-27"/>
        <c:axId val="349090296"/>
        <c:axId val="2141357688"/>
      </c:barChart>
      <c:catAx>
        <c:axId val="34909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357688"/>
        <c:crosses val="autoZero"/>
        <c:auto val="1"/>
        <c:lblAlgn val="ctr"/>
        <c:lblOffset val="100"/>
        <c:noMultiLvlLbl val="0"/>
      </c:catAx>
      <c:valAx>
        <c:axId val="2141357688"/>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90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Table'!$B$118:$B$119</c:f>
              <c:strCache>
                <c:ptCount val="1"/>
                <c:pt idx="0">
                  <c:v>R01</c:v>
                </c:pt>
              </c:strCache>
            </c:strRef>
          </c:tx>
          <c:spPr>
            <a:solidFill>
              <a:schemeClr val="accent1"/>
            </a:solidFill>
            <a:ln>
              <a:noFill/>
            </a:ln>
            <a:effectLst/>
          </c:spPr>
          <c:invertIfNegative val="0"/>
          <c:cat>
            <c:strRef>
              <c:f>'Pivot Table'!$A$120:$A$126</c:f>
              <c:strCache>
                <c:ptCount val="6"/>
                <c:pt idx="0">
                  <c:v>0</c:v>
                </c:pt>
                <c:pt idx="1">
                  <c:v>1</c:v>
                </c:pt>
                <c:pt idx="2">
                  <c:v>2</c:v>
                </c:pt>
                <c:pt idx="3">
                  <c:v>3</c:v>
                </c:pt>
                <c:pt idx="4">
                  <c:v>4</c:v>
                </c:pt>
                <c:pt idx="5">
                  <c:v>5</c:v>
                </c:pt>
              </c:strCache>
            </c:strRef>
          </c:cat>
          <c:val>
            <c:numRef>
              <c:f>'Pivot Table'!$B$120:$B$126</c:f>
              <c:numCache>
                <c:formatCode>General</c:formatCode>
                <c:ptCount val="6"/>
                <c:pt idx="1">
                  <c:v>1</c:v>
                </c:pt>
                <c:pt idx="2">
                  <c:v>9</c:v>
                </c:pt>
                <c:pt idx="3">
                  <c:v>31</c:v>
                </c:pt>
                <c:pt idx="4">
                  <c:v>88</c:v>
                </c:pt>
                <c:pt idx="5">
                  <c:v>60</c:v>
                </c:pt>
              </c:numCache>
            </c:numRef>
          </c:val>
          <c:extLst>
            <c:ext xmlns:c16="http://schemas.microsoft.com/office/drawing/2014/chart" uri="{C3380CC4-5D6E-409C-BE32-E72D297353CC}">
              <c16:uniqueId val="{00000000-4298-4230-AC68-2C4F4C9DA43E}"/>
            </c:ext>
          </c:extLst>
        </c:ser>
        <c:ser>
          <c:idx val="1"/>
          <c:order val="1"/>
          <c:tx>
            <c:strRef>
              <c:f>'Pivot Table'!$C$118:$C$119</c:f>
              <c:strCache>
                <c:ptCount val="1"/>
                <c:pt idx="0">
                  <c:v>R02</c:v>
                </c:pt>
              </c:strCache>
            </c:strRef>
          </c:tx>
          <c:spPr>
            <a:solidFill>
              <a:schemeClr val="accent2"/>
            </a:solidFill>
            <a:ln>
              <a:noFill/>
            </a:ln>
            <a:effectLst/>
          </c:spPr>
          <c:invertIfNegative val="0"/>
          <c:cat>
            <c:strRef>
              <c:f>'Pivot Table'!$A$120:$A$126</c:f>
              <c:strCache>
                <c:ptCount val="6"/>
                <c:pt idx="0">
                  <c:v>0</c:v>
                </c:pt>
                <c:pt idx="1">
                  <c:v>1</c:v>
                </c:pt>
                <c:pt idx="2">
                  <c:v>2</c:v>
                </c:pt>
                <c:pt idx="3">
                  <c:v>3</c:v>
                </c:pt>
                <c:pt idx="4">
                  <c:v>4</c:v>
                </c:pt>
                <c:pt idx="5">
                  <c:v>5</c:v>
                </c:pt>
              </c:strCache>
            </c:strRef>
          </c:cat>
          <c:val>
            <c:numRef>
              <c:f>'Pivot Table'!$C$120:$C$126</c:f>
              <c:numCache>
                <c:formatCode>General</c:formatCode>
                <c:ptCount val="6"/>
                <c:pt idx="1">
                  <c:v>3</c:v>
                </c:pt>
                <c:pt idx="2">
                  <c:v>19</c:v>
                </c:pt>
                <c:pt idx="3">
                  <c:v>35</c:v>
                </c:pt>
                <c:pt idx="4">
                  <c:v>87</c:v>
                </c:pt>
                <c:pt idx="5">
                  <c:v>74</c:v>
                </c:pt>
              </c:numCache>
            </c:numRef>
          </c:val>
          <c:extLst>
            <c:ext xmlns:c16="http://schemas.microsoft.com/office/drawing/2014/chart" uri="{C3380CC4-5D6E-409C-BE32-E72D297353CC}">
              <c16:uniqueId val="{00000011-4298-4230-AC68-2C4F4C9DA43E}"/>
            </c:ext>
          </c:extLst>
        </c:ser>
        <c:ser>
          <c:idx val="2"/>
          <c:order val="2"/>
          <c:tx>
            <c:strRef>
              <c:f>'Pivot Table'!$D$118:$D$119</c:f>
              <c:strCache>
                <c:ptCount val="1"/>
                <c:pt idx="0">
                  <c:v>R03</c:v>
                </c:pt>
              </c:strCache>
            </c:strRef>
          </c:tx>
          <c:spPr>
            <a:solidFill>
              <a:schemeClr val="accent3"/>
            </a:solidFill>
            <a:ln>
              <a:noFill/>
            </a:ln>
            <a:effectLst/>
          </c:spPr>
          <c:invertIfNegative val="0"/>
          <c:cat>
            <c:strRef>
              <c:f>'Pivot Table'!$A$120:$A$126</c:f>
              <c:strCache>
                <c:ptCount val="6"/>
                <c:pt idx="0">
                  <c:v>0</c:v>
                </c:pt>
                <c:pt idx="1">
                  <c:v>1</c:v>
                </c:pt>
                <c:pt idx="2">
                  <c:v>2</c:v>
                </c:pt>
                <c:pt idx="3">
                  <c:v>3</c:v>
                </c:pt>
                <c:pt idx="4">
                  <c:v>4</c:v>
                </c:pt>
                <c:pt idx="5">
                  <c:v>5</c:v>
                </c:pt>
              </c:strCache>
            </c:strRef>
          </c:cat>
          <c:val>
            <c:numRef>
              <c:f>'Pivot Table'!$D$120:$D$126</c:f>
              <c:numCache>
                <c:formatCode>General</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12-4298-4230-AC68-2C4F4C9DA43E}"/>
            </c:ext>
          </c:extLst>
        </c:ser>
        <c:ser>
          <c:idx val="3"/>
          <c:order val="3"/>
          <c:tx>
            <c:strRef>
              <c:f>'Pivot Table'!$E$118:$E$119</c:f>
              <c:strCache>
                <c:ptCount val="1"/>
                <c:pt idx="0">
                  <c:v>R04</c:v>
                </c:pt>
              </c:strCache>
            </c:strRef>
          </c:tx>
          <c:spPr>
            <a:solidFill>
              <a:schemeClr val="accent4"/>
            </a:solidFill>
            <a:ln>
              <a:noFill/>
            </a:ln>
            <a:effectLst/>
          </c:spPr>
          <c:invertIfNegative val="0"/>
          <c:cat>
            <c:strRef>
              <c:f>'Pivot Table'!$A$120:$A$126</c:f>
              <c:strCache>
                <c:ptCount val="6"/>
                <c:pt idx="0">
                  <c:v>0</c:v>
                </c:pt>
                <c:pt idx="1">
                  <c:v>1</c:v>
                </c:pt>
                <c:pt idx="2">
                  <c:v>2</c:v>
                </c:pt>
                <c:pt idx="3">
                  <c:v>3</c:v>
                </c:pt>
                <c:pt idx="4">
                  <c:v>4</c:v>
                </c:pt>
                <c:pt idx="5">
                  <c:v>5</c:v>
                </c:pt>
              </c:strCache>
            </c:strRef>
          </c:cat>
          <c:val>
            <c:numRef>
              <c:f>'Pivot Table'!$E$120:$E$126</c:f>
              <c:numCache>
                <c:formatCode>General</c:formatCode>
                <c:ptCount val="6"/>
                <c:pt idx="1">
                  <c:v>3</c:v>
                </c:pt>
                <c:pt idx="2">
                  <c:v>10</c:v>
                </c:pt>
                <c:pt idx="3">
                  <c:v>41</c:v>
                </c:pt>
                <c:pt idx="4">
                  <c:v>70</c:v>
                </c:pt>
                <c:pt idx="5">
                  <c:v>62</c:v>
                </c:pt>
              </c:numCache>
            </c:numRef>
          </c:val>
          <c:extLst>
            <c:ext xmlns:c16="http://schemas.microsoft.com/office/drawing/2014/chart" uri="{C3380CC4-5D6E-409C-BE32-E72D297353CC}">
              <c16:uniqueId val="{00000013-4298-4230-AC68-2C4F4C9DA43E}"/>
            </c:ext>
          </c:extLst>
        </c:ser>
        <c:ser>
          <c:idx val="4"/>
          <c:order val="4"/>
          <c:tx>
            <c:strRef>
              <c:f>'Pivot Table'!$F$118:$F$119</c:f>
              <c:strCache>
                <c:ptCount val="1"/>
                <c:pt idx="0">
                  <c:v>R05</c:v>
                </c:pt>
              </c:strCache>
            </c:strRef>
          </c:tx>
          <c:spPr>
            <a:solidFill>
              <a:schemeClr val="accent5"/>
            </a:solidFill>
            <a:ln>
              <a:noFill/>
            </a:ln>
            <a:effectLst/>
          </c:spPr>
          <c:invertIfNegative val="0"/>
          <c:cat>
            <c:strRef>
              <c:f>'Pivot Table'!$A$120:$A$126</c:f>
              <c:strCache>
                <c:ptCount val="6"/>
                <c:pt idx="0">
                  <c:v>0</c:v>
                </c:pt>
                <c:pt idx="1">
                  <c:v>1</c:v>
                </c:pt>
                <c:pt idx="2">
                  <c:v>2</c:v>
                </c:pt>
                <c:pt idx="3">
                  <c:v>3</c:v>
                </c:pt>
                <c:pt idx="4">
                  <c:v>4</c:v>
                </c:pt>
                <c:pt idx="5">
                  <c:v>5</c:v>
                </c:pt>
              </c:strCache>
            </c:strRef>
          </c:cat>
          <c:val>
            <c:numRef>
              <c:f>'Pivot Table'!$F$120:$F$126</c:f>
              <c:numCache>
                <c:formatCode>General</c:formatCode>
                <c:ptCount val="6"/>
                <c:pt idx="2">
                  <c:v>10</c:v>
                </c:pt>
                <c:pt idx="3">
                  <c:v>44</c:v>
                </c:pt>
                <c:pt idx="4">
                  <c:v>95</c:v>
                </c:pt>
                <c:pt idx="5">
                  <c:v>51</c:v>
                </c:pt>
              </c:numCache>
            </c:numRef>
          </c:val>
          <c:extLst>
            <c:ext xmlns:c16="http://schemas.microsoft.com/office/drawing/2014/chart" uri="{C3380CC4-5D6E-409C-BE32-E72D297353CC}">
              <c16:uniqueId val="{00000014-4298-4230-AC68-2C4F4C9DA43E}"/>
            </c:ext>
          </c:extLst>
        </c:ser>
        <c:dLbls>
          <c:showLegendKey val="0"/>
          <c:showVal val="0"/>
          <c:showCatName val="0"/>
          <c:showSerName val="0"/>
          <c:showPercent val="0"/>
          <c:showBubbleSize val="0"/>
        </c:dLbls>
        <c:gapWidth val="219"/>
        <c:overlap val="-27"/>
        <c:axId val="2141825072"/>
        <c:axId val="2140457368"/>
      </c:barChart>
      <c:catAx>
        <c:axId val="21418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57368"/>
        <c:crosses val="autoZero"/>
        <c:auto val="1"/>
        <c:lblAlgn val="ctr"/>
        <c:lblOffset val="100"/>
        <c:noMultiLvlLbl val="0"/>
      </c:catAx>
      <c:valAx>
        <c:axId val="2140457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2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[DataAnalysis_Practice.xlsx]Pivot Table!PivotTable13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Table'!$B$147:$B$149</c:f>
              <c:strCache>
                <c:ptCount val="1"/>
                <c:pt idx="0">
                  <c:v>Under 10 mins - Count of Call number</c:v>
                </c:pt>
              </c:strCache>
            </c:strRef>
          </c:tx>
          <c:spPr>
            <a:solidFill>
              <a:schemeClr val="accent1"/>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Table'!$B$150:$B$165</c:f>
              <c:numCache>
                <c:formatCode>General</c:formatCode>
                <c:ptCount val="15"/>
                <c:pt idx="3">
                  <c:v>1</c:v>
                </c:pt>
                <c:pt idx="5">
                  <c:v>1</c:v>
                </c:pt>
                <c:pt idx="7">
                  <c:v>1</c:v>
                </c:pt>
                <c:pt idx="9">
                  <c:v>1</c:v>
                </c:pt>
                <c:pt idx="10">
                  <c:v>1</c:v>
                </c:pt>
                <c:pt idx="11">
                  <c:v>1</c:v>
                </c:pt>
                <c:pt idx="12">
                  <c:v>2</c:v>
                </c:pt>
                <c:pt idx="14">
                  <c:v>1</c:v>
                </c:pt>
              </c:numCache>
            </c:numRef>
          </c:val>
          <c:extLst>
            <c:ext xmlns:c16="http://schemas.microsoft.com/office/drawing/2014/chart" uri="{C3380CC4-5D6E-409C-BE32-E72D297353CC}">
              <c16:uniqueId val="{00000000-0980-45BC-AA70-751C2ED7DD9B}"/>
            </c:ext>
          </c:extLst>
        </c:ser>
        <c:ser>
          <c:idx val="1"/>
          <c:order val="1"/>
          <c:tx>
            <c:strRef>
              <c:f>'Pivot Table'!$C$147:$C$149</c:f>
              <c:strCache>
                <c:ptCount val="1"/>
                <c:pt idx="0">
                  <c:v>Under 10 mins - Sum of Purchase Amount</c:v>
                </c:pt>
              </c:strCache>
            </c:strRef>
          </c:tx>
          <c:spPr>
            <a:solidFill>
              <a:schemeClr val="accent2"/>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Table'!$C$150:$C$165</c:f>
              <c:numCache>
                <c:formatCode>General</c:formatCode>
                <c:ptCount val="15"/>
                <c:pt idx="3">
                  <c:v>102</c:v>
                </c:pt>
                <c:pt idx="5">
                  <c:v>64</c:v>
                </c:pt>
                <c:pt idx="7">
                  <c:v>29</c:v>
                </c:pt>
                <c:pt idx="9">
                  <c:v>31</c:v>
                </c:pt>
                <c:pt idx="10">
                  <c:v>170</c:v>
                </c:pt>
                <c:pt idx="11">
                  <c:v>20</c:v>
                </c:pt>
                <c:pt idx="12">
                  <c:v>137</c:v>
                </c:pt>
                <c:pt idx="14">
                  <c:v>72</c:v>
                </c:pt>
              </c:numCache>
            </c:numRef>
          </c:val>
          <c:extLst>
            <c:ext xmlns:c16="http://schemas.microsoft.com/office/drawing/2014/chart" uri="{C3380CC4-5D6E-409C-BE32-E72D297353CC}">
              <c16:uniqueId val="{00000001-0980-45BC-AA70-751C2ED7DD9B}"/>
            </c:ext>
          </c:extLst>
        </c:ser>
        <c:ser>
          <c:idx val="2"/>
          <c:order val="2"/>
          <c:tx>
            <c:strRef>
              <c:f>'Pivot Table'!$D$147:$D$149</c:f>
              <c:strCache>
                <c:ptCount val="1"/>
                <c:pt idx="0">
                  <c:v>10 to 30 min - Count of Call number</c:v>
                </c:pt>
              </c:strCache>
            </c:strRef>
          </c:tx>
          <c:spPr>
            <a:solidFill>
              <a:schemeClr val="accent3"/>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Table'!$D$150:$D$165</c:f>
              <c:numCache>
                <c:formatCode>General</c:formatCode>
                <c:ptCount val="15"/>
                <c:pt idx="0">
                  <c:v>4</c:v>
                </c:pt>
                <c:pt idx="1">
                  <c:v>4</c:v>
                </c:pt>
                <c:pt idx="2">
                  <c:v>2</c:v>
                </c:pt>
                <c:pt idx="3">
                  <c:v>3</c:v>
                </c:pt>
                <c:pt idx="4">
                  <c:v>5</c:v>
                </c:pt>
                <c:pt idx="5">
                  <c:v>3</c:v>
                </c:pt>
                <c:pt idx="6">
                  <c:v>1</c:v>
                </c:pt>
                <c:pt idx="7">
                  <c:v>1</c:v>
                </c:pt>
                <c:pt idx="8">
                  <c:v>4</c:v>
                </c:pt>
                <c:pt idx="9">
                  <c:v>2</c:v>
                </c:pt>
                <c:pt idx="10">
                  <c:v>10</c:v>
                </c:pt>
                <c:pt idx="11">
                  <c:v>6</c:v>
                </c:pt>
                <c:pt idx="12">
                  <c:v>3</c:v>
                </c:pt>
                <c:pt idx="13">
                  <c:v>1</c:v>
                </c:pt>
                <c:pt idx="14">
                  <c:v>2</c:v>
                </c:pt>
              </c:numCache>
            </c:numRef>
          </c:val>
          <c:extLst>
            <c:ext xmlns:c16="http://schemas.microsoft.com/office/drawing/2014/chart" uri="{C3380CC4-5D6E-409C-BE32-E72D297353CC}">
              <c16:uniqueId val="{00000002-0980-45BC-AA70-751C2ED7DD9B}"/>
            </c:ext>
          </c:extLst>
        </c:ser>
        <c:ser>
          <c:idx val="3"/>
          <c:order val="3"/>
          <c:tx>
            <c:strRef>
              <c:f>'Pivot Table'!$E$147:$E$149</c:f>
              <c:strCache>
                <c:ptCount val="1"/>
                <c:pt idx="0">
                  <c:v>10 to 30 min - Sum of Purchase Amount</c:v>
                </c:pt>
              </c:strCache>
            </c:strRef>
          </c:tx>
          <c:spPr>
            <a:solidFill>
              <a:schemeClr val="accent4"/>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Table'!$E$150:$E$165</c:f>
              <c:numCache>
                <c:formatCode>General</c:formatCode>
                <c:ptCount val="15"/>
                <c:pt idx="0">
                  <c:v>435</c:v>
                </c:pt>
                <c:pt idx="1">
                  <c:v>284</c:v>
                </c:pt>
                <c:pt idx="2">
                  <c:v>49</c:v>
                </c:pt>
                <c:pt idx="3">
                  <c:v>377</c:v>
                </c:pt>
                <c:pt idx="4">
                  <c:v>341</c:v>
                </c:pt>
                <c:pt idx="5">
                  <c:v>190</c:v>
                </c:pt>
                <c:pt idx="6">
                  <c:v>75</c:v>
                </c:pt>
                <c:pt idx="7">
                  <c:v>43</c:v>
                </c:pt>
                <c:pt idx="8">
                  <c:v>267</c:v>
                </c:pt>
                <c:pt idx="9">
                  <c:v>225</c:v>
                </c:pt>
                <c:pt idx="10">
                  <c:v>703</c:v>
                </c:pt>
                <c:pt idx="11">
                  <c:v>613</c:v>
                </c:pt>
                <c:pt idx="12">
                  <c:v>408</c:v>
                </c:pt>
                <c:pt idx="13">
                  <c:v>38</c:v>
                </c:pt>
                <c:pt idx="14">
                  <c:v>170</c:v>
                </c:pt>
              </c:numCache>
            </c:numRef>
          </c:val>
          <c:extLst>
            <c:ext xmlns:c16="http://schemas.microsoft.com/office/drawing/2014/chart" uri="{C3380CC4-5D6E-409C-BE32-E72D297353CC}">
              <c16:uniqueId val="{00000003-0980-45BC-AA70-751C2ED7DD9B}"/>
            </c:ext>
          </c:extLst>
        </c:ser>
        <c:ser>
          <c:idx val="4"/>
          <c:order val="4"/>
          <c:tx>
            <c:strRef>
              <c:f>'Pivot Table'!$F$147:$F$149</c:f>
              <c:strCache>
                <c:ptCount val="1"/>
                <c:pt idx="0">
                  <c:v>30 to 60 min - Count of Call number</c:v>
                </c:pt>
              </c:strCache>
            </c:strRef>
          </c:tx>
          <c:spPr>
            <a:solidFill>
              <a:schemeClr val="accent5"/>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Table'!$F$150:$F$165</c:f>
              <c:numCache>
                <c:formatCode>General</c:formatCode>
                <c:ptCount val="15"/>
                <c:pt idx="0">
                  <c:v>9</c:v>
                </c:pt>
                <c:pt idx="1">
                  <c:v>11</c:v>
                </c:pt>
                <c:pt idx="2">
                  <c:v>6</c:v>
                </c:pt>
                <c:pt idx="3">
                  <c:v>17</c:v>
                </c:pt>
                <c:pt idx="4">
                  <c:v>17</c:v>
                </c:pt>
                <c:pt idx="5">
                  <c:v>13</c:v>
                </c:pt>
                <c:pt idx="6">
                  <c:v>15</c:v>
                </c:pt>
                <c:pt idx="7">
                  <c:v>10</c:v>
                </c:pt>
                <c:pt idx="8">
                  <c:v>8</c:v>
                </c:pt>
                <c:pt idx="9">
                  <c:v>12</c:v>
                </c:pt>
                <c:pt idx="10">
                  <c:v>13</c:v>
                </c:pt>
                <c:pt idx="11">
                  <c:v>12</c:v>
                </c:pt>
                <c:pt idx="12">
                  <c:v>13</c:v>
                </c:pt>
                <c:pt idx="13">
                  <c:v>10</c:v>
                </c:pt>
                <c:pt idx="14">
                  <c:v>13</c:v>
                </c:pt>
              </c:numCache>
            </c:numRef>
          </c:val>
          <c:extLst>
            <c:ext xmlns:c16="http://schemas.microsoft.com/office/drawing/2014/chart" uri="{C3380CC4-5D6E-409C-BE32-E72D297353CC}">
              <c16:uniqueId val="{00000004-0980-45BC-AA70-751C2ED7DD9B}"/>
            </c:ext>
          </c:extLst>
        </c:ser>
        <c:ser>
          <c:idx val="5"/>
          <c:order val="5"/>
          <c:tx>
            <c:strRef>
              <c:f>'Pivot Table'!$G$147:$G$149</c:f>
              <c:strCache>
                <c:ptCount val="1"/>
                <c:pt idx="0">
                  <c:v>30 to 60 min - Sum of Purchase Amount</c:v>
                </c:pt>
              </c:strCache>
            </c:strRef>
          </c:tx>
          <c:spPr>
            <a:solidFill>
              <a:schemeClr val="accent6"/>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Table'!$G$150:$G$165</c:f>
              <c:numCache>
                <c:formatCode>General</c:formatCode>
                <c:ptCount val="15"/>
                <c:pt idx="0">
                  <c:v>979</c:v>
                </c:pt>
                <c:pt idx="1">
                  <c:v>1000</c:v>
                </c:pt>
                <c:pt idx="2">
                  <c:v>675</c:v>
                </c:pt>
                <c:pt idx="3">
                  <c:v>1507</c:v>
                </c:pt>
                <c:pt idx="4">
                  <c:v>2070</c:v>
                </c:pt>
                <c:pt idx="5">
                  <c:v>1753</c:v>
                </c:pt>
                <c:pt idx="6">
                  <c:v>1926</c:v>
                </c:pt>
                <c:pt idx="7">
                  <c:v>955</c:v>
                </c:pt>
                <c:pt idx="8">
                  <c:v>833</c:v>
                </c:pt>
                <c:pt idx="9">
                  <c:v>753</c:v>
                </c:pt>
                <c:pt idx="10">
                  <c:v>1473</c:v>
                </c:pt>
                <c:pt idx="11">
                  <c:v>1122</c:v>
                </c:pt>
                <c:pt idx="12">
                  <c:v>1140</c:v>
                </c:pt>
                <c:pt idx="13">
                  <c:v>844</c:v>
                </c:pt>
                <c:pt idx="14">
                  <c:v>1555</c:v>
                </c:pt>
              </c:numCache>
            </c:numRef>
          </c:val>
          <c:extLst>
            <c:ext xmlns:c16="http://schemas.microsoft.com/office/drawing/2014/chart" uri="{C3380CC4-5D6E-409C-BE32-E72D297353CC}">
              <c16:uniqueId val="{00000005-0980-45BC-AA70-751C2ED7DD9B}"/>
            </c:ext>
          </c:extLst>
        </c:ser>
        <c:ser>
          <c:idx val="6"/>
          <c:order val="6"/>
          <c:tx>
            <c:strRef>
              <c:f>'Pivot Table'!$H$147:$H$149</c:f>
              <c:strCache>
                <c:ptCount val="1"/>
                <c:pt idx="0">
                  <c:v>1 to 2 hours - Count of Call number</c:v>
                </c:pt>
              </c:strCache>
            </c:strRef>
          </c:tx>
          <c:spPr>
            <a:solidFill>
              <a:schemeClr val="accent1">
                <a:lumMod val="60000"/>
              </a:schemeClr>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Table'!$H$150:$H$165</c:f>
              <c:numCache>
                <c:formatCode>General</c:formatCode>
                <c:ptCount val="15"/>
                <c:pt idx="0">
                  <c:v>37</c:v>
                </c:pt>
                <c:pt idx="1">
                  <c:v>34</c:v>
                </c:pt>
                <c:pt idx="2">
                  <c:v>32</c:v>
                </c:pt>
                <c:pt idx="3">
                  <c:v>40</c:v>
                </c:pt>
                <c:pt idx="4">
                  <c:v>45</c:v>
                </c:pt>
                <c:pt idx="5">
                  <c:v>25</c:v>
                </c:pt>
                <c:pt idx="6">
                  <c:v>35</c:v>
                </c:pt>
                <c:pt idx="7">
                  <c:v>32</c:v>
                </c:pt>
                <c:pt idx="8">
                  <c:v>48</c:v>
                </c:pt>
                <c:pt idx="9">
                  <c:v>36</c:v>
                </c:pt>
                <c:pt idx="10">
                  <c:v>32</c:v>
                </c:pt>
                <c:pt idx="11">
                  <c:v>33</c:v>
                </c:pt>
                <c:pt idx="12">
                  <c:v>32</c:v>
                </c:pt>
                <c:pt idx="13">
                  <c:v>35</c:v>
                </c:pt>
                <c:pt idx="14">
                  <c:v>28</c:v>
                </c:pt>
              </c:numCache>
            </c:numRef>
          </c:val>
          <c:extLst>
            <c:ext xmlns:c16="http://schemas.microsoft.com/office/drawing/2014/chart" uri="{C3380CC4-5D6E-409C-BE32-E72D297353CC}">
              <c16:uniqueId val="{00000006-0980-45BC-AA70-751C2ED7DD9B}"/>
            </c:ext>
          </c:extLst>
        </c:ser>
        <c:ser>
          <c:idx val="7"/>
          <c:order val="7"/>
          <c:tx>
            <c:strRef>
              <c:f>'Pivot Table'!$I$147:$I$149</c:f>
              <c:strCache>
                <c:ptCount val="1"/>
                <c:pt idx="0">
                  <c:v>1 to 2 hours - Sum of Purchase Amount</c:v>
                </c:pt>
              </c:strCache>
            </c:strRef>
          </c:tx>
          <c:spPr>
            <a:solidFill>
              <a:schemeClr val="accent2">
                <a:lumMod val="60000"/>
              </a:schemeClr>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Table'!$I$150:$I$165</c:f>
              <c:numCache>
                <c:formatCode>General</c:formatCode>
                <c:ptCount val="15"/>
                <c:pt idx="0">
                  <c:v>4123</c:v>
                </c:pt>
                <c:pt idx="1">
                  <c:v>3121</c:v>
                </c:pt>
                <c:pt idx="2">
                  <c:v>3116</c:v>
                </c:pt>
                <c:pt idx="3">
                  <c:v>3831</c:v>
                </c:pt>
                <c:pt idx="4">
                  <c:v>4336</c:v>
                </c:pt>
                <c:pt idx="5">
                  <c:v>2312</c:v>
                </c:pt>
                <c:pt idx="6">
                  <c:v>3448</c:v>
                </c:pt>
                <c:pt idx="7">
                  <c:v>2901</c:v>
                </c:pt>
                <c:pt idx="8">
                  <c:v>4702</c:v>
                </c:pt>
                <c:pt idx="9">
                  <c:v>3334</c:v>
                </c:pt>
                <c:pt idx="10">
                  <c:v>2695</c:v>
                </c:pt>
                <c:pt idx="11">
                  <c:v>3236</c:v>
                </c:pt>
                <c:pt idx="12">
                  <c:v>3418</c:v>
                </c:pt>
                <c:pt idx="13">
                  <c:v>3328</c:v>
                </c:pt>
                <c:pt idx="14">
                  <c:v>3004</c:v>
                </c:pt>
              </c:numCache>
            </c:numRef>
          </c:val>
          <c:extLst>
            <c:ext xmlns:c16="http://schemas.microsoft.com/office/drawing/2014/chart" uri="{C3380CC4-5D6E-409C-BE32-E72D297353CC}">
              <c16:uniqueId val="{00000007-0980-45BC-AA70-751C2ED7DD9B}"/>
            </c:ext>
          </c:extLst>
        </c:ser>
        <c:ser>
          <c:idx val="8"/>
          <c:order val="8"/>
          <c:tx>
            <c:strRef>
              <c:f>'Pivot Table'!$J$147:$J$149</c:f>
              <c:strCache>
                <c:ptCount val="1"/>
                <c:pt idx="0">
                  <c:v>More than 2 hours - Count of Call number</c:v>
                </c:pt>
              </c:strCache>
            </c:strRef>
          </c:tx>
          <c:spPr>
            <a:solidFill>
              <a:schemeClr val="accent3">
                <a:lumMod val="60000"/>
              </a:schemeClr>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Table'!$J$150:$J$165</c:f>
              <c:numCache>
                <c:formatCode>General</c:formatCode>
                <c:ptCount val="15"/>
                <c:pt idx="0">
                  <c:v>15</c:v>
                </c:pt>
                <c:pt idx="1">
                  <c:v>14</c:v>
                </c:pt>
                <c:pt idx="2">
                  <c:v>10</c:v>
                </c:pt>
                <c:pt idx="3">
                  <c:v>21</c:v>
                </c:pt>
                <c:pt idx="4">
                  <c:v>12</c:v>
                </c:pt>
                <c:pt idx="5">
                  <c:v>20</c:v>
                </c:pt>
                <c:pt idx="6">
                  <c:v>16</c:v>
                </c:pt>
                <c:pt idx="7">
                  <c:v>15</c:v>
                </c:pt>
                <c:pt idx="8">
                  <c:v>9</c:v>
                </c:pt>
                <c:pt idx="9">
                  <c:v>21</c:v>
                </c:pt>
                <c:pt idx="10">
                  <c:v>18</c:v>
                </c:pt>
                <c:pt idx="11">
                  <c:v>18</c:v>
                </c:pt>
                <c:pt idx="12">
                  <c:v>19</c:v>
                </c:pt>
                <c:pt idx="13">
                  <c:v>14</c:v>
                </c:pt>
                <c:pt idx="14">
                  <c:v>15</c:v>
                </c:pt>
              </c:numCache>
            </c:numRef>
          </c:val>
          <c:extLst>
            <c:ext xmlns:c16="http://schemas.microsoft.com/office/drawing/2014/chart" uri="{C3380CC4-5D6E-409C-BE32-E72D297353CC}">
              <c16:uniqueId val="{00000008-0980-45BC-AA70-751C2ED7DD9B}"/>
            </c:ext>
          </c:extLst>
        </c:ser>
        <c:ser>
          <c:idx val="9"/>
          <c:order val="9"/>
          <c:tx>
            <c:strRef>
              <c:f>'Pivot Table'!$K$147:$K$149</c:f>
              <c:strCache>
                <c:ptCount val="1"/>
                <c:pt idx="0">
                  <c:v>More than 2 hours - Sum of Purchase Amount</c:v>
                </c:pt>
              </c:strCache>
            </c:strRef>
          </c:tx>
          <c:spPr>
            <a:solidFill>
              <a:schemeClr val="accent4">
                <a:lumMod val="60000"/>
              </a:schemeClr>
            </a:solidFill>
            <a:ln>
              <a:noFill/>
            </a:ln>
            <a:effectLst/>
          </c:spPr>
          <c:invertIfNegative val="0"/>
          <c:cat>
            <c:strRef>
              <c:f>'Pivot Table'!$A$150:$A$165</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'Pivot Table'!$K$150:$K$165</c:f>
              <c:numCache>
                <c:formatCode>General</c:formatCode>
                <c:ptCount val="15"/>
                <c:pt idx="0">
                  <c:v>1248</c:v>
                </c:pt>
                <c:pt idx="1">
                  <c:v>1229</c:v>
                </c:pt>
                <c:pt idx="2">
                  <c:v>964</c:v>
                </c:pt>
                <c:pt idx="3">
                  <c:v>1872</c:v>
                </c:pt>
                <c:pt idx="4">
                  <c:v>1000</c:v>
                </c:pt>
                <c:pt idx="5">
                  <c:v>1857</c:v>
                </c:pt>
                <c:pt idx="6">
                  <c:v>1767</c:v>
                </c:pt>
                <c:pt idx="7">
                  <c:v>1081</c:v>
                </c:pt>
                <c:pt idx="8">
                  <c:v>799</c:v>
                </c:pt>
                <c:pt idx="9">
                  <c:v>1899</c:v>
                </c:pt>
                <c:pt idx="10">
                  <c:v>1708</c:v>
                </c:pt>
                <c:pt idx="11">
                  <c:v>1828</c:v>
                </c:pt>
                <c:pt idx="12">
                  <c:v>2127</c:v>
                </c:pt>
                <c:pt idx="13">
                  <c:v>1194</c:v>
                </c:pt>
                <c:pt idx="14">
                  <c:v>1717</c:v>
                </c:pt>
              </c:numCache>
            </c:numRef>
          </c:val>
          <c:extLst>
            <c:ext xmlns:c16="http://schemas.microsoft.com/office/drawing/2014/chart" uri="{C3380CC4-5D6E-409C-BE32-E72D297353CC}">
              <c16:uniqueId val="{00000009-0980-45BC-AA70-751C2ED7DD9B}"/>
            </c:ext>
          </c:extLst>
        </c:ser>
        <c:dLbls>
          <c:showLegendKey val="0"/>
          <c:showVal val="0"/>
          <c:showCatName val="0"/>
          <c:showSerName val="0"/>
          <c:showPercent val="0"/>
          <c:showBubbleSize val="0"/>
        </c:dLbls>
        <c:gapWidth val="219"/>
        <c:overlap val="-27"/>
        <c:axId val="2141172704"/>
        <c:axId val="2141171624"/>
      </c:barChart>
      <c:catAx>
        <c:axId val="214117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171624"/>
        <c:crosses val="autoZero"/>
        <c:auto val="1"/>
        <c:lblAlgn val="ctr"/>
        <c:lblOffset val="100"/>
        <c:noMultiLvlLbl val="0"/>
      </c:catAx>
      <c:valAx>
        <c:axId val="2141171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17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177800</xdr:rowOff>
    </xdr:from>
    <xdr:to>
      <xdr:col>6</xdr:col>
      <xdr:colOff>514350</xdr:colOff>
      <xdr:row>15</xdr:row>
      <xdr:rowOff>123825</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372ADDB0-884C-DEEB-CF2A-EA2E30C9A67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604000" y="36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63500</xdr:colOff>
      <xdr:row>0</xdr:row>
      <xdr:rowOff>0</xdr:rowOff>
    </xdr:from>
    <xdr:to>
      <xdr:col>48</xdr:col>
      <xdr:colOff>190500</xdr:colOff>
      <xdr:row>16</xdr:row>
      <xdr:rowOff>25400</xdr:rowOff>
    </xdr:to>
    <xdr:graphicFrame macro="">
      <xdr:nvGraphicFramePr>
        <xdr:cNvPr id="3" name="Chart 2">
          <a:extLst>
            <a:ext uri="{FF2B5EF4-FFF2-40B4-BE49-F238E27FC236}">
              <a16:creationId xmlns:a16="http://schemas.microsoft.com/office/drawing/2014/main" id="{BB601F30-5DCF-F0A5-E63C-8C50096FA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730250</xdr:colOff>
      <xdr:row>22</xdr:row>
      <xdr:rowOff>146050</xdr:rowOff>
    </xdr:from>
    <xdr:to>
      <xdr:col>12</xdr:col>
      <xdr:colOff>0</xdr:colOff>
      <xdr:row>35</xdr:row>
      <xdr:rowOff>101600</xdr:rowOff>
    </xdr:to>
    <xdr:graphicFrame macro="">
      <xdr:nvGraphicFramePr>
        <xdr:cNvPr id="10" name="Chart 9">
          <a:extLst>
            <a:ext uri="{FF2B5EF4-FFF2-40B4-BE49-F238E27FC236}">
              <a16:creationId xmlns:a16="http://schemas.microsoft.com/office/drawing/2014/main" id="{29085415-DDDB-B084-5241-088882A98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152400</xdr:colOff>
      <xdr:row>22</xdr:row>
      <xdr:rowOff>114300</xdr:rowOff>
    </xdr:from>
    <xdr:to>
      <xdr:col>14</xdr:col>
      <xdr:colOff>425450</xdr:colOff>
      <xdr:row>35</xdr:row>
      <xdr:rowOff>76199</xdr:rowOff>
    </xdr:to>
    <mc:AlternateContent xmlns:mc="http://schemas.openxmlformats.org/markup-compatibility/2006">
      <mc:Choice xmlns:a14="http://schemas.microsoft.com/office/drawing/2010/main" Requires="a14">
        <xdr:graphicFrame macro="">
          <xdr:nvGraphicFramePr>
            <xdr:cNvPr id="12" name="Representative 1">
              <a:extLst>
                <a:ext uri="{FF2B5EF4-FFF2-40B4-BE49-F238E27FC236}">
                  <a16:creationId xmlns:a16="http://schemas.microsoft.com/office/drawing/2014/main" id="{483E3E34-BBD7-13A8-C9B5-795C856440B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18910300" y="4165600"/>
              <a:ext cx="1828800" cy="235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292100</xdr:colOff>
      <xdr:row>42</xdr:row>
      <xdr:rowOff>139700</xdr:rowOff>
    </xdr:from>
    <xdr:to>
      <xdr:col>9</xdr:col>
      <xdr:colOff>50800</xdr:colOff>
      <xdr:row>54</xdr:row>
      <xdr:rowOff>50800</xdr:rowOff>
    </xdr:to>
    <xdr:graphicFrame macro="">
      <xdr:nvGraphicFramePr>
        <xdr:cNvPr id="14" name="Chart 13">
          <a:extLst>
            <a:ext uri="{FF2B5EF4-FFF2-40B4-BE49-F238E27FC236}">
              <a16:creationId xmlns:a16="http://schemas.microsoft.com/office/drawing/2014/main" id="{43389143-B4F7-4BBA-4938-4BFDE3774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12700</xdr:colOff>
      <xdr:row>42</xdr:row>
      <xdr:rowOff>171450</xdr:rowOff>
    </xdr:from>
    <xdr:to>
      <xdr:col>12</xdr:col>
      <xdr:colOff>190500</xdr:colOff>
      <xdr:row>56</xdr:row>
      <xdr:rowOff>117475</xdr:rowOff>
    </xdr:to>
    <mc:AlternateContent xmlns:mc="http://schemas.openxmlformats.org/markup-compatibility/2006">
      <mc:Choice xmlns:a14="http://schemas.microsoft.com/office/drawing/2010/main" Requires="a14">
        <xdr:graphicFrame macro="">
          <xdr:nvGraphicFramePr>
            <xdr:cNvPr id="15" name="Representative 2">
              <a:extLst>
                <a:ext uri="{FF2B5EF4-FFF2-40B4-BE49-F238E27FC236}">
                  <a16:creationId xmlns:a16="http://schemas.microsoft.com/office/drawing/2014/main" id="{E29F412B-081E-9CB5-76ED-3441055EC945}"/>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15227300" y="790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444500</xdr:colOff>
      <xdr:row>64</xdr:row>
      <xdr:rowOff>177800</xdr:rowOff>
    </xdr:from>
    <xdr:to>
      <xdr:col>8</xdr:col>
      <xdr:colOff>139700</xdr:colOff>
      <xdr:row>78</xdr:row>
      <xdr:rowOff>12700</xdr:rowOff>
    </xdr:to>
    <xdr:graphicFrame macro="">
      <xdr:nvGraphicFramePr>
        <xdr:cNvPr id="16" name="Chart 15">
          <a:extLst>
            <a:ext uri="{FF2B5EF4-FFF2-40B4-BE49-F238E27FC236}">
              <a16:creationId xmlns:a16="http://schemas.microsoft.com/office/drawing/2014/main" id="{792FDFEF-5697-8A0D-BBDC-019D0B07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323850</xdr:colOff>
      <xdr:row>93</xdr:row>
      <xdr:rowOff>120651</xdr:rowOff>
    </xdr:from>
    <xdr:to>
      <xdr:col>9</xdr:col>
      <xdr:colOff>196850</xdr:colOff>
      <xdr:row>104</xdr:row>
      <xdr:rowOff>38101</xdr:rowOff>
    </xdr:to>
    <mc:AlternateContent xmlns:mc="http://schemas.openxmlformats.org/markup-compatibility/2006">
      <mc:Choice xmlns:a14="http://schemas.microsoft.com/office/drawing/2010/main" Requires="a14">
        <xdr:graphicFrame macro="">
          <xdr:nvGraphicFramePr>
            <xdr:cNvPr id="19" name="Representative 3">
              <a:extLst>
                <a:ext uri="{FF2B5EF4-FFF2-40B4-BE49-F238E27FC236}">
                  <a16:creationId xmlns:a16="http://schemas.microsoft.com/office/drawing/2014/main" id="{FB25E79D-6666-1057-1405-DC69CBE8239E}"/>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dr:sp macro="" textlink="">
          <xdr:nvSpPr>
            <xdr:cNvPr id="0" name=""/>
            <xdr:cNvSpPr>
              <a:spLocks noTextEdit="1"/>
            </xdr:cNvSpPr>
          </xdr:nvSpPr>
          <xdr:spPr>
            <a:xfrm>
              <a:off x="11112500" y="17246601"/>
              <a:ext cx="142875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663575</xdr:colOff>
      <xdr:row>115</xdr:row>
      <xdr:rowOff>152400</xdr:rowOff>
    </xdr:from>
    <xdr:to>
      <xdr:col>17</xdr:col>
      <xdr:colOff>180975</xdr:colOff>
      <xdr:row>130</xdr:row>
      <xdr:rowOff>133350</xdr:rowOff>
    </xdr:to>
    <xdr:graphicFrame macro="">
      <xdr:nvGraphicFramePr>
        <xdr:cNvPr id="20" name="Chart 19">
          <a:extLst>
            <a:ext uri="{FF2B5EF4-FFF2-40B4-BE49-F238E27FC236}">
              <a16:creationId xmlns:a16="http://schemas.microsoft.com/office/drawing/2014/main" id="{B6908E0A-5793-8F24-7D39-49635EF39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457200</xdr:colOff>
      <xdr:row>126</xdr:row>
      <xdr:rowOff>114300</xdr:rowOff>
    </xdr:from>
    <xdr:to>
      <xdr:col>2</xdr:col>
      <xdr:colOff>107950</xdr:colOff>
      <xdr:row>140</xdr:row>
      <xdr:rowOff>60325</xdr:rowOff>
    </xdr:to>
    <mc:AlternateContent xmlns:mc="http://schemas.openxmlformats.org/markup-compatibility/2006">
      <mc:Choice xmlns:a14="http://schemas.microsoft.com/office/drawing/2010/main" Requires="a14">
        <xdr:graphicFrame macro="">
          <xdr:nvGraphicFramePr>
            <xdr:cNvPr id="21" name="Rating">
              <a:extLst>
                <a:ext uri="{FF2B5EF4-FFF2-40B4-BE49-F238E27FC236}">
                  <a16:creationId xmlns:a16="http://schemas.microsoft.com/office/drawing/2014/main" id="{244A5A35-21E6-EC98-F1D6-914813136F3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457200" y="2331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654050</xdr:colOff>
      <xdr:row>169</xdr:row>
      <xdr:rowOff>107950</xdr:rowOff>
    </xdr:from>
    <xdr:to>
      <xdr:col>8</xdr:col>
      <xdr:colOff>1041400</xdr:colOff>
      <xdr:row>184</xdr:row>
      <xdr:rowOff>88900</xdr:rowOff>
    </xdr:to>
    <xdr:graphicFrame macro="">
      <xdr:nvGraphicFramePr>
        <xdr:cNvPr id="23" name="Chart 22">
          <a:extLst>
            <a:ext uri="{FF2B5EF4-FFF2-40B4-BE49-F238E27FC236}">
              <a16:creationId xmlns:a16="http://schemas.microsoft.com/office/drawing/2014/main" id="{D5479E3B-DDB7-AB30-CC4B-B3A833D6E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esh, Yeddula Siva" refreshedDate="45766.685758796295" createdVersion="8" refreshedVersion="8" minRefreshableVersion="3" recordCount="1000" xr:uid="{F8B99763-E63F-43E9-882E-E42B9F14FC24}">
  <cacheSource type="worksheet">
    <worksheetSource name="Call_Center"/>
  </cacheSource>
  <cacheFields count="13">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72">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
        <s v="10 to 30 min"/>
        <s v="Under 10 mins"/>
      </sharedItems>
    </cacheField>
    <cacheField name="Rating"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107607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16"/>
    <x v="0"/>
    <x v="0"/>
    <n v="128"/>
    <n v="4.9000000000000004"/>
    <x v="0"/>
    <x v="0"/>
    <x v="0"/>
    <x v="0"/>
  </r>
  <r>
    <x v="1"/>
    <x v="1"/>
    <n v="119"/>
    <x v="0"/>
    <x v="0"/>
    <n v="135"/>
    <n v="2.9"/>
    <x v="0"/>
    <x v="0"/>
    <x v="0"/>
    <x v="1"/>
  </r>
  <r>
    <x v="2"/>
    <x v="2"/>
    <n v="68"/>
    <x v="1"/>
    <x v="0"/>
    <n v="66"/>
    <n v="4.7"/>
    <x v="0"/>
    <x v="0"/>
    <x v="0"/>
    <x v="0"/>
  </r>
  <r>
    <x v="3"/>
    <x v="3"/>
    <n v="119"/>
    <x v="1"/>
    <x v="0"/>
    <n v="22"/>
    <n v="2.9"/>
    <x v="0"/>
    <x v="0"/>
    <x v="0"/>
    <x v="1"/>
  </r>
  <r>
    <x v="4"/>
    <x v="4"/>
    <n v="128"/>
    <x v="2"/>
    <x v="1"/>
    <n v="31"/>
    <n v="2.8"/>
    <x v="0"/>
    <x v="1"/>
    <x v="1"/>
    <x v="1"/>
  </r>
  <r>
    <x v="5"/>
    <x v="4"/>
    <n v="49"/>
    <x v="1"/>
    <x v="2"/>
    <n v="135"/>
    <n v="4.8"/>
    <x v="0"/>
    <x v="2"/>
    <x v="2"/>
    <x v="0"/>
  </r>
  <r>
    <x v="6"/>
    <x v="5"/>
    <n v="84"/>
    <x v="0"/>
    <x v="2"/>
    <n v="60"/>
    <n v="4.7"/>
    <x v="0"/>
    <x v="2"/>
    <x v="0"/>
    <x v="0"/>
  </r>
  <r>
    <x v="7"/>
    <x v="0"/>
    <n v="103"/>
    <x v="3"/>
    <x v="2"/>
    <n v="148"/>
    <n v="4.4000000000000004"/>
    <x v="0"/>
    <x v="2"/>
    <x v="0"/>
    <x v="2"/>
  </r>
  <r>
    <x v="8"/>
    <x v="2"/>
    <n v="31"/>
    <x v="1"/>
    <x v="2"/>
    <n v="135"/>
    <n v="3.6"/>
    <x v="0"/>
    <x v="2"/>
    <x v="2"/>
    <x v="2"/>
  </r>
  <r>
    <x v="9"/>
    <x v="6"/>
    <n v="44"/>
    <x v="4"/>
    <x v="2"/>
    <n v="105"/>
    <n v="2.9"/>
    <x v="0"/>
    <x v="2"/>
    <x v="2"/>
    <x v="1"/>
  </r>
  <r>
    <x v="10"/>
    <x v="4"/>
    <n v="102"/>
    <x v="1"/>
    <x v="2"/>
    <n v="69"/>
    <n v="4.9000000000000004"/>
    <x v="0"/>
    <x v="2"/>
    <x v="0"/>
    <x v="0"/>
  </r>
  <r>
    <x v="11"/>
    <x v="7"/>
    <n v="135"/>
    <x v="0"/>
    <x v="2"/>
    <n v="46"/>
    <n v="3.4"/>
    <x v="0"/>
    <x v="2"/>
    <x v="1"/>
    <x v="1"/>
  </r>
  <r>
    <x v="12"/>
    <x v="8"/>
    <n v="98"/>
    <x v="1"/>
    <x v="3"/>
    <n v="108"/>
    <n v="3.5"/>
    <x v="0"/>
    <x v="3"/>
    <x v="0"/>
    <x v="2"/>
  </r>
  <r>
    <x v="13"/>
    <x v="6"/>
    <n v="139"/>
    <x v="1"/>
    <x v="3"/>
    <n v="96"/>
    <n v="4"/>
    <x v="0"/>
    <x v="3"/>
    <x v="1"/>
    <x v="2"/>
  </r>
  <r>
    <x v="14"/>
    <x v="7"/>
    <n v="48"/>
    <x v="2"/>
    <x v="3"/>
    <n v="68"/>
    <n v="4.9000000000000004"/>
    <x v="0"/>
    <x v="3"/>
    <x v="2"/>
    <x v="0"/>
  </r>
  <r>
    <x v="15"/>
    <x v="6"/>
    <n v="176"/>
    <x v="0"/>
    <x v="4"/>
    <n v="24"/>
    <n v="4.8"/>
    <x v="0"/>
    <x v="4"/>
    <x v="1"/>
    <x v="0"/>
  </r>
  <r>
    <x v="16"/>
    <x v="6"/>
    <n v="99"/>
    <x v="2"/>
    <x v="4"/>
    <n v="195"/>
    <n v="3.9"/>
    <x v="0"/>
    <x v="4"/>
    <x v="0"/>
    <x v="2"/>
  </r>
  <r>
    <x v="17"/>
    <x v="9"/>
    <n v="28"/>
    <x v="4"/>
    <x v="4"/>
    <n v="28"/>
    <n v="3.8"/>
    <x v="0"/>
    <x v="4"/>
    <x v="3"/>
    <x v="2"/>
  </r>
  <r>
    <x v="18"/>
    <x v="5"/>
    <n v="54"/>
    <x v="1"/>
    <x v="4"/>
    <n v="170"/>
    <n v="4.3"/>
    <x v="0"/>
    <x v="4"/>
    <x v="2"/>
    <x v="2"/>
  </r>
  <r>
    <x v="19"/>
    <x v="10"/>
    <n v="48"/>
    <x v="0"/>
    <x v="5"/>
    <n v="30"/>
    <n v="4.4000000000000004"/>
    <x v="0"/>
    <x v="5"/>
    <x v="2"/>
    <x v="2"/>
  </r>
  <r>
    <x v="20"/>
    <x v="1"/>
    <n v="128"/>
    <x v="0"/>
    <x v="5"/>
    <n v="72"/>
    <n v="5"/>
    <x v="0"/>
    <x v="5"/>
    <x v="1"/>
    <x v="0"/>
  </r>
  <r>
    <x v="21"/>
    <x v="1"/>
    <n v="38"/>
    <x v="3"/>
    <x v="6"/>
    <n v="92"/>
    <n v="4.9000000000000004"/>
    <x v="0"/>
    <x v="6"/>
    <x v="2"/>
    <x v="0"/>
  </r>
  <r>
    <x v="22"/>
    <x v="0"/>
    <n v="67"/>
    <x v="3"/>
    <x v="7"/>
    <n v="165"/>
    <n v="4.5"/>
    <x v="0"/>
    <x v="0"/>
    <x v="0"/>
    <x v="0"/>
  </r>
  <r>
    <x v="23"/>
    <x v="11"/>
    <n v="58"/>
    <x v="1"/>
    <x v="7"/>
    <n v="140"/>
    <n v="2.1"/>
    <x v="0"/>
    <x v="0"/>
    <x v="2"/>
    <x v="3"/>
  </r>
  <r>
    <x v="24"/>
    <x v="6"/>
    <n v="54"/>
    <x v="2"/>
    <x v="7"/>
    <n v="111"/>
    <n v="3.3"/>
    <x v="0"/>
    <x v="0"/>
    <x v="2"/>
    <x v="1"/>
  </r>
  <r>
    <x v="25"/>
    <x v="12"/>
    <n v="28"/>
    <x v="0"/>
    <x v="8"/>
    <n v="63"/>
    <n v="4.0999999999999996"/>
    <x v="0"/>
    <x v="1"/>
    <x v="3"/>
    <x v="2"/>
  </r>
  <r>
    <x v="26"/>
    <x v="8"/>
    <n v="73"/>
    <x v="0"/>
    <x v="8"/>
    <n v="80"/>
    <n v="4.2"/>
    <x v="0"/>
    <x v="1"/>
    <x v="0"/>
    <x v="2"/>
  </r>
  <r>
    <x v="27"/>
    <x v="4"/>
    <n v="81"/>
    <x v="0"/>
    <x v="9"/>
    <n v="50"/>
    <n v="4.5999999999999996"/>
    <x v="0"/>
    <x v="2"/>
    <x v="0"/>
    <x v="0"/>
  </r>
  <r>
    <x v="28"/>
    <x v="9"/>
    <n v="31"/>
    <x v="3"/>
    <x v="9"/>
    <n v="123"/>
    <n v="2.9"/>
    <x v="0"/>
    <x v="2"/>
    <x v="2"/>
    <x v="1"/>
  </r>
  <r>
    <x v="29"/>
    <x v="11"/>
    <n v="155"/>
    <x v="2"/>
    <x v="9"/>
    <n v="110"/>
    <n v="4.8"/>
    <x v="0"/>
    <x v="2"/>
    <x v="1"/>
    <x v="0"/>
  </r>
  <r>
    <x v="30"/>
    <x v="9"/>
    <n v="80"/>
    <x v="0"/>
    <x v="9"/>
    <n v="140"/>
    <n v="4.2"/>
    <x v="0"/>
    <x v="2"/>
    <x v="0"/>
    <x v="2"/>
  </r>
  <r>
    <x v="31"/>
    <x v="4"/>
    <n v="82"/>
    <x v="0"/>
    <x v="10"/>
    <n v="42"/>
    <n v="3.7"/>
    <x v="0"/>
    <x v="4"/>
    <x v="0"/>
    <x v="2"/>
  </r>
  <r>
    <x v="32"/>
    <x v="4"/>
    <n v="29"/>
    <x v="2"/>
    <x v="10"/>
    <n v="170"/>
    <n v="5"/>
    <x v="0"/>
    <x v="4"/>
    <x v="3"/>
    <x v="0"/>
  </r>
  <r>
    <x v="33"/>
    <x v="10"/>
    <n v="160"/>
    <x v="1"/>
    <x v="11"/>
    <n v="105"/>
    <n v="5"/>
    <x v="0"/>
    <x v="6"/>
    <x v="1"/>
    <x v="0"/>
  </r>
  <r>
    <x v="34"/>
    <x v="13"/>
    <n v="105"/>
    <x v="0"/>
    <x v="12"/>
    <n v="125"/>
    <n v="4.8"/>
    <x v="0"/>
    <x v="0"/>
    <x v="0"/>
    <x v="0"/>
  </r>
  <r>
    <x v="35"/>
    <x v="9"/>
    <n v="75"/>
    <x v="4"/>
    <x v="12"/>
    <n v="26"/>
    <n v="2.4"/>
    <x v="0"/>
    <x v="0"/>
    <x v="0"/>
    <x v="3"/>
  </r>
  <r>
    <x v="36"/>
    <x v="11"/>
    <n v="94"/>
    <x v="4"/>
    <x v="13"/>
    <n v="120"/>
    <n v="3.1"/>
    <x v="0"/>
    <x v="1"/>
    <x v="0"/>
    <x v="1"/>
  </r>
  <r>
    <x v="37"/>
    <x v="1"/>
    <n v="90"/>
    <x v="1"/>
    <x v="13"/>
    <n v="132"/>
    <n v="3.2"/>
    <x v="0"/>
    <x v="1"/>
    <x v="0"/>
    <x v="1"/>
  </r>
  <r>
    <x v="38"/>
    <x v="11"/>
    <n v="81"/>
    <x v="3"/>
    <x v="14"/>
    <n v="86"/>
    <n v="2.4"/>
    <x v="0"/>
    <x v="2"/>
    <x v="0"/>
    <x v="3"/>
  </r>
  <r>
    <x v="39"/>
    <x v="9"/>
    <n v="106"/>
    <x v="0"/>
    <x v="14"/>
    <n v="108"/>
    <n v="5"/>
    <x v="0"/>
    <x v="2"/>
    <x v="0"/>
    <x v="0"/>
  </r>
  <r>
    <x v="40"/>
    <x v="1"/>
    <n v="74"/>
    <x v="3"/>
    <x v="14"/>
    <n v="96"/>
    <n v="4.7"/>
    <x v="0"/>
    <x v="2"/>
    <x v="0"/>
    <x v="0"/>
  </r>
  <r>
    <x v="41"/>
    <x v="6"/>
    <n v="105"/>
    <x v="1"/>
    <x v="15"/>
    <n v="80"/>
    <n v="4.7"/>
    <x v="0"/>
    <x v="3"/>
    <x v="0"/>
    <x v="0"/>
  </r>
  <r>
    <x v="42"/>
    <x v="9"/>
    <n v="89"/>
    <x v="0"/>
    <x v="15"/>
    <n v="155"/>
    <n v="4.0999999999999996"/>
    <x v="0"/>
    <x v="3"/>
    <x v="0"/>
    <x v="2"/>
  </r>
  <r>
    <x v="43"/>
    <x v="7"/>
    <n v="132"/>
    <x v="4"/>
    <x v="15"/>
    <n v="168"/>
    <n v="4.0999999999999996"/>
    <x v="0"/>
    <x v="3"/>
    <x v="1"/>
    <x v="2"/>
  </r>
  <r>
    <x v="44"/>
    <x v="13"/>
    <n v="105"/>
    <x v="2"/>
    <x v="15"/>
    <n v="56"/>
    <n v="3.6"/>
    <x v="0"/>
    <x v="3"/>
    <x v="0"/>
    <x v="2"/>
  </r>
  <r>
    <x v="45"/>
    <x v="4"/>
    <n v="13"/>
    <x v="4"/>
    <x v="16"/>
    <n v="32"/>
    <n v="4.4000000000000004"/>
    <x v="0"/>
    <x v="4"/>
    <x v="3"/>
    <x v="2"/>
  </r>
  <r>
    <x v="46"/>
    <x v="3"/>
    <n v="131"/>
    <x v="2"/>
    <x v="16"/>
    <n v="78"/>
    <n v="4.4000000000000004"/>
    <x v="0"/>
    <x v="4"/>
    <x v="1"/>
    <x v="2"/>
  </r>
  <r>
    <x v="47"/>
    <x v="1"/>
    <n v="104"/>
    <x v="0"/>
    <x v="16"/>
    <n v="86"/>
    <n v="4"/>
    <x v="0"/>
    <x v="4"/>
    <x v="0"/>
    <x v="2"/>
  </r>
  <r>
    <x v="48"/>
    <x v="0"/>
    <n v="90"/>
    <x v="1"/>
    <x v="17"/>
    <n v="64"/>
    <n v="3.8"/>
    <x v="0"/>
    <x v="5"/>
    <x v="0"/>
    <x v="2"/>
  </r>
  <r>
    <x v="49"/>
    <x v="12"/>
    <n v="37"/>
    <x v="1"/>
    <x v="17"/>
    <n v="96"/>
    <n v="3.6"/>
    <x v="0"/>
    <x v="5"/>
    <x v="2"/>
    <x v="2"/>
  </r>
  <r>
    <x v="50"/>
    <x v="8"/>
    <n v="149"/>
    <x v="2"/>
    <x v="17"/>
    <n v="72"/>
    <n v="4.3"/>
    <x v="0"/>
    <x v="5"/>
    <x v="1"/>
    <x v="2"/>
  </r>
  <r>
    <x v="51"/>
    <x v="7"/>
    <n v="100"/>
    <x v="3"/>
    <x v="18"/>
    <n v="135"/>
    <n v="3.8"/>
    <x v="0"/>
    <x v="6"/>
    <x v="0"/>
    <x v="2"/>
  </r>
  <r>
    <x v="52"/>
    <x v="7"/>
    <n v="79"/>
    <x v="4"/>
    <x v="18"/>
    <n v="140"/>
    <n v="4.5"/>
    <x v="0"/>
    <x v="6"/>
    <x v="0"/>
    <x v="0"/>
  </r>
  <r>
    <x v="53"/>
    <x v="14"/>
    <n v="157"/>
    <x v="2"/>
    <x v="18"/>
    <n v="69"/>
    <n v="4.5"/>
    <x v="0"/>
    <x v="6"/>
    <x v="1"/>
    <x v="0"/>
  </r>
  <r>
    <x v="54"/>
    <x v="7"/>
    <n v="59"/>
    <x v="0"/>
    <x v="19"/>
    <n v="136"/>
    <n v="4.5999999999999996"/>
    <x v="0"/>
    <x v="0"/>
    <x v="2"/>
    <x v="0"/>
  </r>
  <r>
    <x v="55"/>
    <x v="12"/>
    <n v="83"/>
    <x v="2"/>
    <x v="19"/>
    <n v="28"/>
    <n v="4.5"/>
    <x v="0"/>
    <x v="0"/>
    <x v="0"/>
    <x v="0"/>
  </r>
  <r>
    <x v="56"/>
    <x v="14"/>
    <n v="58"/>
    <x v="1"/>
    <x v="20"/>
    <n v="135"/>
    <n v="3.3"/>
    <x v="0"/>
    <x v="1"/>
    <x v="2"/>
    <x v="1"/>
  </r>
  <r>
    <x v="57"/>
    <x v="11"/>
    <n v="118"/>
    <x v="1"/>
    <x v="20"/>
    <n v="126"/>
    <n v="2.2999999999999998"/>
    <x v="0"/>
    <x v="1"/>
    <x v="0"/>
    <x v="3"/>
  </r>
  <r>
    <x v="58"/>
    <x v="4"/>
    <n v="63"/>
    <x v="0"/>
    <x v="20"/>
    <n v="160"/>
    <n v="4.3"/>
    <x v="0"/>
    <x v="1"/>
    <x v="0"/>
    <x v="2"/>
  </r>
  <r>
    <x v="59"/>
    <x v="14"/>
    <n v="95"/>
    <x v="1"/>
    <x v="21"/>
    <n v="48"/>
    <n v="4.5999999999999996"/>
    <x v="0"/>
    <x v="2"/>
    <x v="0"/>
    <x v="0"/>
  </r>
  <r>
    <x v="60"/>
    <x v="7"/>
    <n v="74"/>
    <x v="2"/>
    <x v="21"/>
    <n v="66"/>
    <n v="4"/>
    <x v="0"/>
    <x v="2"/>
    <x v="0"/>
    <x v="2"/>
  </r>
  <r>
    <x v="61"/>
    <x v="6"/>
    <n v="130"/>
    <x v="3"/>
    <x v="21"/>
    <n v="126"/>
    <n v="2.5"/>
    <x v="0"/>
    <x v="2"/>
    <x v="1"/>
    <x v="1"/>
  </r>
  <r>
    <x v="62"/>
    <x v="11"/>
    <n v="110"/>
    <x v="4"/>
    <x v="21"/>
    <n v="96"/>
    <n v="5"/>
    <x v="0"/>
    <x v="2"/>
    <x v="0"/>
    <x v="0"/>
  </r>
  <r>
    <x v="63"/>
    <x v="7"/>
    <n v="71"/>
    <x v="0"/>
    <x v="22"/>
    <n v="90"/>
    <n v="3.8"/>
    <x v="0"/>
    <x v="3"/>
    <x v="0"/>
    <x v="2"/>
  </r>
  <r>
    <x v="64"/>
    <x v="13"/>
    <n v="147"/>
    <x v="3"/>
    <x v="22"/>
    <n v="105"/>
    <n v="4.4000000000000004"/>
    <x v="0"/>
    <x v="3"/>
    <x v="1"/>
    <x v="2"/>
  </r>
  <r>
    <x v="65"/>
    <x v="1"/>
    <n v="69"/>
    <x v="1"/>
    <x v="23"/>
    <n v="40"/>
    <n v="3.8"/>
    <x v="0"/>
    <x v="4"/>
    <x v="0"/>
    <x v="2"/>
  </r>
  <r>
    <x v="66"/>
    <x v="11"/>
    <n v="50"/>
    <x v="0"/>
    <x v="23"/>
    <n v="60"/>
    <n v="2"/>
    <x v="0"/>
    <x v="4"/>
    <x v="2"/>
    <x v="3"/>
  </r>
  <r>
    <x v="67"/>
    <x v="6"/>
    <n v="124"/>
    <x v="3"/>
    <x v="24"/>
    <n v="215"/>
    <n v="4.0999999999999996"/>
    <x v="0"/>
    <x v="5"/>
    <x v="1"/>
    <x v="2"/>
  </r>
  <r>
    <x v="68"/>
    <x v="2"/>
    <n v="81"/>
    <x v="2"/>
    <x v="24"/>
    <n v="156"/>
    <n v="2.6"/>
    <x v="0"/>
    <x v="5"/>
    <x v="0"/>
    <x v="1"/>
  </r>
  <r>
    <x v="69"/>
    <x v="10"/>
    <n v="141"/>
    <x v="4"/>
    <x v="24"/>
    <n v="54"/>
    <n v="0"/>
    <x v="0"/>
    <x v="5"/>
    <x v="1"/>
    <x v="4"/>
  </r>
  <r>
    <x v="70"/>
    <x v="10"/>
    <n v="168"/>
    <x v="4"/>
    <x v="25"/>
    <n v="160"/>
    <n v="3.9"/>
    <x v="0"/>
    <x v="6"/>
    <x v="1"/>
    <x v="2"/>
  </r>
  <r>
    <x v="71"/>
    <x v="13"/>
    <n v="101"/>
    <x v="2"/>
    <x v="25"/>
    <n v="80"/>
    <n v="4.8"/>
    <x v="0"/>
    <x v="6"/>
    <x v="0"/>
    <x v="0"/>
  </r>
  <r>
    <x v="72"/>
    <x v="7"/>
    <n v="67"/>
    <x v="2"/>
    <x v="25"/>
    <n v="168"/>
    <n v="2.6"/>
    <x v="0"/>
    <x v="6"/>
    <x v="0"/>
    <x v="1"/>
  </r>
  <r>
    <x v="73"/>
    <x v="14"/>
    <n v="114"/>
    <x v="4"/>
    <x v="26"/>
    <n v="42"/>
    <n v="2.6"/>
    <x v="0"/>
    <x v="1"/>
    <x v="0"/>
    <x v="1"/>
  </r>
  <r>
    <x v="74"/>
    <x v="2"/>
    <n v="42"/>
    <x v="2"/>
    <x v="26"/>
    <n v="205"/>
    <n v="3.6"/>
    <x v="0"/>
    <x v="1"/>
    <x v="2"/>
    <x v="2"/>
  </r>
  <r>
    <x v="75"/>
    <x v="4"/>
    <n v="69"/>
    <x v="4"/>
    <x v="26"/>
    <n v="108"/>
    <n v="3.3"/>
    <x v="0"/>
    <x v="1"/>
    <x v="0"/>
    <x v="1"/>
  </r>
  <r>
    <x v="76"/>
    <x v="6"/>
    <n v="145"/>
    <x v="1"/>
    <x v="26"/>
    <n v="78"/>
    <n v="1.9"/>
    <x v="0"/>
    <x v="1"/>
    <x v="1"/>
    <x v="3"/>
  </r>
  <r>
    <x v="77"/>
    <x v="1"/>
    <n v="43"/>
    <x v="4"/>
    <x v="26"/>
    <n v="23"/>
    <n v="4.9000000000000004"/>
    <x v="0"/>
    <x v="1"/>
    <x v="2"/>
    <x v="0"/>
  </r>
  <r>
    <x v="78"/>
    <x v="4"/>
    <n v="62"/>
    <x v="0"/>
    <x v="27"/>
    <n v="99"/>
    <n v="3.6"/>
    <x v="0"/>
    <x v="2"/>
    <x v="0"/>
    <x v="2"/>
  </r>
  <r>
    <x v="79"/>
    <x v="9"/>
    <n v="79"/>
    <x v="4"/>
    <x v="28"/>
    <n v="148"/>
    <n v="4.5"/>
    <x v="0"/>
    <x v="3"/>
    <x v="0"/>
    <x v="0"/>
  </r>
  <r>
    <x v="80"/>
    <x v="6"/>
    <n v="45"/>
    <x v="3"/>
    <x v="28"/>
    <n v="34"/>
    <n v="3.7"/>
    <x v="0"/>
    <x v="3"/>
    <x v="2"/>
    <x v="2"/>
  </r>
  <r>
    <x v="81"/>
    <x v="4"/>
    <n v="137"/>
    <x v="4"/>
    <x v="28"/>
    <n v="86"/>
    <n v="4.8"/>
    <x v="0"/>
    <x v="3"/>
    <x v="1"/>
    <x v="0"/>
  </r>
  <r>
    <x v="82"/>
    <x v="14"/>
    <n v="109"/>
    <x v="0"/>
    <x v="28"/>
    <n v="105"/>
    <n v="3.3"/>
    <x v="0"/>
    <x v="3"/>
    <x v="0"/>
    <x v="1"/>
  </r>
  <r>
    <x v="83"/>
    <x v="1"/>
    <n v="78"/>
    <x v="0"/>
    <x v="28"/>
    <n v="62"/>
    <n v="3.1"/>
    <x v="0"/>
    <x v="3"/>
    <x v="0"/>
    <x v="1"/>
  </r>
  <r>
    <x v="84"/>
    <x v="4"/>
    <n v="137"/>
    <x v="3"/>
    <x v="28"/>
    <n v="90"/>
    <n v="4.0999999999999996"/>
    <x v="0"/>
    <x v="3"/>
    <x v="1"/>
    <x v="2"/>
  </r>
  <r>
    <x v="85"/>
    <x v="3"/>
    <n v="99"/>
    <x v="0"/>
    <x v="29"/>
    <n v="112"/>
    <n v="4.9000000000000004"/>
    <x v="0"/>
    <x v="4"/>
    <x v="0"/>
    <x v="0"/>
  </r>
  <r>
    <x v="86"/>
    <x v="11"/>
    <n v="100"/>
    <x v="0"/>
    <x v="29"/>
    <n v="135"/>
    <n v="4"/>
    <x v="0"/>
    <x v="4"/>
    <x v="0"/>
    <x v="2"/>
  </r>
  <r>
    <x v="87"/>
    <x v="1"/>
    <n v="47"/>
    <x v="1"/>
    <x v="29"/>
    <n v="34"/>
    <n v="2.1"/>
    <x v="0"/>
    <x v="4"/>
    <x v="2"/>
    <x v="3"/>
  </r>
  <r>
    <x v="88"/>
    <x v="14"/>
    <n v="87"/>
    <x v="2"/>
    <x v="29"/>
    <n v="155"/>
    <n v="4.5"/>
    <x v="0"/>
    <x v="4"/>
    <x v="0"/>
    <x v="0"/>
  </r>
  <r>
    <x v="89"/>
    <x v="3"/>
    <n v="143"/>
    <x v="2"/>
    <x v="30"/>
    <n v="124"/>
    <n v="4.9000000000000004"/>
    <x v="0"/>
    <x v="6"/>
    <x v="1"/>
    <x v="0"/>
  </r>
  <r>
    <x v="90"/>
    <x v="11"/>
    <n v="84"/>
    <x v="0"/>
    <x v="30"/>
    <n v="195"/>
    <n v="4.0999999999999996"/>
    <x v="0"/>
    <x v="6"/>
    <x v="0"/>
    <x v="2"/>
  </r>
  <r>
    <x v="91"/>
    <x v="13"/>
    <n v="55"/>
    <x v="2"/>
    <x v="31"/>
    <n v="78"/>
    <n v="4.5"/>
    <x v="0"/>
    <x v="0"/>
    <x v="2"/>
    <x v="0"/>
  </r>
  <r>
    <x v="92"/>
    <x v="5"/>
    <n v="135"/>
    <x v="3"/>
    <x v="32"/>
    <n v="35"/>
    <n v="4.8"/>
    <x v="0"/>
    <x v="2"/>
    <x v="1"/>
    <x v="0"/>
  </r>
  <r>
    <x v="93"/>
    <x v="12"/>
    <n v="152"/>
    <x v="1"/>
    <x v="32"/>
    <n v="123"/>
    <n v="4.5999999999999996"/>
    <x v="0"/>
    <x v="2"/>
    <x v="1"/>
    <x v="0"/>
  </r>
  <r>
    <x v="94"/>
    <x v="2"/>
    <n v="132"/>
    <x v="1"/>
    <x v="32"/>
    <n v="43"/>
    <n v="4.5999999999999996"/>
    <x v="0"/>
    <x v="2"/>
    <x v="1"/>
    <x v="0"/>
  </r>
  <r>
    <x v="95"/>
    <x v="10"/>
    <n v="60"/>
    <x v="0"/>
    <x v="33"/>
    <n v="69"/>
    <n v="4.3"/>
    <x v="0"/>
    <x v="3"/>
    <x v="2"/>
    <x v="2"/>
  </r>
  <r>
    <x v="96"/>
    <x v="12"/>
    <n v="95"/>
    <x v="1"/>
    <x v="33"/>
    <n v="130"/>
    <n v="5"/>
    <x v="0"/>
    <x v="3"/>
    <x v="0"/>
    <x v="0"/>
  </r>
  <r>
    <x v="97"/>
    <x v="0"/>
    <n v="96"/>
    <x v="4"/>
    <x v="33"/>
    <n v="120"/>
    <n v="4"/>
    <x v="0"/>
    <x v="3"/>
    <x v="0"/>
    <x v="2"/>
  </r>
  <r>
    <x v="98"/>
    <x v="13"/>
    <n v="45"/>
    <x v="0"/>
    <x v="34"/>
    <n v="84"/>
    <n v="4.5999999999999996"/>
    <x v="0"/>
    <x v="4"/>
    <x v="2"/>
    <x v="0"/>
  </r>
  <r>
    <x v="99"/>
    <x v="0"/>
    <n v="132"/>
    <x v="4"/>
    <x v="35"/>
    <n v="112"/>
    <n v="4.5"/>
    <x v="0"/>
    <x v="5"/>
    <x v="1"/>
    <x v="0"/>
  </r>
  <r>
    <x v="100"/>
    <x v="7"/>
    <n v="95"/>
    <x v="0"/>
    <x v="35"/>
    <n v="66"/>
    <n v="4.5999999999999996"/>
    <x v="0"/>
    <x v="5"/>
    <x v="0"/>
    <x v="0"/>
  </r>
  <r>
    <x v="101"/>
    <x v="12"/>
    <n v="131"/>
    <x v="2"/>
    <x v="35"/>
    <n v="172"/>
    <n v="2.6"/>
    <x v="0"/>
    <x v="5"/>
    <x v="1"/>
    <x v="1"/>
  </r>
  <r>
    <x v="102"/>
    <x v="9"/>
    <n v="67"/>
    <x v="3"/>
    <x v="36"/>
    <n v="24"/>
    <n v="4.3"/>
    <x v="0"/>
    <x v="6"/>
    <x v="0"/>
    <x v="2"/>
  </r>
  <r>
    <x v="103"/>
    <x v="3"/>
    <n v="111"/>
    <x v="2"/>
    <x v="37"/>
    <n v="43"/>
    <n v="3.9"/>
    <x v="0"/>
    <x v="0"/>
    <x v="0"/>
    <x v="2"/>
  </r>
  <r>
    <x v="104"/>
    <x v="2"/>
    <n v="78"/>
    <x v="1"/>
    <x v="37"/>
    <n v="23"/>
    <n v="5"/>
    <x v="0"/>
    <x v="0"/>
    <x v="0"/>
    <x v="0"/>
  </r>
  <r>
    <x v="105"/>
    <x v="8"/>
    <n v="28"/>
    <x v="4"/>
    <x v="37"/>
    <n v="74"/>
    <n v="3.5"/>
    <x v="0"/>
    <x v="0"/>
    <x v="3"/>
    <x v="2"/>
  </r>
  <r>
    <x v="106"/>
    <x v="1"/>
    <n v="127"/>
    <x v="3"/>
    <x v="38"/>
    <n v="165"/>
    <n v="4.7"/>
    <x v="0"/>
    <x v="1"/>
    <x v="1"/>
    <x v="0"/>
  </r>
  <r>
    <x v="107"/>
    <x v="11"/>
    <n v="137"/>
    <x v="2"/>
    <x v="38"/>
    <n v="34"/>
    <n v="2.9"/>
    <x v="0"/>
    <x v="1"/>
    <x v="1"/>
    <x v="1"/>
  </r>
  <r>
    <x v="108"/>
    <x v="1"/>
    <n v="76"/>
    <x v="4"/>
    <x v="38"/>
    <n v="64"/>
    <n v="3.4"/>
    <x v="0"/>
    <x v="1"/>
    <x v="0"/>
    <x v="1"/>
  </r>
  <r>
    <x v="109"/>
    <x v="2"/>
    <n v="80"/>
    <x v="3"/>
    <x v="39"/>
    <n v="155"/>
    <n v="3.2"/>
    <x v="0"/>
    <x v="2"/>
    <x v="0"/>
    <x v="1"/>
  </r>
  <r>
    <x v="110"/>
    <x v="1"/>
    <n v="95"/>
    <x v="1"/>
    <x v="40"/>
    <n v="120"/>
    <n v="4.8"/>
    <x v="0"/>
    <x v="3"/>
    <x v="0"/>
    <x v="0"/>
  </r>
  <r>
    <x v="111"/>
    <x v="10"/>
    <n v="30"/>
    <x v="4"/>
    <x v="40"/>
    <n v="105"/>
    <n v="3.6"/>
    <x v="0"/>
    <x v="3"/>
    <x v="3"/>
    <x v="2"/>
  </r>
  <r>
    <x v="112"/>
    <x v="4"/>
    <n v="19"/>
    <x v="2"/>
    <x v="40"/>
    <n v="28"/>
    <n v="4.9000000000000004"/>
    <x v="0"/>
    <x v="3"/>
    <x v="3"/>
    <x v="0"/>
  </r>
  <r>
    <x v="113"/>
    <x v="6"/>
    <n v="38"/>
    <x v="3"/>
    <x v="40"/>
    <n v="100"/>
    <n v="4.8"/>
    <x v="0"/>
    <x v="3"/>
    <x v="2"/>
    <x v="0"/>
  </r>
  <r>
    <x v="114"/>
    <x v="7"/>
    <n v="55"/>
    <x v="2"/>
    <x v="40"/>
    <n v="23"/>
    <n v="3.6"/>
    <x v="0"/>
    <x v="3"/>
    <x v="2"/>
    <x v="2"/>
  </r>
  <r>
    <x v="115"/>
    <x v="9"/>
    <n v="27"/>
    <x v="4"/>
    <x v="41"/>
    <n v="70"/>
    <n v="3.9"/>
    <x v="0"/>
    <x v="4"/>
    <x v="3"/>
    <x v="2"/>
  </r>
  <r>
    <x v="116"/>
    <x v="9"/>
    <n v="32"/>
    <x v="4"/>
    <x v="41"/>
    <n v="37"/>
    <n v="1.9"/>
    <x v="0"/>
    <x v="4"/>
    <x v="2"/>
    <x v="3"/>
  </r>
  <r>
    <x v="117"/>
    <x v="8"/>
    <n v="116"/>
    <x v="0"/>
    <x v="41"/>
    <n v="140"/>
    <n v="3.6"/>
    <x v="0"/>
    <x v="4"/>
    <x v="0"/>
    <x v="2"/>
  </r>
  <r>
    <x v="118"/>
    <x v="0"/>
    <n v="99"/>
    <x v="1"/>
    <x v="41"/>
    <n v="78"/>
    <n v="4.0999999999999996"/>
    <x v="0"/>
    <x v="4"/>
    <x v="0"/>
    <x v="2"/>
  </r>
  <r>
    <x v="119"/>
    <x v="1"/>
    <n v="75"/>
    <x v="4"/>
    <x v="42"/>
    <n v="21"/>
    <n v="4.2"/>
    <x v="0"/>
    <x v="5"/>
    <x v="0"/>
    <x v="2"/>
  </r>
  <r>
    <x v="120"/>
    <x v="2"/>
    <n v="57"/>
    <x v="0"/>
    <x v="42"/>
    <n v="88"/>
    <n v="4.3"/>
    <x v="0"/>
    <x v="5"/>
    <x v="2"/>
    <x v="2"/>
  </r>
  <r>
    <x v="121"/>
    <x v="5"/>
    <n v="155"/>
    <x v="0"/>
    <x v="43"/>
    <n v="180"/>
    <n v="2.2000000000000002"/>
    <x v="0"/>
    <x v="6"/>
    <x v="1"/>
    <x v="3"/>
  </r>
  <r>
    <x v="122"/>
    <x v="0"/>
    <n v="68"/>
    <x v="1"/>
    <x v="43"/>
    <n v="22"/>
    <n v="3.3"/>
    <x v="0"/>
    <x v="6"/>
    <x v="0"/>
    <x v="1"/>
  </r>
  <r>
    <x v="123"/>
    <x v="6"/>
    <n v="95"/>
    <x v="1"/>
    <x v="43"/>
    <n v="52"/>
    <n v="4.8"/>
    <x v="0"/>
    <x v="6"/>
    <x v="0"/>
    <x v="0"/>
  </r>
  <r>
    <x v="124"/>
    <x v="11"/>
    <n v="65"/>
    <x v="0"/>
    <x v="44"/>
    <n v="80"/>
    <n v="4"/>
    <x v="0"/>
    <x v="0"/>
    <x v="0"/>
    <x v="2"/>
  </r>
  <r>
    <x v="125"/>
    <x v="4"/>
    <n v="114"/>
    <x v="2"/>
    <x v="44"/>
    <n v="54"/>
    <n v="1.1000000000000001"/>
    <x v="0"/>
    <x v="0"/>
    <x v="0"/>
    <x v="5"/>
  </r>
  <r>
    <x v="126"/>
    <x v="1"/>
    <n v="155"/>
    <x v="2"/>
    <x v="45"/>
    <n v="80"/>
    <n v="3.9"/>
    <x v="0"/>
    <x v="1"/>
    <x v="1"/>
    <x v="2"/>
  </r>
  <r>
    <x v="127"/>
    <x v="11"/>
    <n v="114"/>
    <x v="0"/>
    <x v="46"/>
    <n v="120"/>
    <n v="1.8"/>
    <x v="0"/>
    <x v="2"/>
    <x v="0"/>
    <x v="3"/>
  </r>
  <r>
    <x v="128"/>
    <x v="5"/>
    <n v="130"/>
    <x v="3"/>
    <x v="46"/>
    <n v="150"/>
    <n v="1"/>
    <x v="0"/>
    <x v="2"/>
    <x v="1"/>
    <x v="5"/>
  </r>
  <r>
    <x v="129"/>
    <x v="1"/>
    <n v="89"/>
    <x v="0"/>
    <x v="46"/>
    <n v="90"/>
    <n v="4.3"/>
    <x v="0"/>
    <x v="2"/>
    <x v="0"/>
    <x v="2"/>
  </r>
  <r>
    <x v="130"/>
    <x v="13"/>
    <n v="61"/>
    <x v="4"/>
    <x v="47"/>
    <n v="140"/>
    <n v="3.4"/>
    <x v="0"/>
    <x v="3"/>
    <x v="0"/>
    <x v="1"/>
  </r>
  <r>
    <x v="131"/>
    <x v="6"/>
    <n v="154"/>
    <x v="2"/>
    <x v="47"/>
    <n v="22"/>
    <n v="3.4"/>
    <x v="0"/>
    <x v="3"/>
    <x v="1"/>
    <x v="1"/>
  </r>
  <r>
    <x v="132"/>
    <x v="11"/>
    <n v="115"/>
    <x v="3"/>
    <x v="48"/>
    <n v="150"/>
    <n v="4.0999999999999996"/>
    <x v="0"/>
    <x v="4"/>
    <x v="0"/>
    <x v="2"/>
  </r>
  <r>
    <x v="133"/>
    <x v="14"/>
    <n v="138"/>
    <x v="1"/>
    <x v="49"/>
    <n v="35"/>
    <n v="4.8"/>
    <x v="0"/>
    <x v="5"/>
    <x v="1"/>
    <x v="0"/>
  </r>
  <r>
    <x v="134"/>
    <x v="3"/>
    <n v="153"/>
    <x v="0"/>
    <x v="49"/>
    <n v="200"/>
    <n v="2"/>
    <x v="0"/>
    <x v="5"/>
    <x v="1"/>
    <x v="3"/>
  </r>
  <r>
    <x v="135"/>
    <x v="11"/>
    <n v="61"/>
    <x v="4"/>
    <x v="50"/>
    <n v="150"/>
    <n v="4.5999999999999996"/>
    <x v="0"/>
    <x v="6"/>
    <x v="0"/>
    <x v="0"/>
  </r>
  <r>
    <x v="136"/>
    <x v="9"/>
    <n v="62"/>
    <x v="0"/>
    <x v="50"/>
    <n v="21"/>
    <n v="2.6"/>
    <x v="0"/>
    <x v="6"/>
    <x v="0"/>
    <x v="1"/>
  </r>
  <r>
    <x v="137"/>
    <x v="13"/>
    <n v="151"/>
    <x v="3"/>
    <x v="51"/>
    <n v="46"/>
    <n v="4.9000000000000004"/>
    <x v="0"/>
    <x v="0"/>
    <x v="1"/>
    <x v="0"/>
  </r>
  <r>
    <x v="138"/>
    <x v="12"/>
    <n v="102"/>
    <x v="2"/>
    <x v="51"/>
    <n v="165"/>
    <n v="2.7"/>
    <x v="0"/>
    <x v="0"/>
    <x v="0"/>
    <x v="1"/>
  </r>
  <r>
    <x v="139"/>
    <x v="10"/>
    <n v="64"/>
    <x v="0"/>
    <x v="51"/>
    <n v="84"/>
    <n v="4.0999999999999996"/>
    <x v="0"/>
    <x v="0"/>
    <x v="0"/>
    <x v="2"/>
  </r>
  <r>
    <x v="140"/>
    <x v="1"/>
    <n v="6"/>
    <x v="2"/>
    <x v="52"/>
    <n v="102"/>
    <n v="4.4000000000000004"/>
    <x v="0"/>
    <x v="1"/>
    <x v="4"/>
    <x v="2"/>
  </r>
  <r>
    <x v="141"/>
    <x v="10"/>
    <n v="129"/>
    <x v="0"/>
    <x v="52"/>
    <n v="180"/>
    <n v="4.8"/>
    <x v="0"/>
    <x v="1"/>
    <x v="1"/>
    <x v="0"/>
  </r>
  <r>
    <x v="142"/>
    <x v="9"/>
    <n v="42"/>
    <x v="3"/>
    <x v="53"/>
    <n v="111"/>
    <n v="3"/>
    <x v="0"/>
    <x v="2"/>
    <x v="2"/>
    <x v="1"/>
  </r>
  <r>
    <x v="143"/>
    <x v="9"/>
    <n v="71"/>
    <x v="4"/>
    <x v="53"/>
    <n v="104"/>
    <n v="3.1"/>
    <x v="0"/>
    <x v="2"/>
    <x v="0"/>
    <x v="1"/>
  </r>
  <r>
    <x v="144"/>
    <x v="2"/>
    <n v="53"/>
    <x v="2"/>
    <x v="53"/>
    <n v="80"/>
    <n v="2.6"/>
    <x v="0"/>
    <x v="2"/>
    <x v="2"/>
    <x v="1"/>
  </r>
  <r>
    <x v="145"/>
    <x v="4"/>
    <n v="155"/>
    <x v="4"/>
    <x v="54"/>
    <n v="132"/>
    <n v="4.5999999999999996"/>
    <x v="0"/>
    <x v="3"/>
    <x v="1"/>
    <x v="0"/>
  </r>
  <r>
    <x v="146"/>
    <x v="4"/>
    <n v="90"/>
    <x v="3"/>
    <x v="54"/>
    <n v="170"/>
    <n v="3.7"/>
    <x v="0"/>
    <x v="3"/>
    <x v="0"/>
    <x v="2"/>
  </r>
  <r>
    <x v="147"/>
    <x v="10"/>
    <n v="166"/>
    <x v="1"/>
    <x v="54"/>
    <n v="36"/>
    <n v="3.8"/>
    <x v="0"/>
    <x v="3"/>
    <x v="1"/>
    <x v="2"/>
  </r>
  <r>
    <x v="148"/>
    <x v="8"/>
    <n v="89"/>
    <x v="4"/>
    <x v="54"/>
    <n v="126"/>
    <n v="3.6"/>
    <x v="0"/>
    <x v="3"/>
    <x v="0"/>
    <x v="2"/>
  </r>
  <r>
    <x v="149"/>
    <x v="11"/>
    <n v="152"/>
    <x v="2"/>
    <x v="54"/>
    <n v="215"/>
    <n v="4.4000000000000004"/>
    <x v="0"/>
    <x v="3"/>
    <x v="1"/>
    <x v="2"/>
  </r>
  <r>
    <x v="150"/>
    <x v="8"/>
    <n v="137"/>
    <x v="3"/>
    <x v="54"/>
    <n v="114"/>
    <n v="3.2"/>
    <x v="0"/>
    <x v="3"/>
    <x v="1"/>
    <x v="1"/>
  </r>
  <r>
    <x v="151"/>
    <x v="8"/>
    <n v="43"/>
    <x v="3"/>
    <x v="54"/>
    <n v="99"/>
    <n v="4.7"/>
    <x v="0"/>
    <x v="3"/>
    <x v="2"/>
    <x v="0"/>
  </r>
  <r>
    <x v="152"/>
    <x v="6"/>
    <n v="114"/>
    <x v="3"/>
    <x v="55"/>
    <n v="23"/>
    <n v="4.8"/>
    <x v="0"/>
    <x v="4"/>
    <x v="0"/>
    <x v="0"/>
  </r>
  <r>
    <x v="153"/>
    <x v="3"/>
    <n v="103"/>
    <x v="4"/>
    <x v="55"/>
    <n v="75"/>
    <n v="2.7"/>
    <x v="0"/>
    <x v="4"/>
    <x v="0"/>
    <x v="1"/>
  </r>
  <r>
    <x v="154"/>
    <x v="8"/>
    <n v="98"/>
    <x v="2"/>
    <x v="55"/>
    <n v="100"/>
    <n v="3.8"/>
    <x v="0"/>
    <x v="4"/>
    <x v="0"/>
    <x v="2"/>
  </r>
  <r>
    <x v="155"/>
    <x v="10"/>
    <n v="106"/>
    <x v="1"/>
    <x v="55"/>
    <n v="108"/>
    <n v="4.3"/>
    <x v="0"/>
    <x v="4"/>
    <x v="0"/>
    <x v="2"/>
  </r>
  <r>
    <x v="156"/>
    <x v="1"/>
    <n v="96"/>
    <x v="1"/>
    <x v="55"/>
    <n v="108"/>
    <n v="5"/>
    <x v="0"/>
    <x v="4"/>
    <x v="0"/>
    <x v="0"/>
  </r>
  <r>
    <x v="157"/>
    <x v="3"/>
    <n v="70"/>
    <x v="1"/>
    <x v="55"/>
    <n v="28"/>
    <n v="4.8"/>
    <x v="0"/>
    <x v="4"/>
    <x v="0"/>
    <x v="0"/>
  </r>
  <r>
    <x v="158"/>
    <x v="9"/>
    <n v="86"/>
    <x v="0"/>
    <x v="56"/>
    <n v="70"/>
    <n v="4.9000000000000004"/>
    <x v="0"/>
    <x v="5"/>
    <x v="0"/>
    <x v="0"/>
  </r>
  <r>
    <x v="159"/>
    <x v="2"/>
    <n v="64"/>
    <x v="0"/>
    <x v="56"/>
    <n v="172"/>
    <n v="4.0999999999999996"/>
    <x v="0"/>
    <x v="5"/>
    <x v="0"/>
    <x v="2"/>
  </r>
  <r>
    <x v="160"/>
    <x v="1"/>
    <n v="113"/>
    <x v="2"/>
    <x v="56"/>
    <n v="123"/>
    <n v="4.4000000000000004"/>
    <x v="0"/>
    <x v="5"/>
    <x v="0"/>
    <x v="2"/>
  </r>
  <r>
    <x v="161"/>
    <x v="1"/>
    <n v="21"/>
    <x v="1"/>
    <x v="56"/>
    <n v="93"/>
    <n v="3.4"/>
    <x v="0"/>
    <x v="5"/>
    <x v="3"/>
    <x v="1"/>
  </r>
  <r>
    <x v="162"/>
    <x v="12"/>
    <n v="107"/>
    <x v="0"/>
    <x v="56"/>
    <n v="66"/>
    <n v="4"/>
    <x v="0"/>
    <x v="5"/>
    <x v="0"/>
    <x v="2"/>
  </r>
  <r>
    <x v="163"/>
    <x v="12"/>
    <n v="131"/>
    <x v="1"/>
    <x v="56"/>
    <n v="39"/>
    <n v="2.4"/>
    <x v="0"/>
    <x v="5"/>
    <x v="1"/>
    <x v="3"/>
  </r>
  <r>
    <x v="164"/>
    <x v="0"/>
    <n v="11"/>
    <x v="4"/>
    <x v="56"/>
    <n v="25"/>
    <n v="2.1"/>
    <x v="0"/>
    <x v="5"/>
    <x v="3"/>
    <x v="3"/>
  </r>
  <r>
    <x v="165"/>
    <x v="13"/>
    <n v="86"/>
    <x v="2"/>
    <x v="56"/>
    <n v="68"/>
    <n v="3"/>
    <x v="0"/>
    <x v="5"/>
    <x v="0"/>
    <x v="1"/>
  </r>
  <r>
    <x v="166"/>
    <x v="2"/>
    <n v="28"/>
    <x v="4"/>
    <x v="56"/>
    <n v="84"/>
    <n v="3.2"/>
    <x v="0"/>
    <x v="5"/>
    <x v="3"/>
    <x v="1"/>
  </r>
  <r>
    <x v="167"/>
    <x v="4"/>
    <n v="139"/>
    <x v="1"/>
    <x v="57"/>
    <n v="88"/>
    <n v="3.4"/>
    <x v="0"/>
    <x v="6"/>
    <x v="1"/>
    <x v="1"/>
  </r>
  <r>
    <x v="168"/>
    <x v="10"/>
    <n v="82"/>
    <x v="2"/>
    <x v="57"/>
    <n v="93"/>
    <n v="2.7"/>
    <x v="0"/>
    <x v="6"/>
    <x v="0"/>
    <x v="1"/>
  </r>
  <r>
    <x v="169"/>
    <x v="1"/>
    <n v="101"/>
    <x v="4"/>
    <x v="57"/>
    <n v="128"/>
    <n v="5"/>
    <x v="0"/>
    <x v="6"/>
    <x v="0"/>
    <x v="0"/>
  </r>
  <r>
    <x v="170"/>
    <x v="2"/>
    <n v="75"/>
    <x v="3"/>
    <x v="57"/>
    <n v="40"/>
    <n v="3.4"/>
    <x v="0"/>
    <x v="6"/>
    <x v="0"/>
    <x v="1"/>
  </r>
  <r>
    <x v="171"/>
    <x v="6"/>
    <n v="40"/>
    <x v="4"/>
    <x v="58"/>
    <n v="92"/>
    <n v="4.7"/>
    <x v="0"/>
    <x v="0"/>
    <x v="2"/>
    <x v="0"/>
  </r>
  <r>
    <x v="172"/>
    <x v="8"/>
    <n v="86"/>
    <x v="1"/>
    <x v="58"/>
    <n v="27"/>
    <n v="4.5"/>
    <x v="0"/>
    <x v="0"/>
    <x v="0"/>
    <x v="0"/>
  </r>
  <r>
    <x v="173"/>
    <x v="5"/>
    <n v="131"/>
    <x v="0"/>
    <x v="58"/>
    <n v="140"/>
    <n v="4.0999999999999996"/>
    <x v="0"/>
    <x v="0"/>
    <x v="1"/>
    <x v="2"/>
  </r>
  <r>
    <x v="174"/>
    <x v="12"/>
    <n v="67"/>
    <x v="2"/>
    <x v="58"/>
    <n v="40"/>
    <n v="5"/>
    <x v="0"/>
    <x v="0"/>
    <x v="0"/>
    <x v="0"/>
  </r>
  <r>
    <x v="175"/>
    <x v="14"/>
    <n v="71"/>
    <x v="4"/>
    <x v="58"/>
    <n v="102"/>
    <n v="4.7"/>
    <x v="0"/>
    <x v="0"/>
    <x v="0"/>
    <x v="0"/>
  </r>
  <r>
    <x v="176"/>
    <x v="5"/>
    <n v="113"/>
    <x v="0"/>
    <x v="58"/>
    <n v="42"/>
    <n v="4.2"/>
    <x v="0"/>
    <x v="0"/>
    <x v="0"/>
    <x v="2"/>
  </r>
  <r>
    <x v="177"/>
    <x v="10"/>
    <n v="53"/>
    <x v="1"/>
    <x v="59"/>
    <n v="210"/>
    <n v="3.9"/>
    <x v="0"/>
    <x v="1"/>
    <x v="2"/>
    <x v="2"/>
  </r>
  <r>
    <x v="178"/>
    <x v="5"/>
    <n v="153"/>
    <x v="2"/>
    <x v="59"/>
    <n v="34"/>
    <n v="3"/>
    <x v="0"/>
    <x v="1"/>
    <x v="1"/>
    <x v="1"/>
  </r>
  <r>
    <x v="179"/>
    <x v="12"/>
    <n v="73"/>
    <x v="3"/>
    <x v="59"/>
    <n v="215"/>
    <n v="3.6"/>
    <x v="0"/>
    <x v="1"/>
    <x v="0"/>
    <x v="2"/>
  </r>
  <r>
    <x v="180"/>
    <x v="9"/>
    <n v="62"/>
    <x v="3"/>
    <x v="59"/>
    <n v="32"/>
    <n v="0.7"/>
    <x v="0"/>
    <x v="1"/>
    <x v="0"/>
    <x v="5"/>
  </r>
  <r>
    <x v="181"/>
    <x v="4"/>
    <n v="115"/>
    <x v="1"/>
    <x v="60"/>
    <n v="48"/>
    <n v="4.7"/>
    <x v="0"/>
    <x v="2"/>
    <x v="0"/>
    <x v="0"/>
  </r>
  <r>
    <x v="182"/>
    <x v="5"/>
    <n v="69"/>
    <x v="1"/>
    <x v="60"/>
    <n v="132"/>
    <n v="4.5"/>
    <x v="0"/>
    <x v="2"/>
    <x v="0"/>
    <x v="0"/>
  </r>
  <r>
    <x v="183"/>
    <x v="8"/>
    <n v="103"/>
    <x v="0"/>
    <x v="60"/>
    <n v="172"/>
    <n v="4.3"/>
    <x v="0"/>
    <x v="2"/>
    <x v="0"/>
    <x v="2"/>
  </r>
  <r>
    <x v="184"/>
    <x v="8"/>
    <n v="75"/>
    <x v="0"/>
    <x v="60"/>
    <n v="111"/>
    <n v="3.4"/>
    <x v="0"/>
    <x v="2"/>
    <x v="0"/>
    <x v="1"/>
  </r>
  <r>
    <x v="185"/>
    <x v="7"/>
    <n v="92"/>
    <x v="0"/>
    <x v="60"/>
    <n v="58"/>
    <n v="3.6"/>
    <x v="0"/>
    <x v="2"/>
    <x v="0"/>
    <x v="2"/>
  </r>
  <r>
    <x v="186"/>
    <x v="7"/>
    <n v="41"/>
    <x v="3"/>
    <x v="60"/>
    <n v="68"/>
    <n v="4"/>
    <x v="0"/>
    <x v="2"/>
    <x v="2"/>
    <x v="2"/>
  </r>
  <r>
    <x v="187"/>
    <x v="8"/>
    <n v="134"/>
    <x v="2"/>
    <x v="60"/>
    <n v="160"/>
    <n v="4.5"/>
    <x v="0"/>
    <x v="2"/>
    <x v="1"/>
    <x v="0"/>
  </r>
  <r>
    <x v="188"/>
    <x v="13"/>
    <n v="80"/>
    <x v="4"/>
    <x v="60"/>
    <n v="45"/>
    <n v="3"/>
    <x v="0"/>
    <x v="2"/>
    <x v="0"/>
    <x v="1"/>
  </r>
  <r>
    <x v="189"/>
    <x v="14"/>
    <n v="103"/>
    <x v="1"/>
    <x v="61"/>
    <n v="117"/>
    <n v="3"/>
    <x v="0"/>
    <x v="3"/>
    <x v="0"/>
    <x v="1"/>
  </r>
  <r>
    <x v="190"/>
    <x v="10"/>
    <n v="20"/>
    <x v="0"/>
    <x v="62"/>
    <n v="22"/>
    <n v="1.6"/>
    <x v="0"/>
    <x v="4"/>
    <x v="3"/>
    <x v="3"/>
  </r>
  <r>
    <x v="191"/>
    <x v="14"/>
    <n v="75"/>
    <x v="4"/>
    <x v="62"/>
    <n v="195"/>
    <n v="3"/>
    <x v="0"/>
    <x v="4"/>
    <x v="0"/>
    <x v="1"/>
  </r>
  <r>
    <x v="192"/>
    <x v="7"/>
    <n v="80"/>
    <x v="2"/>
    <x v="62"/>
    <n v="168"/>
    <n v="3.7"/>
    <x v="0"/>
    <x v="4"/>
    <x v="0"/>
    <x v="2"/>
  </r>
  <r>
    <x v="193"/>
    <x v="5"/>
    <n v="85"/>
    <x v="3"/>
    <x v="63"/>
    <n v="46"/>
    <n v="4.9000000000000004"/>
    <x v="0"/>
    <x v="5"/>
    <x v="0"/>
    <x v="0"/>
  </r>
  <r>
    <x v="194"/>
    <x v="1"/>
    <n v="155"/>
    <x v="0"/>
    <x v="63"/>
    <n v="164"/>
    <n v="3.4"/>
    <x v="0"/>
    <x v="5"/>
    <x v="1"/>
    <x v="1"/>
  </r>
  <r>
    <x v="195"/>
    <x v="5"/>
    <n v="63"/>
    <x v="3"/>
    <x v="63"/>
    <n v="48"/>
    <n v="5"/>
    <x v="0"/>
    <x v="5"/>
    <x v="0"/>
    <x v="0"/>
  </r>
  <r>
    <x v="196"/>
    <x v="2"/>
    <n v="105"/>
    <x v="1"/>
    <x v="63"/>
    <n v="96"/>
    <n v="5"/>
    <x v="0"/>
    <x v="5"/>
    <x v="0"/>
    <x v="0"/>
  </r>
  <r>
    <x v="197"/>
    <x v="5"/>
    <n v="71"/>
    <x v="3"/>
    <x v="63"/>
    <n v="105"/>
    <n v="4"/>
    <x v="0"/>
    <x v="5"/>
    <x v="0"/>
    <x v="2"/>
  </r>
  <r>
    <x v="198"/>
    <x v="1"/>
    <n v="100"/>
    <x v="3"/>
    <x v="64"/>
    <n v="44"/>
    <n v="3.6"/>
    <x v="0"/>
    <x v="6"/>
    <x v="0"/>
    <x v="2"/>
  </r>
  <r>
    <x v="199"/>
    <x v="0"/>
    <n v="93"/>
    <x v="2"/>
    <x v="64"/>
    <n v="132"/>
    <n v="3.7"/>
    <x v="0"/>
    <x v="6"/>
    <x v="0"/>
    <x v="2"/>
  </r>
  <r>
    <x v="200"/>
    <x v="2"/>
    <n v="84"/>
    <x v="0"/>
    <x v="64"/>
    <n v="54"/>
    <n v="4.2"/>
    <x v="0"/>
    <x v="6"/>
    <x v="0"/>
    <x v="2"/>
  </r>
  <r>
    <x v="201"/>
    <x v="13"/>
    <n v="56"/>
    <x v="4"/>
    <x v="64"/>
    <n v="129"/>
    <n v="2.1"/>
    <x v="0"/>
    <x v="6"/>
    <x v="2"/>
    <x v="3"/>
  </r>
  <r>
    <x v="202"/>
    <x v="13"/>
    <n v="63"/>
    <x v="3"/>
    <x v="64"/>
    <n v="42"/>
    <n v="4"/>
    <x v="0"/>
    <x v="6"/>
    <x v="0"/>
    <x v="2"/>
  </r>
  <r>
    <x v="203"/>
    <x v="9"/>
    <n v="83"/>
    <x v="3"/>
    <x v="64"/>
    <n v="42"/>
    <n v="4.2"/>
    <x v="0"/>
    <x v="6"/>
    <x v="0"/>
    <x v="2"/>
  </r>
  <r>
    <x v="204"/>
    <x v="7"/>
    <n v="134"/>
    <x v="0"/>
    <x v="64"/>
    <n v="180"/>
    <n v="3.1"/>
    <x v="0"/>
    <x v="6"/>
    <x v="1"/>
    <x v="1"/>
  </r>
  <r>
    <x v="205"/>
    <x v="4"/>
    <n v="73"/>
    <x v="3"/>
    <x v="65"/>
    <n v="34"/>
    <n v="4.8"/>
    <x v="0"/>
    <x v="0"/>
    <x v="0"/>
    <x v="0"/>
  </r>
  <r>
    <x v="206"/>
    <x v="14"/>
    <n v="6"/>
    <x v="4"/>
    <x v="65"/>
    <n v="29"/>
    <n v="4.7"/>
    <x v="0"/>
    <x v="0"/>
    <x v="4"/>
    <x v="0"/>
  </r>
  <r>
    <x v="207"/>
    <x v="12"/>
    <n v="46"/>
    <x v="1"/>
    <x v="65"/>
    <n v="165"/>
    <n v="3.3"/>
    <x v="0"/>
    <x v="0"/>
    <x v="2"/>
    <x v="1"/>
  </r>
  <r>
    <x v="208"/>
    <x v="14"/>
    <n v="121"/>
    <x v="3"/>
    <x v="66"/>
    <n v="32"/>
    <n v="3.7"/>
    <x v="0"/>
    <x v="1"/>
    <x v="1"/>
    <x v="2"/>
  </r>
  <r>
    <x v="209"/>
    <x v="13"/>
    <n v="61"/>
    <x v="2"/>
    <x v="66"/>
    <n v="160"/>
    <n v="4.9000000000000004"/>
    <x v="0"/>
    <x v="1"/>
    <x v="0"/>
    <x v="0"/>
  </r>
  <r>
    <x v="210"/>
    <x v="7"/>
    <n v="144"/>
    <x v="0"/>
    <x v="66"/>
    <n v="140"/>
    <n v="3.5"/>
    <x v="0"/>
    <x v="1"/>
    <x v="1"/>
    <x v="2"/>
  </r>
  <r>
    <x v="211"/>
    <x v="12"/>
    <n v="145"/>
    <x v="0"/>
    <x v="66"/>
    <n v="136"/>
    <n v="4.4000000000000004"/>
    <x v="0"/>
    <x v="1"/>
    <x v="1"/>
    <x v="2"/>
  </r>
  <r>
    <x v="212"/>
    <x v="2"/>
    <n v="85"/>
    <x v="4"/>
    <x v="66"/>
    <n v="66"/>
    <n v="2.8"/>
    <x v="0"/>
    <x v="1"/>
    <x v="0"/>
    <x v="1"/>
  </r>
  <r>
    <x v="213"/>
    <x v="12"/>
    <n v="13"/>
    <x v="2"/>
    <x v="67"/>
    <n v="63"/>
    <n v="4.0999999999999996"/>
    <x v="0"/>
    <x v="2"/>
    <x v="3"/>
    <x v="2"/>
  </r>
  <r>
    <x v="214"/>
    <x v="0"/>
    <n v="142"/>
    <x v="3"/>
    <x v="67"/>
    <n v="44"/>
    <n v="3.5"/>
    <x v="0"/>
    <x v="2"/>
    <x v="1"/>
    <x v="2"/>
  </r>
  <r>
    <x v="215"/>
    <x v="7"/>
    <n v="28"/>
    <x v="1"/>
    <x v="67"/>
    <n v="78"/>
    <n v="3.8"/>
    <x v="0"/>
    <x v="2"/>
    <x v="3"/>
    <x v="2"/>
  </r>
  <r>
    <x v="216"/>
    <x v="7"/>
    <n v="119"/>
    <x v="3"/>
    <x v="67"/>
    <n v="20"/>
    <n v="3.9"/>
    <x v="0"/>
    <x v="2"/>
    <x v="0"/>
    <x v="2"/>
  </r>
  <r>
    <x v="217"/>
    <x v="14"/>
    <n v="65"/>
    <x v="4"/>
    <x v="67"/>
    <n v="84"/>
    <n v="2.5"/>
    <x v="0"/>
    <x v="2"/>
    <x v="0"/>
    <x v="1"/>
  </r>
  <r>
    <x v="218"/>
    <x v="8"/>
    <n v="68"/>
    <x v="4"/>
    <x v="67"/>
    <n v="32"/>
    <n v="4.9000000000000004"/>
    <x v="0"/>
    <x v="2"/>
    <x v="0"/>
    <x v="0"/>
  </r>
  <r>
    <x v="219"/>
    <x v="9"/>
    <n v="72"/>
    <x v="1"/>
    <x v="67"/>
    <n v="132"/>
    <n v="3.4"/>
    <x v="0"/>
    <x v="2"/>
    <x v="0"/>
    <x v="1"/>
  </r>
  <r>
    <x v="220"/>
    <x v="9"/>
    <n v="63"/>
    <x v="0"/>
    <x v="67"/>
    <n v="105"/>
    <n v="3.3"/>
    <x v="0"/>
    <x v="2"/>
    <x v="0"/>
    <x v="1"/>
  </r>
  <r>
    <x v="221"/>
    <x v="1"/>
    <n v="139"/>
    <x v="3"/>
    <x v="68"/>
    <n v="48"/>
    <n v="4.7"/>
    <x v="0"/>
    <x v="3"/>
    <x v="1"/>
    <x v="0"/>
  </r>
  <r>
    <x v="222"/>
    <x v="7"/>
    <n v="59"/>
    <x v="3"/>
    <x v="68"/>
    <n v="64"/>
    <n v="4"/>
    <x v="0"/>
    <x v="3"/>
    <x v="2"/>
    <x v="2"/>
  </r>
  <r>
    <x v="223"/>
    <x v="10"/>
    <n v="138"/>
    <x v="0"/>
    <x v="68"/>
    <n v="44"/>
    <n v="3.8"/>
    <x v="0"/>
    <x v="3"/>
    <x v="1"/>
    <x v="2"/>
  </r>
  <r>
    <x v="224"/>
    <x v="1"/>
    <n v="47"/>
    <x v="1"/>
    <x v="68"/>
    <n v="120"/>
    <n v="3.1"/>
    <x v="0"/>
    <x v="3"/>
    <x v="2"/>
    <x v="1"/>
  </r>
  <r>
    <x v="225"/>
    <x v="10"/>
    <n v="74"/>
    <x v="1"/>
    <x v="68"/>
    <n v="144"/>
    <n v="4.8"/>
    <x v="0"/>
    <x v="3"/>
    <x v="0"/>
    <x v="0"/>
  </r>
  <r>
    <x v="226"/>
    <x v="9"/>
    <n v="65"/>
    <x v="1"/>
    <x v="68"/>
    <n v="87"/>
    <n v="2.7"/>
    <x v="0"/>
    <x v="3"/>
    <x v="0"/>
    <x v="1"/>
  </r>
  <r>
    <x v="227"/>
    <x v="4"/>
    <n v="123"/>
    <x v="4"/>
    <x v="68"/>
    <n v="36"/>
    <n v="3.6"/>
    <x v="0"/>
    <x v="3"/>
    <x v="1"/>
    <x v="2"/>
  </r>
  <r>
    <x v="228"/>
    <x v="9"/>
    <n v="90"/>
    <x v="3"/>
    <x v="69"/>
    <n v="72"/>
    <n v="4.7"/>
    <x v="0"/>
    <x v="4"/>
    <x v="0"/>
    <x v="0"/>
  </r>
  <r>
    <x v="229"/>
    <x v="13"/>
    <n v="127"/>
    <x v="0"/>
    <x v="69"/>
    <n v="150"/>
    <n v="4.4000000000000004"/>
    <x v="0"/>
    <x v="4"/>
    <x v="1"/>
    <x v="2"/>
  </r>
  <r>
    <x v="230"/>
    <x v="3"/>
    <n v="60"/>
    <x v="1"/>
    <x v="69"/>
    <n v="68"/>
    <n v="4.3"/>
    <x v="0"/>
    <x v="4"/>
    <x v="2"/>
    <x v="2"/>
  </r>
  <r>
    <x v="231"/>
    <x v="1"/>
    <n v="94"/>
    <x v="0"/>
    <x v="69"/>
    <n v="99"/>
    <n v="4.9000000000000004"/>
    <x v="0"/>
    <x v="4"/>
    <x v="0"/>
    <x v="0"/>
  </r>
  <r>
    <x v="232"/>
    <x v="4"/>
    <n v="54"/>
    <x v="1"/>
    <x v="69"/>
    <n v="26"/>
    <n v="4.8"/>
    <x v="0"/>
    <x v="4"/>
    <x v="2"/>
    <x v="0"/>
  </r>
  <r>
    <x v="233"/>
    <x v="9"/>
    <n v="104"/>
    <x v="1"/>
    <x v="69"/>
    <n v="88"/>
    <n v="3.2"/>
    <x v="0"/>
    <x v="4"/>
    <x v="0"/>
    <x v="1"/>
  </r>
  <r>
    <x v="234"/>
    <x v="5"/>
    <n v="100"/>
    <x v="1"/>
    <x v="69"/>
    <n v="124"/>
    <n v="3.4"/>
    <x v="0"/>
    <x v="4"/>
    <x v="0"/>
    <x v="1"/>
  </r>
  <r>
    <x v="235"/>
    <x v="10"/>
    <n v="84"/>
    <x v="1"/>
    <x v="69"/>
    <n v="72"/>
    <n v="3.5"/>
    <x v="0"/>
    <x v="4"/>
    <x v="0"/>
    <x v="2"/>
  </r>
  <r>
    <x v="236"/>
    <x v="0"/>
    <n v="92"/>
    <x v="2"/>
    <x v="70"/>
    <n v="125"/>
    <n v="4.9000000000000004"/>
    <x v="0"/>
    <x v="5"/>
    <x v="0"/>
    <x v="0"/>
  </r>
  <r>
    <x v="237"/>
    <x v="6"/>
    <n v="64"/>
    <x v="0"/>
    <x v="70"/>
    <n v="22"/>
    <n v="4.0999999999999996"/>
    <x v="0"/>
    <x v="5"/>
    <x v="0"/>
    <x v="2"/>
  </r>
  <r>
    <x v="238"/>
    <x v="2"/>
    <n v="89"/>
    <x v="3"/>
    <x v="71"/>
    <n v="70"/>
    <n v="4.9000000000000004"/>
    <x v="0"/>
    <x v="6"/>
    <x v="0"/>
    <x v="0"/>
  </r>
  <r>
    <x v="239"/>
    <x v="11"/>
    <n v="40"/>
    <x v="1"/>
    <x v="71"/>
    <n v="24"/>
    <n v="4.3"/>
    <x v="0"/>
    <x v="6"/>
    <x v="2"/>
    <x v="2"/>
  </r>
  <r>
    <x v="240"/>
    <x v="7"/>
    <n v="75"/>
    <x v="4"/>
    <x v="71"/>
    <n v="32"/>
    <n v="4.0999999999999996"/>
    <x v="0"/>
    <x v="6"/>
    <x v="0"/>
    <x v="2"/>
  </r>
  <r>
    <x v="241"/>
    <x v="13"/>
    <n v="106"/>
    <x v="2"/>
    <x v="71"/>
    <n v="112"/>
    <n v="4.4000000000000004"/>
    <x v="0"/>
    <x v="6"/>
    <x v="0"/>
    <x v="2"/>
  </r>
  <r>
    <x v="242"/>
    <x v="6"/>
    <n v="58"/>
    <x v="1"/>
    <x v="72"/>
    <n v="43"/>
    <n v="4.5"/>
    <x v="0"/>
    <x v="0"/>
    <x v="2"/>
    <x v="0"/>
  </r>
  <r>
    <x v="243"/>
    <x v="10"/>
    <n v="84"/>
    <x v="2"/>
    <x v="72"/>
    <n v="22"/>
    <n v="3.5"/>
    <x v="0"/>
    <x v="0"/>
    <x v="0"/>
    <x v="2"/>
  </r>
  <r>
    <x v="244"/>
    <x v="9"/>
    <n v="140"/>
    <x v="2"/>
    <x v="72"/>
    <n v="93"/>
    <n v="4.4000000000000004"/>
    <x v="0"/>
    <x v="0"/>
    <x v="1"/>
    <x v="2"/>
  </r>
  <r>
    <x v="245"/>
    <x v="6"/>
    <n v="67"/>
    <x v="2"/>
    <x v="72"/>
    <n v="45"/>
    <n v="3.5"/>
    <x v="0"/>
    <x v="0"/>
    <x v="0"/>
    <x v="2"/>
  </r>
  <r>
    <x v="246"/>
    <x v="1"/>
    <n v="126"/>
    <x v="2"/>
    <x v="73"/>
    <n v="96"/>
    <n v="3.8"/>
    <x v="0"/>
    <x v="1"/>
    <x v="1"/>
    <x v="2"/>
  </r>
  <r>
    <x v="247"/>
    <x v="1"/>
    <n v="89"/>
    <x v="1"/>
    <x v="73"/>
    <n v="96"/>
    <n v="3.3"/>
    <x v="0"/>
    <x v="1"/>
    <x v="0"/>
    <x v="1"/>
  </r>
  <r>
    <x v="248"/>
    <x v="2"/>
    <n v="56"/>
    <x v="0"/>
    <x v="73"/>
    <n v="31"/>
    <n v="4.4000000000000004"/>
    <x v="0"/>
    <x v="1"/>
    <x v="2"/>
    <x v="2"/>
  </r>
  <r>
    <x v="249"/>
    <x v="4"/>
    <n v="48"/>
    <x v="1"/>
    <x v="73"/>
    <n v="200"/>
    <n v="3.9"/>
    <x v="0"/>
    <x v="1"/>
    <x v="2"/>
    <x v="2"/>
  </r>
  <r>
    <x v="250"/>
    <x v="1"/>
    <n v="55"/>
    <x v="0"/>
    <x v="73"/>
    <n v="99"/>
    <n v="2.7"/>
    <x v="0"/>
    <x v="1"/>
    <x v="2"/>
    <x v="1"/>
  </r>
  <r>
    <x v="251"/>
    <x v="3"/>
    <n v="88"/>
    <x v="4"/>
    <x v="73"/>
    <n v="144"/>
    <n v="2.9"/>
    <x v="0"/>
    <x v="1"/>
    <x v="0"/>
    <x v="1"/>
  </r>
  <r>
    <x v="252"/>
    <x v="2"/>
    <n v="102"/>
    <x v="2"/>
    <x v="74"/>
    <n v="81"/>
    <n v="4"/>
    <x v="0"/>
    <x v="2"/>
    <x v="0"/>
    <x v="2"/>
  </r>
  <r>
    <x v="253"/>
    <x v="3"/>
    <n v="155"/>
    <x v="4"/>
    <x v="74"/>
    <n v="70"/>
    <n v="4.4000000000000004"/>
    <x v="0"/>
    <x v="2"/>
    <x v="1"/>
    <x v="2"/>
  </r>
  <r>
    <x v="254"/>
    <x v="1"/>
    <n v="63"/>
    <x v="4"/>
    <x v="74"/>
    <n v="148"/>
    <n v="5"/>
    <x v="0"/>
    <x v="2"/>
    <x v="0"/>
    <x v="0"/>
  </r>
  <r>
    <x v="255"/>
    <x v="5"/>
    <n v="59"/>
    <x v="2"/>
    <x v="74"/>
    <n v="215"/>
    <n v="4.0999999999999996"/>
    <x v="0"/>
    <x v="2"/>
    <x v="2"/>
    <x v="2"/>
  </r>
  <r>
    <x v="256"/>
    <x v="5"/>
    <n v="144"/>
    <x v="1"/>
    <x v="74"/>
    <n v="124"/>
    <n v="4.4000000000000004"/>
    <x v="0"/>
    <x v="2"/>
    <x v="1"/>
    <x v="2"/>
  </r>
  <r>
    <x v="257"/>
    <x v="10"/>
    <n v="113"/>
    <x v="3"/>
    <x v="74"/>
    <n v="168"/>
    <n v="4.0999999999999996"/>
    <x v="0"/>
    <x v="2"/>
    <x v="0"/>
    <x v="2"/>
  </r>
  <r>
    <x v="258"/>
    <x v="12"/>
    <n v="154"/>
    <x v="0"/>
    <x v="74"/>
    <n v="90"/>
    <n v="4.5"/>
    <x v="0"/>
    <x v="2"/>
    <x v="1"/>
    <x v="0"/>
  </r>
  <r>
    <x v="259"/>
    <x v="12"/>
    <n v="58"/>
    <x v="2"/>
    <x v="75"/>
    <n v="176"/>
    <n v="4.2"/>
    <x v="0"/>
    <x v="3"/>
    <x v="2"/>
    <x v="2"/>
  </r>
  <r>
    <x v="260"/>
    <x v="4"/>
    <n v="63"/>
    <x v="4"/>
    <x v="75"/>
    <n v="87"/>
    <n v="4.5999999999999996"/>
    <x v="0"/>
    <x v="3"/>
    <x v="0"/>
    <x v="0"/>
  </r>
  <r>
    <x v="261"/>
    <x v="9"/>
    <n v="59"/>
    <x v="1"/>
    <x v="75"/>
    <n v="128"/>
    <n v="4.5"/>
    <x v="0"/>
    <x v="3"/>
    <x v="2"/>
    <x v="0"/>
  </r>
  <r>
    <x v="262"/>
    <x v="14"/>
    <n v="129"/>
    <x v="4"/>
    <x v="75"/>
    <n v="120"/>
    <n v="4.0999999999999996"/>
    <x v="0"/>
    <x v="3"/>
    <x v="1"/>
    <x v="2"/>
  </r>
  <r>
    <x v="263"/>
    <x v="8"/>
    <n v="101"/>
    <x v="3"/>
    <x v="75"/>
    <n v="130"/>
    <n v="4.8"/>
    <x v="0"/>
    <x v="3"/>
    <x v="0"/>
    <x v="0"/>
  </r>
  <r>
    <x v="264"/>
    <x v="11"/>
    <n v="154"/>
    <x v="1"/>
    <x v="75"/>
    <n v="172"/>
    <n v="3.1"/>
    <x v="0"/>
    <x v="3"/>
    <x v="1"/>
    <x v="1"/>
  </r>
  <r>
    <x v="265"/>
    <x v="6"/>
    <n v="131"/>
    <x v="1"/>
    <x v="75"/>
    <n v="58"/>
    <n v="4.9000000000000004"/>
    <x v="0"/>
    <x v="3"/>
    <x v="1"/>
    <x v="0"/>
  </r>
  <r>
    <x v="266"/>
    <x v="5"/>
    <n v="111"/>
    <x v="3"/>
    <x v="76"/>
    <n v="86"/>
    <n v="4.0999999999999996"/>
    <x v="0"/>
    <x v="4"/>
    <x v="0"/>
    <x v="2"/>
  </r>
  <r>
    <x v="267"/>
    <x v="12"/>
    <n v="142"/>
    <x v="3"/>
    <x v="77"/>
    <n v="31"/>
    <n v="4.4000000000000004"/>
    <x v="0"/>
    <x v="5"/>
    <x v="1"/>
    <x v="2"/>
  </r>
  <r>
    <x v="268"/>
    <x v="2"/>
    <n v="93"/>
    <x v="4"/>
    <x v="77"/>
    <n v="72"/>
    <n v="4.4000000000000004"/>
    <x v="0"/>
    <x v="5"/>
    <x v="0"/>
    <x v="2"/>
  </r>
  <r>
    <x v="269"/>
    <x v="12"/>
    <n v="125"/>
    <x v="0"/>
    <x v="78"/>
    <n v="27"/>
    <n v="3"/>
    <x v="0"/>
    <x v="6"/>
    <x v="1"/>
    <x v="1"/>
  </r>
  <r>
    <x v="270"/>
    <x v="14"/>
    <n v="76"/>
    <x v="1"/>
    <x v="78"/>
    <n v="110"/>
    <n v="4.4000000000000004"/>
    <x v="0"/>
    <x v="6"/>
    <x v="0"/>
    <x v="2"/>
  </r>
  <r>
    <x v="271"/>
    <x v="10"/>
    <n v="69"/>
    <x v="4"/>
    <x v="78"/>
    <n v="126"/>
    <n v="3.7"/>
    <x v="0"/>
    <x v="6"/>
    <x v="0"/>
    <x v="2"/>
  </r>
  <r>
    <x v="272"/>
    <x v="9"/>
    <n v="149"/>
    <x v="0"/>
    <x v="78"/>
    <n v="60"/>
    <n v="3.9"/>
    <x v="0"/>
    <x v="6"/>
    <x v="1"/>
    <x v="2"/>
  </r>
  <r>
    <x v="273"/>
    <x v="12"/>
    <n v="57"/>
    <x v="4"/>
    <x v="78"/>
    <n v="35"/>
    <n v="3.5"/>
    <x v="0"/>
    <x v="6"/>
    <x v="2"/>
    <x v="2"/>
  </r>
  <r>
    <x v="274"/>
    <x v="1"/>
    <n v="113"/>
    <x v="1"/>
    <x v="78"/>
    <n v="81"/>
    <n v="3.5"/>
    <x v="0"/>
    <x v="6"/>
    <x v="0"/>
    <x v="2"/>
  </r>
  <r>
    <x v="275"/>
    <x v="0"/>
    <n v="160"/>
    <x v="0"/>
    <x v="78"/>
    <n v="116"/>
    <n v="3.4"/>
    <x v="0"/>
    <x v="6"/>
    <x v="1"/>
    <x v="1"/>
  </r>
  <r>
    <x v="276"/>
    <x v="4"/>
    <n v="158"/>
    <x v="2"/>
    <x v="78"/>
    <n v="60"/>
    <n v="4.5"/>
    <x v="0"/>
    <x v="6"/>
    <x v="1"/>
    <x v="0"/>
  </r>
  <r>
    <x v="277"/>
    <x v="10"/>
    <n v="77"/>
    <x v="0"/>
    <x v="79"/>
    <n v="130"/>
    <n v="4.2"/>
    <x v="0"/>
    <x v="0"/>
    <x v="0"/>
    <x v="2"/>
  </r>
  <r>
    <x v="278"/>
    <x v="7"/>
    <n v="118"/>
    <x v="3"/>
    <x v="79"/>
    <n v="99"/>
    <n v="5"/>
    <x v="0"/>
    <x v="0"/>
    <x v="0"/>
    <x v="0"/>
  </r>
  <r>
    <x v="279"/>
    <x v="11"/>
    <n v="75"/>
    <x v="1"/>
    <x v="79"/>
    <n v="135"/>
    <n v="4.7"/>
    <x v="0"/>
    <x v="0"/>
    <x v="0"/>
    <x v="0"/>
  </r>
  <r>
    <x v="280"/>
    <x v="1"/>
    <n v="103"/>
    <x v="0"/>
    <x v="79"/>
    <n v="42"/>
    <n v="2.8"/>
    <x v="0"/>
    <x v="0"/>
    <x v="0"/>
    <x v="1"/>
  </r>
  <r>
    <x v="281"/>
    <x v="10"/>
    <n v="116"/>
    <x v="3"/>
    <x v="80"/>
    <n v="63"/>
    <n v="3.4"/>
    <x v="0"/>
    <x v="1"/>
    <x v="0"/>
    <x v="1"/>
  </r>
  <r>
    <x v="282"/>
    <x v="5"/>
    <n v="61"/>
    <x v="2"/>
    <x v="80"/>
    <n v="140"/>
    <n v="1.8"/>
    <x v="0"/>
    <x v="1"/>
    <x v="0"/>
    <x v="3"/>
  </r>
  <r>
    <x v="283"/>
    <x v="12"/>
    <n v="126"/>
    <x v="1"/>
    <x v="80"/>
    <n v="128"/>
    <n v="4.2"/>
    <x v="0"/>
    <x v="1"/>
    <x v="1"/>
    <x v="2"/>
  </r>
  <r>
    <x v="284"/>
    <x v="8"/>
    <n v="141"/>
    <x v="4"/>
    <x v="80"/>
    <n v="80"/>
    <n v="4.4000000000000004"/>
    <x v="0"/>
    <x v="1"/>
    <x v="1"/>
    <x v="2"/>
  </r>
  <r>
    <x v="285"/>
    <x v="4"/>
    <n v="95"/>
    <x v="3"/>
    <x v="80"/>
    <n v="28"/>
    <n v="2.7"/>
    <x v="0"/>
    <x v="1"/>
    <x v="0"/>
    <x v="1"/>
  </r>
  <r>
    <x v="286"/>
    <x v="11"/>
    <n v="39"/>
    <x v="2"/>
    <x v="81"/>
    <n v="81"/>
    <n v="5"/>
    <x v="0"/>
    <x v="2"/>
    <x v="2"/>
    <x v="0"/>
  </r>
  <r>
    <x v="287"/>
    <x v="1"/>
    <n v="127"/>
    <x v="1"/>
    <x v="81"/>
    <n v="99"/>
    <n v="3.9"/>
    <x v="0"/>
    <x v="2"/>
    <x v="1"/>
    <x v="2"/>
  </r>
  <r>
    <x v="288"/>
    <x v="5"/>
    <n v="78"/>
    <x v="1"/>
    <x v="81"/>
    <n v="43"/>
    <n v="3.8"/>
    <x v="0"/>
    <x v="2"/>
    <x v="0"/>
    <x v="2"/>
  </r>
  <r>
    <x v="289"/>
    <x v="7"/>
    <n v="40"/>
    <x v="1"/>
    <x v="81"/>
    <n v="34"/>
    <n v="4.5999999999999996"/>
    <x v="0"/>
    <x v="2"/>
    <x v="2"/>
    <x v="0"/>
  </r>
  <r>
    <x v="290"/>
    <x v="5"/>
    <n v="56"/>
    <x v="2"/>
    <x v="81"/>
    <n v="225"/>
    <n v="4.5999999999999996"/>
    <x v="0"/>
    <x v="2"/>
    <x v="2"/>
    <x v="0"/>
  </r>
  <r>
    <x v="291"/>
    <x v="11"/>
    <n v="59"/>
    <x v="4"/>
    <x v="81"/>
    <n v="210"/>
    <n v="4.5"/>
    <x v="0"/>
    <x v="2"/>
    <x v="2"/>
    <x v="0"/>
  </r>
  <r>
    <x v="292"/>
    <x v="12"/>
    <n v="30"/>
    <x v="1"/>
    <x v="81"/>
    <n v="168"/>
    <n v="4.2"/>
    <x v="0"/>
    <x v="2"/>
    <x v="3"/>
    <x v="2"/>
  </r>
  <r>
    <x v="293"/>
    <x v="7"/>
    <n v="63"/>
    <x v="0"/>
    <x v="82"/>
    <n v="82"/>
    <n v="4.5"/>
    <x v="0"/>
    <x v="3"/>
    <x v="0"/>
    <x v="0"/>
  </r>
  <r>
    <x v="294"/>
    <x v="2"/>
    <n v="56"/>
    <x v="3"/>
    <x v="82"/>
    <n v="88"/>
    <n v="4.0999999999999996"/>
    <x v="0"/>
    <x v="3"/>
    <x v="2"/>
    <x v="2"/>
  </r>
  <r>
    <x v="295"/>
    <x v="14"/>
    <n v="95"/>
    <x v="0"/>
    <x v="82"/>
    <n v="111"/>
    <n v="3.3"/>
    <x v="0"/>
    <x v="3"/>
    <x v="0"/>
    <x v="1"/>
  </r>
  <r>
    <x v="296"/>
    <x v="13"/>
    <n v="128"/>
    <x v="4"/>
    <x v="82"/>
    <n v="60"/>
    <n v="3.8"/>
    <x v="0"/>
    <x v="3"/>
    <x v="1"/>
    <x v="2"/>
  </r>
  <r>
    <x v="297"/>
    <x v="4"/>
    <n v="49"/>
    <x v="0"/>
    <x v="82"/>
    <n v="80"/>
    <n v="3"/>
    <x v="0"/>
    <x v="3"/>
    <x v="2"/>
    <x v="1"/>
  </r>
  <r>
    <x v="298"/>
    <x v="13"/>
    <n v="89"/>
    <x v="2"/>
    <x v="83"/>
    <n v="90"/>
    <n v="4.5999999999999996"/>
    <x v="0"/>
    <x v="5"/>
    <x v="0"/>
    <x v="0"/>
  </r>
  <r>
    <x v="299"/>
    <x v="9"/>
    <n v="87"/>
    <x v="0"/>
    <x v="83"/>
    <n v="225"/>
    <n v="2.9"/>
    <x v="0"/>
    <x v="5"/>
    <x v="0"/>
    <x v="1"/>
  </r>
  <r>
    <x v="300"/>
    <x v="0"/>
    <n v="60"/>
    <x v="1"/>
    <x v="84"/>
    <n v="215"/>
    <n v="3.2"/>
    <x v="0"/>
    <x v="6"/>
    <x v="2"/>
    <x v="1"/>
  </r>
  <r>
    <x v="301"/>
    <x v="3"/>
    <n v="42"/>
    <x v="2"/>
    <x v="84"/>
    <n v="45"/>
    <n v="1.5"/>
    <x v="0"/>
    <x v="6"/>
    <x v="2"/>
    <x v="3"/>
  </r>
  <r>
    <x v="302"/>
    <x v="6"/>
    <n v="99"/>
    <x v="1"/>
    <x v="84"/>
    <n v="74"/>
    <n v="4"/>
    <x v="0"/>
    <x v="6"/>
    <x v="0"/>
    <x v="2"/>
  </r>
  <r>
    <x v="303"/>
    <x v="2"/>
    <n v="20"/>
    <x v="2"/>
    <x v="84"/>
    <n v="60"/>
    <n v="3.6"/>
    <x v="0"/>
    <x v="6"/>
    <x v="3"/>
    <x v="2"/>
  </r>
  <r>
    <x v="304"/>
    <x v="7"/>
    <n v="65"/>
    <x v="1"/>
    <x v="84"/>
    <n v="64"/>
    <n v="3.7"/>
    <x v="0"/>
    <x v="6"/>
    <x v="0"/>
    <x v="2"/>
  </r>
  <r>
    <x v="305"/>
    <x v="12"/>
    <n v="71"/>
    <x v="0"/>
    <x v="85"/>
    <n v="110"/>
    <n v="4.8"/>
    <x v="0"/>
    <x v="0"/>
    <x v="0"/>
    <x v="0"/>
  </r>
  <r>
    <x v="306"/>
    <x v="1"/>
    <n v="95"/>
    <x v="4"/>
    <x v="85"/>
    <n v="52"/>
    <n v="1.2"/>
    <x v="0"/>
    <x v="0"/>
    <x v="0"/>
    <x v="5"/>
  </r>
  <r>
    <x v="307"/>
    <x v="2"/>
    <n v="81"/>
    <x v="3"/>
    <x v="86"/>
    <n v="160"/>
    <n v="4.7"/>
    <x v="0"/>
    <x v="1"/>
    <x v="0"/>
    <x v="0"/>
  </r>
  <r>
    <x v="308"/>
    <x v="10"/>
    <n v="137"/>
    <x v="3"/>
    <x v="86"/>
    <n v="215"/>
    <n v="4.7"/>
    <x v="0"/>
    <x v="1"/>
    <x v="1"/>
    <x v="0"/>
  </r>
  <r>
    <x v="309"/>
    <x v="10"/>
    <n v="40"/>
    <x v="4"/>
    <x v="86"/>
    <n v="220"/>
    <n v="4.5"/>
    <x v="0"/>
    <x v="1"/>
    <x v="2"/>
    <x v="0"/>
  </r>
  <r>
    <x v="310"/>
    <x v="6"/>
    <n v="111"/>
    <x v="1"/>
    <x v="87"/>
    <n v="175"/>
    <n v="3.5"/>
    <x v="0"/>
    <x v="2"/>
    <x v="0"/>
    <x v="2"/>
  </r>
  <r>
    <x v="311"/>
    <x v="12"/>
    <n v="106"/>
    <x v="1"/>
    <x v="87"/>
    <n v="145"/>
    <n v="4.0999999999999996"/>
    <x v="0"/>
    <x v="2"/>
    <x v="0"/>
    <x v="2"/>
  </r>
  <r>
    <x v="312"/>
    <x v="3"/>
    <n v="133"/>
    <x v="2"/>
    <x v="87"/>
    <n v="72"/>
    <n v="4.4000000000000004"/>
    <x v="0"/>
    <x v="2"/>
    <x v="1"/>
    <x v="2"/>
  </r>
  <r>
    <x v="313"/>
    <x v="5"/>
    <n v="38"/>
    <x v="1"/>
    <x v="88"/>
    <n v="81"/>
    <n v="3.6"/>
    <x v="0"/>
    <x v="3"/>
    <x v="2"/>
    <x v="2"/>
  </r>
  <r>
    <x v="314"/>
    <x v="11"/>
    <n v="130"/>
    <x v="4"/>
    <x v="88"/>
    <n v="54"/>
    <n v="4.0999999999999996"/>
    <x v="0"/>
    <x v="3"/>
    <x v="1"/>
    <x v="2"/>
  </r>
  <r>
    <x v="315"/>
    <x v="7"/>
    <n v="23"/>
    <x v="2"/>
    <x v="88"/>
    <n v="105"/>
    <n v="4.8"/>
    <x v="0"/>
    <x v="3"/>
    <x v="3"/>
    <x v="0"/>
  </r>
  <r>
    <x v="316"/>
    <x v="11"/>
    <n v="124"/>
    <x v="1"/>
    <x v="89"/>
    <n v="176"/>
    <n v="3.9"/>
    <x v="0"/>
    <x v="4"/>
    <x v="1"/>
    <x v="2"/>
  </r>
  <r>
    <x v="317"/>
    <x v="2"/>
    <n v="107"/>
    <x v="1"/>
    <x v="89"/>
    <n v="115"/>
    <n v="3.8"/>
    <x v="0"/>
    <x v="4"/>
    <x v="0"/>
    <x v="2"/>
  </r>
  <r>
    <x v="318"/>
    <x v="10"/>
    <n v="60"/>
    <x v="0"/>
    <x v="89"/>
    <n v="116"/>
    <n v="3.9"/>
    <x v="0"/>
    <x v="4"/>
    <x v="2"/>
    <x v="2"/>
  </r>
  <r>
    <x v="319"/>
    <x v="10"/>
    <n v="158"/>
    <x v="4"/>
    <x v="89"/>
    <n v="100"/>
    <n v="4.0999999999999996"/>
    <x v="0"/>
    <x v="4"/>
    <x v="1"/>
    <x v="2"/>
  </r>
  <r>
    <x v="320"/>
    <x v="9"/>
    <n v="110"/>
    <x v="4"/>
    <x v="90"/>
    <n v="36"/>
    <n v="2.2000000000000002"/>
    <x v="0"/>
    <x v="5"/>
    <x v="0"/>
    <x v="3"/>
  </r>
  <r>
    <x v="321"/>
    <x v="13"/>
    <n v="70"/>
    <x v="4"/>
    <x v="90"/>
    <n v="114"/>
    <n v="5"/>
    <x v="0"/>
    <x v="5"/>
    <x v="0"/>
    <x v="0"/>
  </r>
  <r>
    <x v="322"/>
    <x v="13"/>
    <n v="150"/>
    <x v="0"/>
    <x v="90"/>
    <n v="24"/>
    <n v="3.8"/>
    <x v="0"/>
    <x v="5"/>
    <x v="1"/>
    <x v="2"/>
  </r>
  <r>
    <x v="323"/>
    <x v="5"/>
    <n v="36"/>
    <x v="1"/>
    <x v="90"/>
    <n v="135"/>
    <n v="4.5999999999999996"/>
    <x v="0"/>
    <x v="5"/>
    <x v="2"/>
    <x v="0"/>
  </r>
  <r>
    <x v="324"/>
    <x v="11"/>
    <n v="74"/>
    <x v="1"/>
    <x v="90"/>
    <n v="30"/>
    <n v="4"/>
    <x v="0"/>
    <x v="5"/>
    <x v="0"/>
    <x v="2"/>
  </r>
  <r>
    <x v="325"/>
    <x v="1"/>
    <n v="75"/>
    <x v="1"/>
    <x v="90"/>
    <n v="84"/>
    <n v="2.8"/>
    <x v="0"/>
    <x v="5"/>
    <x v="0"/>
    <x v="1"/>
  </r>
  <r>
    <x v="326"/>
    <x v="14"/>
    <n v="70"/>
    <x v="3"/>
    <x v="90"/>
    <n v="42"/>
    <n v="4.4000000000000004"/>
    <x v="0"/>
    <x v="5"/>
    <x v="0"/>
    <x v="2"/>
  </r>
  <r>
    <x v="327"/>
    <x v="9"/>
    <n v="23"/>
    <x v="4"/>
    <x v="90"/>
    <n v="117"/>
    <n v="2.4"/>
    <x v="0"/>
    <x v="5"/>
    <x v="3"/>
    <x v="3"/>
  </r>
  <r>
    <x v="328"/>
    <x v="6"/>
    <n v="104"/>
    <x v="2"/>
    <x v="90"/>
    <n v="164"/>
    <n v="4"/>
    <x v="0"/>
    <x v="5"/>
    <x v="0"/>
    <x v="2"/>
  </r>
  <r>
    <x v="329"/>
    <x v="13"/>
    <n v="95"/>
    <x v="3"/>
    <x v="91"/>
    <n v="123"/>
    <n v="4.4000000000000004"/>
    <x v="0"/>
    <x v="6"/>
    <x v="0"/>
    <x v="2"/>
  </r>
  <r>
    <x v="330"/>
    <x v="4"/>
    <n v="49"/>
    <x v="0"/>
    <x v="91"/>
    <n v="172"/>
    <n v="2.9"/>
    <x v="0"/>
    <x v="6"/>
    <x v="2"/>
    <x v="1"/>
  </r>
  <r>
    <x v="331"/>
    <x v="12"/>
    <n v="8"/>
    <x v="4"/>
    <x v="91"/>
    <n v="20"/>
    <n v="4.8"/>
    <x v="0"/>
    <x v="6"/>
    <x v="4"/>
    <x v="0"/>
  </r>
  <r>
    <x v="332"/>
    <x v="13"/>
    <n v="157"/>
    <x v="0"/>
    <x v="91"/>
    <n v="72"/>
    <n v="3.7"/>
    <x v="0"/>
    <x v="6"/>
    <x v="1"/>
    <x v="2"/>
  </r>
  <r>
    <x v="333"/>
    <x v="2"/>
    <n v="74"/>
    <x v="1"/>
    <x v="91"/>
    <n v="32"/>
    <n v="4.8"/>
    <x v="0"/>
    <x v="6"/>
    <x v="0"/>
    <x v="0"/>
  </r>
  <r>
    <x v="334"/>
    <x v="9"/>
    <n v="72"/>
    <x v="3"/>
    <x v="91"/>
    <n v="140"/>
    <n v="3.2"/>
    <x v="0"/>
    <x v="6"/>
    <x v="0"/>
    <x v="1"/>
  </r>
  <r>
    <x v="335"/>
    <x v="2"/>
    <n v="79"/>
    <x v="1"/>
    <x v="92"/>
    <n v="120"/>
    <n v="4.9000000000000004"/>
    <x v="0"/>
    <x v="0"/>
    <x v="0"/>
    <x v="0"/>
  </r>
  <r>
    <x v="336"/>
    <x v="11"/>
    <n v="23"/>
    <x v="1"/>
    <x v="92"/>
    <n v="86"/>
    <n v="2.2000000000000002"/>
    <x v="0"/>
    <x v="0"/>
    <x v="3"/>
    <x v="3"/>
  </r>
  <r>
    <x v="337"/>
    <x v="1"/>
    <n v="69"/>
    <x v="1"/>
    <x v="92"/>
    <n v="132"/>
    <n v="5"/>
    <x v="0"/>
    <x v="0"/>
    <x v="0"/>
    <x v="0"/>
  </r>
  <r>
    <x v="338"/>
    <x v="10"/>
    <n v="64"/>
    <x v="1"/>
    <x v="92"/>
    <n v="80"/>
    <n v="3.3"/>
    <x v="0"/>
    <x v="0"/>
    <x v="0"/>
    <x v="1"/>
  </r>
  <r>
    <x v="339"/>
    <x v="8"/>
    <n v="47"/>
    <x v="0"/>
    <x v="92"/>
    <n v="132"/>
    <n v="3.7"/>
    <x v="0"/>
    <x v="0"/>
    <x v="2"/>
    <x v="2"/>
  </r>
  <r>
    <x v="340"/>
    <x v="2"/>
    <n v="55"/>
    <x v="3"/>
    <x v="92"/>
    <n v="27"/>
    <n v="3.7"/>
    <x v="0"/>
    <x v="0"/>
    <x v="2"/>
    <x v="2"/>
  </r>
  <r>
    <x v="341"/>
    <x v="6"/>
    <n v="104"/>
    <x v="3"/>
    <x v="93"/>
    <n v="68"/>
    <n v="3.6"/>
    <x v="0"/>
    <x v="1"/>
    <x v="0"/>
    <x v="2"/>
  </r>
  <r>
    <x v="342"/>
    <x v="8"/>
    <n v="116"/>
    <x v="1"/>
    <x v="93"/>
    <n v="22"/>
    <n v="4.7"/>
    <x v="0"/>
    <x v="1"/>
    <x v="0"/>
    <x v="0"/>
  </r>
  <r>
    <x v="343"/>
    <x v="11"/>
    <n v="99"/>
    <x v="3"/>
    <x v="93"/>
    <n v="42"/>
    <n v="3.1"/>
    <x v="0"/>
    <x v="1"/>
    <x v="0"/>
    <x v="1"/>
  </r>
  <r>
    <x v="344"/>
    <x v="6"/>
    <n v="84"/>
    <x v="3"/>
    <x v="94"/>
    <n v="38"/>
    <n v="3.3"/>
    <x v="0"/>
    <x v="2"/>
    <x v="0"/>
    <x v="1"/>
  </r>
  <r>
    <x v="345"/>
    <x v="12"/>
    <n v="159"/>
    <x v="3"/>
    <x v="94"/>
    <n v="42"/>
    <n v="4.5"/>
    <x v="0"/>
    <x v="2"/>
    <x v="1"/>
    <x v="0"/>
  </r>
  <r>
    <x v="346"/>
    <x v="5"/>
    <n v="25"/>
    <x v="0"/>
    <x v="94"/>
    <n v="75"/>
    <n v="3.9"/>
    <x v="0"/>
    <x v="2"/>
    <x v="3"/>
    <x v="2"/>
  </r>
  <r>
    <x v="347"/>
    <x v="12"/>
    <n v="53"/>
    <x v="4"/>
    <x v="95"/>
    <n v="23"/>
    <n v="4.9000000000000004"/>
    <x v="0"/>
    <x v="3"/>
    <x v="2"/>
    <x v="0"/>
  </r>
  <r>
    <x v="348"/>
    <x v="12"/>
    <n v="89"/>
    <x v="0"/>
    <x v="95"/>
    <n v="200"/>
    <n v="4.8"/>
    <x v="0"/>
    <x v="3"/>
    <x v="0"/>
    <x v="0"/>
  </r>
  <r>
    <x v="349"/>
    <x v="3"/>
    <n v="73"/>
    <x v="1"/>
    <x v="96"/>
    <n v="45"/>
    <n v="3.6"/>
    <x v="0"/>
    <x v="4"/>
    <x v="0"/>
    <x v="2"/>
  </r>
  <r>
    <x v="350"/>
    <x v="11"/>
    <n v="50"/>
    <x v="1"/>
    <x v="96"/>
    <n v="105"/>
    <n v="3.5"/>
    <x v="0"/>
    <x v="4"/>
    <x v="2"/>
    <x v="2"/>
  </r>
  <r>
    <x v="351"/>
    <x v="4"/>
    <n v="98"/>
    <x v="1"/>
    <x v="96"/>
    <n v="22"/>
    <n v="3.8"/>
    <x v="0"/>
    <x v="4"/>
    <x v="0"/>
    <x v="2"/>
  </r>
  <r>
    <x v="352"/>
    <x v="7"/>
    <n v="114"/>
    <x v="3"/>
    <x v="97"/>
    <n v="126"/>
    <n v="4.4000000000000004"/>
    <x v="0"/>
    <x v="5"/>
    <x v="0"/>
    <x v="2"/>
  </r>
  <r>
    <x v="353"/>
    <x v="10"/>
    <n v="67"/>
    <x v="3"/>
    <x v="97"/>
    <n v="35"/>
    <n v="3"/>
    <x v="0"/>
    <x v="5"/>
    <x v="0"/>
    <x v="1"/>
  </r>
  <r>
    <x v="354"/>
    <x v="2"/>
    <n v="91"/>
    <x v="1"/>
    <x v="97"/>
    <n v="84"/>
    <n v="4.5"/>
    <x v="0"/>
    <x v="5"/>
    <x v="0"/>
    <x v="0"/>
  </r>
  <r>
    <x v="355"/>
    <x v="14"/>
    <n v="67"/>
    <x v="1"/>
    <x v="98"/>
    <n v="172"/>
    <n v="4.5"/>
    <x v="0"/>
    <x v="6"/>
    <x v="0"/>
    <x v="0"/>
  </r>
  <r>
    <x v="356"/>
    <x v="7"/>
    <n v="139"/>
    <x v="0"/>
    <x v="98"/>
    <n v="114"/>
    <n v="4"/>
    <x v="0"/>
    <x v="6"/>
    <x v="1"/>
    <x v="2"/>
  </r>
  <r>
    <x v="357"/>
    <x v="14"/>
    <n v="102"/>
    <x v="0"/>
    <x v="98"/>
    <n v="60"/>
    <n v="3.8"/>
    <x v="0"/>
    <x v="6"/>
    <x v="0"/>
    <x v="2"/>
  </r>
  <r>
    <x v="358"/>
    <x v="13"/>
    <n v="108"/>
    <x v="2"/>
    <x v="98"/>
    <n v="26"/>
    <n v="3.3"/>
    <x v="0"/>
    <x v="6"/>
    <x v="0"/>
    <x v="1"/>
  </r>
  <r>
    <x v="359"/>
    <x v="5"/>
    <n v="66"/>
    <x v="1"/>
    <x v="98"/>
    <n v="210"/>
    <n v="4.3"/>
    <x v="0"/>
    <x v="6"/>
    <x v="0"/>
    <x v="2"/>
  </r>
  <r>
    <x v="360"/>
    <x v="9"/>
    <n v="85"/>
    <x v="0"/>
    <x v="98"/>
    <n v="129"/>
    <n v="4.2"/>
    <x v="0"/>
    <x v="6"/>
    <x v="0"/>
    <x v="2"/>
  </r>
  <r>
    <x v="361"/>
    <x v="10"/>
    <n v="55"/>
    <x v="2"/>
    <x v="98"/>
    <n v="215"/>
    <n v="4.3"/>
    <x v="0"/>
    <x v="6"/>
    <x v="2"/>
    <x v="2"/>
  </r>
  <r>
    <x v="362"/>
    <x v="13"/>
    <n v="17"/>
    <x v="4"/>
    <x v="98"/>
    <n v="69"/>
    <n v="4.5999999999999996"/>
    <x v="0"/>
    <x v="6"/>
    <x v="3"/>
    <x v="0"/>
  </r>
  <r>
    <x v="363"/>
    <x v="10"/>
    <n v="128"/>
    <x v="4"/>
    <x v="98"/>
    <n v="140"/>
    <n v="3"/>
    <x v="0"/>
    <x v="6"/>
    <x v="1"/>
    <x v="1"/>
  </r>
  <r>
    <x v="364"/>
    <x v="11"/>
    <n v="45"/>
    <x v="2"/>
    <x v="99"/>
    <n v="156"/>
    <n v="2.7"/>
    <x v="0"/>
    <x v="0"/>
    <x v="2"/>
    <x v="1"/>
  </r>
  <r>
    <x v="365"/>
    <x v="13"/>
    <n v="41"/>
    <x v="4"/>
    <x v="99"/>
    <n v="164"/>
    <n v="3.1"/>
    <x v="0"/>
    <x v="0"/>
    <x v="2"/>
    <x v="1"/>
  </r>
  <r>
    <x v="366"/>
    <x v="8"/>
    <n v="49"/>
    <x v="4"/>
    <x v="99"/>
    <n v="195"/>
    <n v="2.6"/>
    <x v="0"/>
    <x v="0"/>
    <x v="2"/>
    <x v="1"/>
  </r>
  <r>
    <x v="367"/>
    <x v="1"/>
    <n v="21"/>
    <x v="3"/>
    <x v="99"/>
    <n v="74"/>
    <n v="4.5999999999999996"/>
    <x v="0"/>
    <x v="0"/>
    <x v="3"/>
    <x v="0"/>
  </r>
  <r>
    <x v="368"/>
    <x v="12"/>
    <n v="133"/>
    <x v="2"/>
    <x v="99"/>
    <n v="100"/>
    <n v="4"/>
    <x v="0"/>
    <x v="0"/>
    <x v="1"/>
    <x v="2"/>
  </r>
  <r>
    <x v="369"/>
    <x v="0"/>
    <n v="135"/>
    <x v="1"/>
    <x v="99"/>
    <n v="185"/>
    <n v="4.5"/>
    <x v="0"/>
    <x v="0"/>
    <x v="1"/>
    <x v="0"/>
  </r>
  <r>
    <x v="370"/>
    <x v="7"/>
    <n v="69"/>
    <x v="2"/>
    <x v="99"/>
    <n v="130"/>
    <n v="1.9"/>
    <x v="0"/>
    <x v="0"/>
    <x v="0"/>
    <x v="3"/>
  </r>
  <r>
    <x v="371"/>
    <x v="6"/>
    <n v="110"/>
    <x v="3"/>
    <x v="100"/>
    <n v="21"/>
    <n v="2.6"/>
    <x v="0"/>
    <x v="1"/>
    <x v="0"/>
    <x v="1"/>
  </r>
  <r>
    <x v="372"/>
    <x v="14"/>
    <n v="64"/>
    <x v="0"/>
    <x v="100"/>
    <n v="88"/>
    <n v="4.3"/>
    <x v="0"/>
    <x v="1"/>
    <x v="0"/>
    <x v="2"/>
  </r>
  <r>
    <x v="373"/>
    <x v="2"/>
    <n v="105"/>
    <x v="4"/>
    <x v="100"/>
    <n v="35"/>
    <n v="4.4000000000000004"/>
    <x v="0"/>
    <x v="1"/>
    <x v="0"/>
    <x v="2"/>
  </r>
  <r>
    <x v="374"/>
    <x v="14"/>
    <n v="165"/>
    <x v="1"/>
    <x v="100"/>
    <n v="68"/>
    <n v="4.3"/>
    <x v="0"/>
    <x v="1"/>
    <x v="1"/>
    <x v="2"/>
  </r>
  <r>
    <x v="375"/>
    <x v="11"/>
    <n v="125"/>
    <x v="1"/>
    <x v="100"/>
    <n v="148"/>
    <n v="4.5"/>
    <x v="0"/>
    <x v="1"/>
    <x v="1"/>
    <x v="0"/>
  </r>
  <r>
    <x v="376"/>
    <x v="2"/>
    <n v="88"/>
    <x v="0"/>
    <x v="101"/>
    <n v="81"/>
    <n v="4.2"/>
    <x v="0"/>
    <x v="2"/>
    <x v="0"/>
    <x v="2"/>
  </r>
  <r>
    <x v="377"/>
    <x v="7"/>
    <n v="6"/>
    <x v="0"/>
    <x v="101"/>
    <n v="75"/>
    <n v="3.9"/>
    <x v="0"/>
    <x v="2"/>
    <x v="4"/>
    <x v="2"/>
  </r>
  <r>
    <x v="378"/>
    <x v="9"/>
    <n v="69"/>
    <x v="2"/>
    <x v="102"/>
    <n v="32"/>
    <n v="3.6"/>
    <x v="0"/>
    <x v="3"/>
    <x v="0"/>
    <x v="2"/>
  </r>
  <r>
    <x v="379"/>
    <x v="13"/>
    <n v="107"/>
    <x v="2"/>
    <x v="102"/>
    <n v="156"/>
    <n v="3.8"/>
    <x v="0"/>
    <x v="3"/>
    <x v="0"/>
    <x v="2"/>
  </r>
  <r>
    <x v="380"/>
    <x v="1"/>
    <n v="90"/>
    <x v="1"/>
    <x v="102"/>
    <n v="99"/>
    <n v="4.9000000000000004"/>
    <x v="0"/>
    <x v="3"/>
    <x v="0"/>
    <x v="0"/>
  </r>
  <r>
    <x v="381"/>
    <x v="0"/>
    <n v="120"/>
    <x v="4"/>
    <x v="102"/>
    <n v="26"/>
    <n v="4"/>
    <x v="0"/>
    <x v="3"/>
    <x v="0"/>
    <x v="2"/>
  </r>
  <r>
    <x v="382"/>
    <x v="4"/>
    <n v="47"/>
    <x v="2"/>
    <x v="102"/>
    <n v="84"/>
    <n v="4.0999999999999996"/>
    <x v="0"/>
    <x v="3"/>
    <x v="2"/>
    <x v="2"/>
  </r>
  <r>
    <x v="383"/>
    <x v="3"/>
    <n v="60"/>
    <x v="4"/>
    <x v="102"/>
    <n v="84"/>
    <n v="4.8"/>
    <x v="0"/>
    <x v="3"/>
    <x v="2"/>
    <x v="0"/>
  </r>
  <r>
    <x v="384"/>
    <x v="10"/>
    <n v="64"/>
    <x v="1"/>
    <x v="102"/>
    <n v="170"/>
    <n v="2.2999999999999998"/>
    <x v="0"/>
    <x v="3"/>
    <x v="0"/>
    <x v="3"/>
  </r>
  <r>
    <x v="385"/>
    <x v="14"/>
    <n v="62"/>
    <x v="2"/>
    <x v="102"/>
    <n v="35"/>
    <n v="4.4000000000000004"/>
    <x v="0"/>
    <x v="3"/>
    <x v="0"/>
    <x v="2"/>
  </r>
  <r>
    <x v="386"/>
    <x v="6"/>
    <n v="88"/>
    <x v="2"/>
    <x v="103"/>
    <n v="35"/>
    <n v="3.8"/>
    <x v="0"/>
    <x v="4"/>
    <x v="0"/>
    <x v="2"/>
  </r>
  <r>
    <x v="387"/>
    <x v="11"/>
    <n v="116"/>
    <x v="2"/>
    <x v="103"/>
    <n v="132"/>
    <n v="5"/>
    <x v="0"/>
    <x v="4"/>
    <x v="0"/>
    <x v="0"/>
  </r>
  <r>
    <x v="388"/>
    <x v="1"/>
    <n v="82"/>
    <x v="0"/>
    <x v="104"/>
    <n v="144"/>
    <n v="3.3"/>
    <x v="0"/>
    <x v="5"/>
    <x v="0"/>
    <x v="1"/>
  </r>
  <r>
    <x v="389"/>
    <x v="14"/>
    <n v="99"/>
    <x v="1"/>
    <x v="104"/>
    <n v="48"/>
    <n v="5"/>
    <x v="0"/>
    <x v="5"/>
    <x v="0"/>
    <x v="0"/>
  </r>
  <r>
    <x v="390"/>
    <x v="14"/>
    <n v="55"/>
    <x v="0"/>
    <x v="104"/>
    <n v="200"/>
    <n v="2.2999999999999998"/>
    <x v="0"/>
    <x v="5"/>
    <x v="2"/>
    <x v="3"/>
  </r>
  <r>
    <x v="391"/>
    <x v="10"/>
    <n v="61"/>
    <x v="4"/>
    <x v="104"/>
    <n v="38"/>
    <n v="4.8"/>
    <x v="0"/>
    <x v="5"/>
    <x v="0"/>
    <x v="0"/>
  </r>
  <r>
    <x v="392"/>
    <x v="11"/>
    <n v="36"/>
    <x v="3"/>
    <x v="104"/>
    <n v="81"/>
    <n v="3.7"/>
    <x v="0"/>
    <x v="5"/>
    <x v="2"/>
    <x v="2"/>
  </r>
  <r>
    <x v="393"/>
    <x v="1"/>
    <n v="123"/>
    <x v="2"/>
    <x v="104"/>
    <n v="120"/>
    <n v="4.2"/>
    <x v="0"/>
    <x v="5"/>
    <x v="1"/>
    <x v="2"/>
  </r>
  <r>
    <x v="394"/>
    <x v="8"/>
    <n v="24"/>
    <x v="4"/>
    <x v="104"/>
    <n v="74"/>
    <n v="4.8"/>
    <x v="0"/>
    <x v="5"/>
    <x v="3"/>
    <x v="0"/>
  </r>
  <r>
    <x v="395"/>
    <x v="1"/>
    <n v="43"/>
    <x v="2"/>
    <x v="105"/>
    <n v="128"/>
    <n v="4.7"/>
    <x v="0"/>
    <x v="6"/>
    <x v="2"/>
    <x v="0"/>
  </r>
  <r>
    <x v="396"/>
    <x v="3"/>
    <n v="95"/>
    <x v="1"/>
    <x v="105"/>
    <n v="21"/>
    <n v="3.9"/>
    <x v="0"/>
    <x v="6"/>
    <x v="0"/>
    <x v="2"/>
  </r>
  <r>
    <x v="397"/>
    <x v="14"/>
    <n v="53"/>
    <x v="2"/>
    <x v="105"/>
    <n v="110"/>
    <n v="4.3"/>
    <x v="0"/>
    <x v="6"/>
    <x v="2"/>
    <x v="2"/>
  </r>
  <r>
    <x v="398"/>
    <x v="1"/>
    <n v="113"/>
    <x v="2"/>
    <x v="105"/>
    <n v="145"/>
    <n v="4"/>
    <x v="0"/>
    <x v="6"/>
    <x v="0"/>
    <x v="2"/>
  </r>
  <r>
    <x v="399"/>
    <x v="14"/>
    <n v="89"/>
    <x v="3"/>
    <x v="105"/>
    <n v="129"/>
    <n v="4"/>
    <x v="0"/>
    <x v="6"/>
    <x v="0"/>
    <x v="2"/>
  </r>
  <r>
    <x v="400"/>
    <x v="6"/>
    <n v="84"/>
    <x v="0"/>
    <x v="105"/>
    <n v="156"/>
    <n v="3.2"/>
    <x v="0"/>
    <x v="6"/>
    <x v="0"/>
    <x v="1"/>
  </r>
  <r>
    <x v="401"/>
    <x v="8"/>
    <n v="130"/>
    <x v="2"/>
    <x v="106"/>
    <n v="120"/>
    <n v="3.8"/>
    <x v="0"/>
    <x v="0"/>
    <x v="1"/>
    <x v="2"/>
  </r>
  <r>
    <x v="402"/>
    <x v="3"/>
    <n v="163"/>
    <x v="3"/>
    <x v="106"/>
    <n v="62"/>
    <n v="3.4"/>
    <x v="0"/>
    <x v="0"/>
    <x v="1"/>
    <x v="1"/>
  </r>
  <r>
    <x v="403"/>
    <x v="9"/>
    <n v="127"/>
    <x v="2"/>
    <x v="106"/>
    <n v="160"/>
    <n v="3.2"/>
    <x v="0"/>
    <x v="0"/>
    <x v="1"/>
    <x v="1"/>
  </r>
  <r>
    <x v="404"/>
    <x v="1"/>
    <n v="50"/>
    <x v="2"/>
    <x v="106"/>
    <n v="56"/>
    <n v="4.7"/>
    <x v="0"/>
    <x v="0"/>
    <x v="2"/>
    <x v="0"/>
  </r>
  <r>
    <x v="405"/>
    <x v="5"/>
    <n v="88"/>
    <x v="4"/>
    <x v="106"/>
    <n v="72"/>
    <n v="4"/>
    <x v="0"/>
    <x v="0"/>
    <x v="0"/>
    <x v="2"/>
  </r>
  <r>
    <x v="406"/>
    <x v="1"/>
    <n v="139"/>
    <x v="1"/>
    <x v="107"/>
    <n v="81"/>
    <n v="4.8"/>
    <x v="0"/>
    <x v="1"/>
    <x v="1"/>
    <x v="0"/>
  </r>
  <r>
    <x v="407"/>
    <x v="3"/>
    <n v="111"/>
    <x v="2"/>
    <x v="107"/>
    <n v="144"/>
    <n v="3.9"/>
    <x v="0"/>
    <x v="1"/>
    <x v="0"/>
    <x v="2"/>
  </r>
  <r>
    <x v="408"/>
    <x v="2"/>
    <n v="115"/>
    <x v="1"/>
    <x v="107"/>
    <n v="111"/>
    <n v="4.3"/>
    <x v="0"/>
    <x v="1"/>
    <x v="0"/>
    <x v="2"/>
  </r>
  <r>
    <x v="409"/>
    <x v="14"/>
    <n v="26"/>
    <x v="3"/>
    <x v="107"/>
    <n v="43"/>
    <n v="4.2"/>
    <x v="0"/>
    <x v="1"/>
    <x v="3"/>
    <x v="2"/>
  </r>
  <r>
    <x v="410"/>
    <x v="6"/>
    <n v="131"/>
    <x v="4"/>
    <x v="107"/>
    <n v="41"/>
    <n v="4.9000000000000004"/>
    <x v="0"/>
    <x v="1"/>
    <x v="1"/>
    <x v="0"/>
  </r>
  <r>
    <x v="411"/>
    <x v="2"/>
    <n v="27"/>
    <x v="4"/>
    <x v="107"/>
    <n v="74"/>
    <n v="4"/>
    <x v="0"/>
    <x v="1"/>
    <x v="3"/>
    <x v="2"/>
  </r>
  <r>
    <x v="412"/>
    <x v="12"/>
    <n v="75"/>
    <x v="2"/>
    <x v="107"/>
    <n v="43"/>
    <n v="4.9000000000000004"/>
    <x v="0"/>
    <x v="1"/>
    <x v="0"/>
    <x v="0"/>
  </r>
  <r>
    <x v="413"/>
    <x v="10"/>
    <n v="123"/>
    <x v="4"/>
    <x v="107"/>
    <n v="128"/>
    <n v="3.6"/>
    <x v="0"/>
    <x v="1"/>
    <x v="1"/>
    <x v="2"/>
  </r>
  <r>
    <x v="414"/>
    <x v="0"/>
    <n v="129"/>
    <x v="4"/>
    <x v="108"/>
    <n v="144"/>
    <n v="4.0999999999999996"/>
    <x v="0"/>
    <x v="2"/>
    <x v="1"/>
    <x v="2"/>
  </r>
  <r>
    <x v="415"/>
    <x v="12"/>
    <n v="124"/>
    <x v="1"/>
    <x v="108"/>
    <n v="132"/>
    <n v="4.9000000000000004"/>
    <x v="0"/>
    <x v="2"/>
    <x v="1"/>
    <x v="0"/>
  </r>
  <r>
    <x v="416"/>
    <x v="2"/>
    <n v="108"/>
    <x v="1"/>
    <x v="108"/>
    <n v="180"/>
    <n v="3.9"/>
    <x v="0"/>
    <x v="2"/>
    <x v="0"/>
    <x v="2"/>
  </r>
  <r>
    <x v="417"/>
    <x v="4"/>
    <n v="15"/>
    <x v="1"/>
    <x v="108"/>
    <n v="31"/>
    <n v="4.0999999999999996"/>
    <x v="0"/>
    <x v="2"/>
    <x v="3"/>
    <x v="2"/>
  </r>
  <r>
    <x v="418"/>
    <x v="2"/>
    <n v="66"/>
    <x v="1"/>
    <x v="108"/>
    <n v="102"/>
    <n v="3.8"/>
    <x v="0"/>
    <x v="2"/>
    <x v="0"/>
    <x v="2"/>
  </r>
  <r>
    <x v="419"/>
    <x v="5"/>
    <n v="126"/>
    <x v="2"/>
    <x v="109"/>
    <n v="175"/>
    <n v="4.8"/>
    <x v="0"/>
    <x v="3"/>
    <x v="1"/>
    <x v="0"/>
  </r>
  <r>
    <x v="420"/>
    <x v="12"/>
    <n v="26"/>
    <x v="0"/>
    <x v="109"/>
    <n v="87"/>
    <n v="4.7"/>
    <x v="0"/>
    <x v="3"/>
    <x v="3"/>
    <x v="0"/>
  </r>
  <r>
    <x v="421"/>
    <x v="8"/>
    <n v="105"/>
    <x v="2"/>
    <x v="109"/>
    <n v="66"/>
    <n v="4.2"/>
    <x v="0"/>
    <x v="3"/>
    <x v="0"/>
    <x v="2"/>
  </r>
  <r>
    <x v="422"/>
    <x v="8"/>
    <n v="31"/>
    <x v="2"/>
    <x v="109"/>
    <n v="25"/>
    <n v="3.2"/>
    <x v="0"/>
    <x v="3"/>
    <x v="2"/>
    <x v="1"/>
  </r>
  <r>
    <x v="423"/>
    <x v="2"/>
    <n v="109"/>
    <x v="1"/>
    <x v="109"/>
    <n v="126"/>
    <n v="3.4"/>
    <x v="0"/>
    <x v="3"/>
    <x v="0"/>
    <x v="1"/>
  </r>
  <r>
    <x v="424"/>
    <x v="0"/>
    <n v="113"/>
    <x v="3"/>
    <x v="110"/>
    <n v="42"/>
    <n v="4.5999999999999996"/>
    <x v="0"/>
    <x v="4"/>
    <x v="0"/>
    <x v="0"/>
  </r>
  <r>
    <x v="425"/>
    <x v="5"/>
    <n v="101"/>
    <x v="0"/>
    <x v="110"/>
    <n v="225"/>
    <n v="1.9"/>
    <x v="0"/>
    <x v="4"/>
    <x v="0"/>
    <x v="3"/>
  </r>
  <r>
    <x v="426"/>
    <x v="3"/>
    <n v="156"/>
    <x v="0"/>
    <x v="110"/>
    <n v="42"/>
    <n v="3.3"/>
    <x v="0"/>
    <x v="4"/>
    <x v="1"/>
    <x v="1"/>
  </r>
  <r>
    <x v="427"/>
    <x v="2"/>
    <n v="145"/>
    <x v="3"/>
    <x v="111"/>
    <n v="110"/>
    <n v="3.1"/>
    <x v="0"/>
    <x v="5"/>
    <x v="1"/>
    <x v="1"/>
  </r>
  <r>
    <x v="428"/>
    <x v="10"/>
    <n v="36"/>
    <x v="1"/>
    <x v="111"/>
    <n v="225"/>
    <n v="4.8"/>
    <x v="0"/>
    <x v="5"/>
    <x v="2"/>
    <x v="0"/>
  </r>
  <r>
    <x v="429"/>
    <x v="8"/>
    <n v="135"/>
    <x v="4"/>
    <x v="112"/>
    <n v="125"/>
    <n v="3.3"/>
    <x v="0"/>
    <x v="6"/>
    <x v="1"/>
    <x v="1"/>
  </r>
  <r>
    <x v="430"/>
    <x v="5"/>
    <n v="81"/>
    <x v="1"/>
    <x v="112"/>
    <n v="78"/>
    <n v="2.9"/>
    <x v="0"/>
    <x v="6"/>
    <x v="0"/>
    <x v="1"/>
  </r>
  <r>
    <x v="431"/>
    <x v="5"/>
    <n v="81"/>
    <x v="3"/>
    <x v="112"/>
    <n v="40"/>
    <n v="2.4"/>
    <x v="0"/>
    <x v="6"/>
    <x v="0"/>
    <x v="3"/>
  </r>
  <r>
    <x v="432"/>
    <x v="9"/>
    <n v="93"/>
    <x v="2"/>
    <x v="112"/>
    <n v="150"/>
    <n v="4.5999999999999996"/>
    <x v="0"/>
    <x v="6"/>
    <x v="0"/>
    <x v="0"/>
  </r>
  <r>
    <x v="433"/>
    <x v="2"/>
    <n v="14"/>
    <x v="1"/>
    <x v="112"/>
    <n v="96"/>
    <n v="4.8"/>
    <x v="0"/>
    <x v="6"/>
    <x v="3"/>
    <x v="0"/>
  </r>
  <r>
    <x v="434"/>
    <x v="8"/>
    <n v="95"/>
    <x v="3"/>
    <x v="113"/>
    <n v="75"/>
    <n v="4.8"/>
    <x v="0"/>
    <x v="0"/>
    <x v="0"/>
    <x v="0"/>
  </r>
  <r>
    <x v="435"/>
    <x v="9"/>
    <n v="81"/>
    <x v="3"/>
    <x v="113"/>
    <n v="60"/>
    <n v="3.6"/>
    <x v="0"/>
    <x v="0"/>
    <x v="0"/>
    <x v="2"/>
  </r>
  <r>
    <x v="436"/>
    <x v="14"/>
    <n v="60"/>
    <x v="1"/>
    <x v="114"/>
    <n v="41"/>
    <n v="4.8"/>
    <x v="0"/>
    <x v="1"/>
    <x v="2"/>
    <x v="0"/>
  </r>
  <r>
    <x v="437"/>
    <x v="7"/>
    <n v="137"/>
    <x v="2"/>
    <x v="114"/>
    <n v="20"/>
    <n v="4.2"/>
    <x v="0"/>
    <x v="1"/>
    <x v="1"/>
    <x v="2"/>
  </r>
  <r>
    <x v="438"/>
    <x v="1"/>
    <n v="112"/>
    <x v="4"/>
    <x v="114"/>
    <n v="84"/>
    <n v="2.6"/>
    <x v="0"/>
    <x v="1"/>
    <x v="0"/>
    <x v="1"/>
  </r>
  <r>
    <x v="439"/>
    <x v="8"/>
    <n v="76"/>
    <x v="0"/>
    <x v="114"/>
    <n v="140"/>
    <n v="3.7"/>
    <x v="0"/>
    <x v="1"/>
    <x v="0"/>
    <x v="2"/>
  </r>
  <r>
    <x v="440"/>
    <x v="11"/>
    <n v="73"/>
    <x v="1"/>
    <x v="114"/>
    <n v="66"/>
    <n v="4.8"/>
    <x v="0"/>
    <x v="1"/>
    <x v="0"/>
    <x v="0"/>
  </r>
  <r>
    <x v="441"/>
    <x v="6"/>
    <n v="119"/>
    <x v="2"/>
    <x v="114"/>
    <n v="105"/>
    <n v="4.7"/>
    <x v="0"/>
    <x v="1"/>
    <x v="0"/>
    <x v="0"/>
  </r>
  <r>
    <x v="442"/>
    <x v="0"/>
    <n v="135"/>
    <x v="3"/>
    <x v="115"/>
    <n v="104"/>
    <n v="4.0999999999999996"/>
    <x v="0"/>
    <x v="2"/>
    <x v="1"/>
    <x v="2"/>
  </r>
  <r>
    <x v="443"/>
    <x v="7"/>
    <n v="41"/>
    <x v="4"/>
    <x v="115"/>
    <n v="123"/>
    <n v="3.2"/>
    <x v="0"/>
    <x v="2"/>
    <x v="2"/>
    <x v="1"/>
  </r>
  <r>
    <x v="444"/>
    <x v="2"/>
    <n v="35"/>
    <x v="3"/>
    <x v="116"/>
    <n v="215"/>
    <n v="4.3"/>
    <x v="0"/>
    <x v="3"/>
    <x v="2"/>
    <x v="2"/>
  </r>
  <r>
    <x v="445"/>
    <x v="0"/>
    <n v="96"/>
    <x v="1"/>
    <x v="116"/>
    <n v="46"/>
    <n v="0.7"/>
    <x v="0"/>
    <x v="3"/>
    <x v="0"/>
    <x v="5"/>
  </r>
  <r>
    <x v="446"/>
    <x v="9"/>
    <n v="61"/>
    <x v="4"/>
    <x v="116"/>
    <n v="115"/>
    <n v="3.7"/>
    <x v="0"/>
    <x v="3"/>
    <x v="0"/>
    <x v="2"/>
  </r>
  <r>
    <x v="447"/>
    <x v="0"/>
    <n v="91"/>
    <x v="4"/>
    <x v="116"/>
    <n v="124"/>
    <n v="3.9"/>
    <x v="0"/>
    <x v="3"/>
    <x v="0"/>
    <x v="2"/>
  </r>
  <r>
    <x v="448"/>
    <x v="13"/>
    <n v="30"/>
    <x v="4"/>
    <x v="117"/>
    <n v="205"/>
    <n v="4.5"/>
    <x v="0"/>
    <x v="4"/>
    <x v="3"/>
    <x v="0"/>
  </r>
  <r>
    <x v="449"/>
    <x v="14"/>
    <n v="111"/>
    <x v="2"/>
    <x v="117"/>
    <n v="90"/>
    <n v="2.8"/>
    <x v="0"/>
    <x v="4"/>
    <x v="0"/>
    <x v="1"/>
  </r>
  <r>
    <x v="450"/>
    <x v="9"/>
    <n v="81"/>
    <x v="1"/>
    <x v="117"/>
    <n v="92"/>
    <n v="4.9000000000000004"/>
    <x v="0"/>
    <x v="4"/>
    <x v="0"/>
    <x v="0"/>
  </r>
  <r>
    <x v="451"/>
    <x v="8"/>
    <n v="40"/>
    <x v="3"/>
    <x v="118"/>
    <n v="108"/>
    <n v="4.2"/>
    <x v="0"/>
    <x v="6"/>
    <x v="2"/>
    <x v="2"/>
  </r>
  <r>
    <x v="452"/>
    <x v="14"/>
    <n v="143"/>
    <x v="3"/>
    <x v="118"/>
    <n v="54"/>
    <n v="4.4000000000000004"/>
    <x v="0"/>
    <x v="6"/>
    <x v="1"/>
    <x v="2"/>
  </r>
  <r>
    <x v="453"/>
    <x v="8"/>
    <n v="70"/>
    <x v="3"/>
    <x v="119"/>
    <n v="44"/>
    <n v="3.5"/>
    <x v="0"/>
    <x v="0"/>
    <x v="0"/>
    <x v="2"/>
  </r>
  <r>
    <x v="454"/>
    <x v="11"/>
    <n v="137"/>
    <x v="3"/>
    <x v="119"/>
    <n v="44"/>
    <n v="4.7"/>
    <x v="0"/>
    <x v="0"/>
    <x v="1"/>
    <x v="0"/>
  </r>
  <r>
    <x v="455"/>
    <x v="0"/>
    <n v="52"/>
    <x v="1"/>
    <x v="120"/>
    <n v="37"/>
    <n v="4.9000000000000004"/>
    <x v="0"/>
    <x v="1"/>
    <x v="2"/>
    <x v="0"/>
  </r>
  <r>
    <x v="456"/>
    <x v="1"/>
    <n v="31"/>
    <x v="2"/>
    <x v="120"/>
    <n v="180"/>
    <n v="4.5"/>
    <x v="0"/>
    <x v="1"/>
    <x v="2"/>
    <x v="0"/>
  </r>
  <r>
    <x v="457"/>
    <x v="0"/>
    <n v="114"/>
    <x v="4"/>
    <x v="120"/>
    <n v="105"/>
    <n v="4.9000000000000004"/>
    <x v="0"/>
    <x v="1"/>
    <x v="0"/>
    <x v="0"/>
  </r>
  <r>
    <x v="458"/>
    <x v="11"/>
    <n v="73"/>
    <x v="0"/>
    <x v="120"/>
    <n v="87"/>
    <n v="3.6"/>
    <x v="0"/>
    <x v="1"/>
    <x v="0"/>
    <x v="2"/>
  </r>
  <r>
    <x v="459"/>
    <x v="9"/>
    <n v="25"/>
    <x v="2"/>
    <x v="120"/>
    <n v="52"/>
    <n v="3.8"/>
    <x v="0"/>
    <x v="1"/>
    <x v="3"/>
    <x v="2"/>
  </r>
  <r>
    <x v="460"/>
    <x v="4"/>
    <n v="44"/>
    <x v="4"/>
    <x v="120"/>
    <n v="63"/>
    <n v="3.5"/>
    <x v="0"/>
    <x v="1"/>
    <x v="2"/>
    <x v="2"/>
  </r>
  <r>
    <x v="461"/>
    <x v="10"/>
    <n v="34"/>
    <x v="1"/>
    <x v="121"/>
    <n v="195"/>
    <n v="4.8"/>
    <x v="0"/>
    <x v="2"/>
    <x v="2"/>
    <x v="0"/>
  </r>
  <r>
    <x v="462"/>
    <x v="14"/>
    <n v="89"/>
    <x v="3"/>
    <x v="122"/>
    <n v="176"/>
    <n v="4.5"/>
    <x v="0"/>
    <x v="3"/>
    <x v="0"/>
    <x v="0"/>
  </r>
  <r>
    <x v="463"/>
    <x v="6"/>
    <n v="54"/>
    <x v="2"/>
    <x v="123"/>
    <n v="31"/>
    <n v="3.3"/>
    <x v="0"/>
    <x v="4"/>
    <x v="2"/>
    <x v="1"/>
  </r>
  <r>
    <x v="464"/>
    <x v="2"/>
    <n v="25"/>
    <x v="2"/>
    <x v="124"/>
    <n v="27"/>
    <n v="3.2"/>
    <x v="0"/>
    <x v="5"/>
    <x v="3"/>
    <x v="1"/>
  </r>
  <r>
    <x v="465"/>
    <x v="7"/>
    <n v="91"/>
    <x v="3"/>
    <x v="124"/>
    <n v="76"/>
    <n v="4.9000000000000004"/>
    <x v="0"/>
    <x v="5"/>
    <x v="0"/>
    <x v="0"/>
  </r>
  <r>
    <x v="466"/>
    <x v="4"/>
    <n v="144"/>
    <x v="4"/>
    <x v="124"/>
    <n v="62"/>
    <n v="4.8"/>
    <x v="0"/>
    <x v="5"/>
    <x v="1"/>
    <x v="0"/>
  </r>
  <r>
    <x v="467"/>
    <x v="7"/>
    <n v="81"/>
    <x v="1"/>
    <x v="125"/>
    <n v="100"/>
    <n v="1.3"/>
    <x v="0"/>
    <x v="0"/>
    <x v="0"/>
    <x v="5"/>
  </r>
  <r>
    <x v="468"/>
    <x v="13"/>
    <n v="92"/>
    <x v="2"/>
    <x v="125"/>
    <n v="44"/>
    <n v="3.1"/>
    <x v="0"/>
    <x v="0"/>
    <x v="0"/>
    <x v="1"/>
  </r>
  <r>
    <x v="469"/>
    <x v="2"/>
    <n v="115"/>
    <x v="3"/>
    <x v="125"/>
    <n v="168"/>
    <n v="3.4"/>
    <x v="0"/>
    <x v="0"/>
    <x v="0"/>
    <x v="1"/>
  </r>
  <r>
    <x v="470"/>
    <x v="5"/>
    <n v="56"/>
    <x v="3"/>
    <x v="126"/>
    <n v="200"/>
    <n v="4.5999999999999996"/>
    <x v="0"/>
    <x v="1"/>
    <x v="2"/>
    <x v="0"/>
  </r>
  <r>
    <x v="471"/>
    <x v="1"/>
    <n v="154"/>
    <x v="2"/>
    <x v="126"/>
    <n v="84"/>
    <n v="4.3"/>
    <x v="0"/>
    <x v="1"/>
    <x v="1"/>
    <x v="2"/>
  </r>
  <r>
    <x v="472"/>
    <x v="14"/>
    <n v="51"/>
    <x v="3"/>
    <x v="127"/>
    <n v="117"/>
    <n v="2.7"/>
    <x v="0"/>
    <x v="2"/>
    <x v="2"/>
    <x v="1"/>
  </r>
  <r>
    <x v="473"/>
    <x v="10"/>
    <n v="21"/>
    <x v="1"/>
    <x v="127"/>
    <n v="63"/>
    <n v="4.2"/>
    <x v="0"/>
    <x v="2"/>
    <x v="3"/>
    <x v="2"/>
  </r>
  <r>
    <x v="474"/>
    <x v="2"/>
    <n v="80"/>
    <x v="3"/>
    <x v="128"/>
    <n v="145"/>
    <n v="4.9000000000000004"/>
    <x v="0"/>
    <x v="3"/>
    <x v="0"/>
    <x v="0"/>
  </r>
  <r>
    <x v="475"/>
    <x v="14"/>
    <n v="139"/>
    <x v="2"/>
    <x v="128"/>
    <n v="220"/>
    <n v="3.2"/>
    <x v="0"/>
    <x v="3"/>
    <x v="1"/>
    <x v="1"/>
  </r>
  <r>
    <x v="476"/>
    <x v="8"/>
    <n v="50"/>
    <x v="1"/>
    <x v="128"/>
    <n v="26"/>
    <n v="4.7"/>
    <x v="0"/>
    <x v="3"/>
    <x v="2"/>
    <x v="0"/>
  </r>
  <r>
    <x v="477"/>
    <x v="2"/>
    <n v="88"/>
    <x v="3"/>
    <x v="128"/>
    <n v="78"/>
    <n v="4.3"/>
    <x v="0"/>
    <x v="3"/>
    <x v="0"/>
    <x v="2"/>
  </r>
  <r>
    <x v="478"/>
    <x v="6"/>
    <n v="19"/>
    <x v="4"/>
    <x v="129"/>
    <n v="132"/>
    <n v="4.3"/>
    <x v="0"/>
    <x v="4"/>
    <x v="3"/>
    <x v="2"/>
  </r>
  <r>
    <x v="479"/>
    <x v="9"/>
    <n v="104"/>
    <x v="4"/>
    <x v="130"/>
    <n v="68"/>
    <n v="3.7"/>
    <x v="0"/>
    <x v="5"/>
    <x v="0"/>
    <x v="2"/>
  </r>
  <r>
    <x v="480"/>
    <x v="1"/>
    <n v="67"/>
    <x v="2"/>
    <x v="131"/>
    <n v="129"/>
    <n v="4.7"/>
    <x v="0"/>
    <x v="0"/>
    <x v="0"/>
    <x v="0"/>
  </r>
  <r>
    <x v="481"/>
    <x v="12"/>
    <n v="107"/>
    <x v="4"/>
    <x v="131"/>
    <n v="115"/>
    <n v="4.9000000000000004"/>
    <x v="0"/>
    <x v="0"/>
    <x v="0"/>
    <x v="0"/>
  </r>
  <r>
    <x v="482"/>
    <x v="12"/>
    <n v="93"/>
    <x v="4"/>
    <x v="131"/>
    <n v="128"/>
    <n v="3.9"/>
    <x v="0"/>
    <x v="0"/>
    <x v="0"/>
    <x v="2"/>
  </r>
  <r>
    <x v="483"/>
    <x v="12"/>
    <n v="117"/>
    <x v="2"/>
    <x v="131"/>
    <n v="90"/>
    <n v="4.5"/>
    <x v="0"/>
    <x v="0"/>
    <x v="0"/>
    <x v="0"/>
  </r>
  <r>
    <x v="484"/>
    <x v="8"/>
    <n v="76"/>
    <x v="3"/>
    <x v="132"/>
    <n v="39"/>
    <n v="4.5999999999999996"/>
    <x v="0"/>
    <x v="1"/>
    <x v="0"/>
    <x v="0"/>
  </r>
  <r>
    <x v="485"/>
    <x v="6"/>
    <n v="64"/>
    <x v="4"/>
    <x v="132"/>
    <n v="132"/>
    <n v="3.3"/>
    <x v="0"/>
    <x v="1"/>
    <x v="0"/>
    <x v="1"/>
  </r>
  <r>
    <x v="486"/>
    <x v="4"/>
    <n v="33"/>
    <x v="4"/>
    <x v="132"/>
    <n v="170"/>
    <n v="3.8"/>
    <x v="0"/>
    <x v="1"/>
    <x v="2"/>
    <x v="2"/>
  </r>
  <r>
    <x v="487"/>
    <x v="12"/>
    <n v="115"/>
    <x v="2"/>
    <x v="132"/>
    <n v="42"/>
    <n v="4.7"/>
    <x v="0"/>
    <x v="1"/>
    <x v="0"/>
    <x v="0"/>
  </r>
  <r>
    <x v="488"/>
    <x v="3"/>
    <n v="155"/>
    <x v="3"/>
    <x v="133"/>
    <n v="37"/>
    <n v="4"/>
    <x v="0"/>
    <x v="2"/>
    <x v="1"/>
    <x v="2"/>
  </r>
  <r>
    <x v="489"/>
    <x v="1"/>
    <n v="117"/>
    <x v="3"/>
    <x v="133"/>
    <n v="88"/>
    <n v="4.7"/>
    <x v="0"/>
    <x v="2"/>
    <x v="0"/>
    <x v="0"/>
  </r>
  <r>
    <x v="490"/>
    <x v="14"/>
    <n v="63"/>
    <x v="3"/>
    <x v="133"/>
    <n v="80"/>
    <n v="2.5"/>
    <x v="0"/>
    <x v="2"/>
    <x v="0"/>
    <x v="1"/>
  </r>
  <r>
    <x v="491"/>
    <x v="6"/>
    <n v="59"/>
    <x v="0"/>
    <x v="134"/>
    <n v="123"/>
    <n v="3.6"/>
    <x v="0"/>
    <x v="3"/>
    <x v="2"/>
    <x v="2"/>
  </r>
  <r>
    <x v="492"/>
    <x v="10"/>
    <n v="133"/>
    <x v="4"/>
    <x v="134"/>
    <n v="31"/>
    <n v="3.7"/>
    <x v="0"/>
    <x v="3"/>
    <x v="1"/>
    <x v="2"/>
  </r>
  <r>
    <x v="493"/>
    <x v="13"/>
    <n v="101"/>
    <x v="1"/>
    <x v="134"/>
    <n v="205"/>
    <n v="3.9"/>
    <x v="0"/>
    <x v="3"/>
    <x v="0"/>
    <x v="2"/>
  </r>
  <r>
    <x v="494"/>
    <x v="7"/>
    <n v="151"/>
    <x v="3"/>
    <x v="135"/>
    <n v="123"/>
    <n v="3.7"/>
    <x v="0"/>
    <x v="4"/>
    <x v="1"/>
    <x v="2"/>
  </r>
  <r>
    <x v="495"/>
    <x v="4"/>
    <n v="146"/>
    <x v="4"/>
    <x v="135"/>
    <n v="123"/>
    <n v="4.3"/>
    <x v="0"/>
    <x v="4"/>
    <x v="1"/>
    <x v="2"/>
  </r>
  <r>
    <x v="496"/>
    <x v="14"/>
    <n v="148"/>
    <x v="4"/>
    <x v="135"/>
    <n v="36"/>
    <n v="2.9"/>
    <x v="0"/>
    <x v="4"/>
    <x v="1"/>
    <x v="1"/>
  </r>
  <r>
    <x v="497"/>
    <x v="7"/>
    <n v="81"/>
    <x v="4"/>
    <x v="135"/>
    <n v="116"/>
    <n v="4.3"/>
    <x v="0"/>
    <x v="4"/>
    <x v="0"/>
    <x v="2"/>
  </r>
  <r>
    <x v="498"/>
    <x v="9"/>
    <n v="115"/>
    <x v="4"/>
    <x v="135"/>
    <n v="40"/>
    <n v="4.9000000000000004"/>
    <x v="0"/>
    <x v="4"/>
    <x v="0"/>
    <x v="0"/>
  </r>
  <r>
    <x v="499"/>
    <x v="9"/>
    <n v="117"/>
    <x v="3"/>
    <x v="135"/>
    <n v="40"/>
    <n v="4"/>
    <x v="0"/>
    <x v="4"/>
    <x v="0"/>
    <x v="2"/>
  </r>
  <r>
    <x v="500"/>
    <x v="13"/>
    <n v="110"/>
    <x v="2"/>
    <x v="136"/>
    <n v="82"/>
    <n v="4"/>
    <x v="0"/>
    <x v="5"/>
    <x v="0"/>
    <x v="2"/>
  </r>
  <r>
    <x v="501"/>
    <x v="8"/>
    <n v="103"/>
    <x v="0"/>
    <x v="136"/>
    <n v="62"/>
    <n v="3.4"/>
    <x v="0"/>
    <x v="5"/>
    <x v="0"/>
    <x v="1"/>
  </r>
  <r>
    <x v="502"/>
    <x v="3"/>
    <n v="45"/>
    <x v="0"/>
    <x v="136"/>
    <n v="135"/>
    <n v="3.9"/>
    <x v="0"/>
    <x v="5"/>
    <x v="2"/>
    <x v="2"/>
  </r>
  <r>
    <x v="503"/>
    <x v="13"/>
    <n v="110"/>
    <x v="1"/>
    <x v="136"/>
    <n v="155"/>
    <n v="2.1"/>
    <x v="0"/>
    <x v="5"/>
    <x v="0"/>
    <x v="3"/>
  </r>
  <r>
    <x v="504"/>
    <x v="6"/>
    <n v="43"/>
    <x v="2"/>
    <x v="136"/>
    <n v="37"/>
    <n v="4.9000000000000004"/>
    <x v="0"/>
    <x v="5"/>
    <x v="2"/>
    <x v="0"/>
  </r>
  <r>
    <x v="505"/>
    <x v="13"/>
    <n v="104"/>
    <x v="3"/>
    <x v="137"/>
    <n v="56"/>
    <n v="3.4"/>
    <x v="0"/>
    <x v="6"/>
    <x v="0"/>
    <x v="1"/>
  </r>
  <r>
    <x v="506"/>
    <x v="13"/>
    <n v="101"/>
    <x v="3"/>
    <x v="137"/>
    <n v="185"/>
    <n v="5"/>
    <x v="0"/>
    <x v="6"/>
    <x v="0"/>
    <x v="0"/>
  </r>
  <r>
    <x v="507"/>
    <x v="0"/>
    <n v="55"/>
    <x v="2"/>
    <x v="138"/>
    <n v="145"/>
    <n v="4.5"/>
    <x v="0"/>
    <x v="0"/>
    <x v="2"/>
    <x v="0"/>
  </r>
  <r>
    <x v="508"/>
    <x v="7"/>
    <n v="40"/>
    <x v="0"/>
    <x v="138"/>
    <n v="116"/>
    <n v="2.6"/>
    <x v="0"/>
    <x v="0"/>
    <x v="2"/>
    <x v="1"/>
  </r>
  <r>
    <x v="509"/>
    <x v="6"/>
    <n v="122"/>
    <x v="4"/>
    <x v="138"/>
    <n v="45"/>
    <n v="4.2"/>
    <x v="0"/>
    <x v="0"/>
    <x v="1"/>
    <x v="2"/>
  </r>
  <r>
    <x v="510"/>
    <x v="4"/>
    <n v="98"/>
    <x v="3"/>
    <x v="139"/>
    <n v="35"/>
    <n v="4.5"/>
    <x v="0"/>
    <x v="1"/>
    <x v="0"/>
    <x v="0"/>
  </r>
  <r>
    <x v="511"/>
    <x v="9"/>
    <n v="110"/>
    <x v="0"/>
    <x v="139"/>
    <n v="100"/>
    <n v="4.4000000000000004"/>
    <x v="0"/>
    <x v="1"/>
    <x v="0"/>
    <x v="2"/>
  </r>
  <r>
    <x v="512"/>
    <x v="9"/>
    <n v="62"/>
    <x v="2"/>
    <x v="140"/>
    <n v="125"/>
    <n v="3.5"/>
    <x v="0"/>
    <x v="2"/>
    <x v="0"/>
    <x v="2"/>
  </r>
  <r>
    <x v="513"/>
    <x v="6"/>
    <n v="134"/>
    <x v="4"/>
    <x v="140"/>
    <n v="120"/>
    <n v="3"/>
    <x v="0"/>
    <x v="2"/>
    <x v="1"/>
    <x v="1"/>
  </r>
  <r>
    <x v="514"/>
    <x v="11"/>
    <n v="94"/>
    <x v="1"/>
    <x v="140"/>
    <n v="180"/>
    <n v="4.7"/>
    <x v="0"/>
    <x v="2"/>
    <x v="0"/>
    <x v="0"/>
  </r>
  <r>
    <x v="515"/>
    <x v="5"/>
    <n v="63"/>
    <x v="0"/>
    <x v="140"/>
    <n v="44"/>
    <n v="3"/>
    <x v="0"/>
    <x v="2"/>
    <x v="0"/>
    <x v="1"/>
  </r>
  <r>
    <x v="516"/>
    <x v="10"/>
    <n v="95"/>
    <x v="4"/>
    <x v="140"/>
    <n v="86"/>
    <n v="3.6"/>
    <x v="0"/>
    <x v="2"/>
    <x v="0"/>
    <x v="2"/>
  </r>
  <r>
    <x v="517"/>
    <x v="6"/>
    <n v="106"/>
    <x v="4"/>
    <x v="141"/>
    <n v="120"/>
    <n v="4.0999999999999996"/>
    <x v="0"/>
    <x v="3"/>
    <x v="0"/>
    <x v="2"/>
  </r>
  <r>
    <x v="518"/>
    <x v="3"/>
    <n v="94"/>
    <x v="1"/>
    <x v="141"/>
    <n v="100"/>
    <n v="3.7"/>
    <x v="0"/>
    <x v="3"/>
    <x v="0"/>
    <x v="2"/>
  </r>
  <r>
    <x v="519"/>
    <x v="3"/>
    <n v="51"/>
    <x v="1"/>
    <x v="142"/>
    <n v="108"/>
    <n v="4.5"/>
    <x v="0"/>
    <x v="4"/>
    <x v="2"/>
    <x v="0"/>
  </r>
  <r>
    <x v="520"/>
    <x v="14"/>
    <n v="39"/>
    <x v="1"/>
    <x v="142"/>
    <n v="46"/>
    <n v="4.5999999999999996"/>
    <x v="0"/>
    <x v="4"/>
    <x v="2"/>
    <x v="0"/>
  </r>
  <r>
    <x v="521"/>
    <x v="7"/>
    <n v="111"/>
    <x v="4"/>
    <x v="142"/>
    <n v="210"/>
    <n v="4.3"/>
    <x v="0"/>
    <x v="4"/>
    <x v="0"/>
    <x v="2"/>
  </r>
  <r>
    <x v="522"/>
    <x v="12"/>
    <n v="141"/>
    <x v="2"/>
    <x v="143"/>
    <n v="54"/>
    <n v="4.8"/>
    <x v="0"/>
    <x v="6"/>
    <x v="1"/>
    <x v="0"/>
  </r>
  <r>
    <x v="523"/>
    <x v="5"/>
    <n v="147"/>
    <x v="4"/>
    <x v="143"/>
    <n v="115"/>
    <n v="4.7"/>
    <x v="0"/>
    <x v="6"/>
    <x v="1"/>
    <x v="0"/>
  </r>
  <r>
    <x v="524"/>
    <x v="11"/>
    <n v="49"/>
    <x v="1"/>
    <x v="144"/>
    <n v="100"/>
    <n v="2.2000000000000002"/>
    <x v="0"/>
    <x v="0"/>
    <x v="2"/>
    <x v="3"/>
  </r>
  <r>
    <x v="525"/>
    <x v="2"/>
    <n v="75"/>
    <x v="4"/>
    <x v="144"/>
    <n v="38"/>
    <n v="4.4000000000000004"/>
    <x v="0"/>
    <x v="0"/>
    <x v="0"/>
    <x v="2"/>
  </r>
  <r>
    <x v="526"/>
    <x v="12"/>
    <n v="48"/>
    <x v="2"/>
    <x v="145"/>
    <n v="120"/>
    <n v="4.0999999999999996"/>
    <x v="0"/>
    <x v="1"/>
    <x v="2"/>
    <x v="2"/>
  </r>
  <r>
    <x v="527"/>
    <x v="9"/>
    <n v="48"/>
    <x v="2"/>
    <x v="145"/>
    <n v="120"/>
    <n v="4.0999999999999996"/>
    <x v="0"/>
    <x v="1"/>
    <x v="2"/>
    <x v="2"/>
  </r>
  <r>
    <x v="528"/>
    <x v="1"/>
    <n v="138"/>
    <x v="1"/>
    <x v="145"/>
    <n v="29"/>
    <n v="4.4000000000000004"/>
    <x v="0"/>
    <x v="1"/>
    <x v="1"/>
    <x v="2"/>
  </r>
  <r>
    <x v="529"/>
    <x v="10"/>
    <n v="144"/>
    <x v="1"/>
    <x v="146"/>
    <n v="25"/>
    <n v="3.7"/>
    <x v="0"/>
    <x v="2"/>
    <x v="1"/>
    <x v="2"/>
  </r>
  <r>
    <x v="530"/>
    <x v="13"/>
    <n v="119"/>
    <x v="4"/>
    <x v="147"/>
    <n v="116"/>
    <n v="3.8"/>
    <x v="0"/>
    <x v="3"/>
    <x v="0"/>
    <x v="2"/>
  </r>
  <r>
    <x v="531"/>
    <x v="1"/>
    <n v="101"/>
    <x v="2"/>
    <x v="148"/>
    <n v="132"/>
    <n v="4.3"/>
    <x v="0"/>
    <x v="4"/>
    <x v="0"/>
    <x v="2"/>
  </r>
  <r>
    <x v="532"/>
    <x v="10"/>
    <n v="59"/>
    <x v="4"/>
    <x v="149"/>
    <n v="90"/>
    <n v="3.5"/>
    <x v="0"/>
    <x v="5"/>
    <x v="2"/>
    <x v="2"/>
  </r>
  <r>
    <x v="533"/>
    <x v="7"/>
    <n v="125"/>
    <x v="0"/>
    <x v="149"/>
    <n v="87"/>
    <n v="4.0999999999999996"/>
    <x v="0"/>
    <x v="5"/>
    <x v="1"/>
    <x v="2"/>
  </r>
  <r>
    <x v="534"/>
    <x v="6"/>
    <n v="147"/>
    <x v="4"/>
    <x v="149"/>
    <n v="140"/>
    <n v="4.2"/>
    <x v="0"/>
    <x v="5"/>
    <x v="1"/>
    <x v="2"/>
  </r>
  <r>
    <x v="535"/>
    <x v="8"/>
    <n v="76"/>
    <x v="4"/>
    <x v="149"/>
    <n v="164"/>
    <n v="4.5"/>
    <x v="0"/>
    <x v="5"/>
    <x v="0"/>
    <x v="0"/>
  </r>
  <r>
    <x v="536"/>
    <x v="5"/>
    <n v="99"/>
    <x v="2"/>
    <x v="150"/>
    <n v="180"/>
    <n v="3.8"/>
    <x v="0"/>
    <x v="6"/>
    <x v="0"/>
    <x v="2"/>
  </r>
  <r>
    <x v="537"/>
    <x v="14"/>
    <n v="111"/>
    <x v="3"/>
    <x v="151"/>
    <n v="22"/>
    <n v="4.0999999999999996"/>
    <x v="0"/>
    <x v="0"/>
    <x v="0"/>
    <x v="2"/>
  </r>
  <r>
    <x v="538"/>
    <x v="4"/>
    <n v="147"/>
    <x v="0"/>
    <x v="151"/>
    <n v="82"/>
    <n v="4.4000000000000004"/>
    <x v="0"/>
    <x v="0"/>
    <x v="1"/>
    <x v="2"/>
  </r>
  <r>
    <x v="539"/>
    <x v="0"/>
    <n v="141"/>
    <x v="2"/>
    <x v="151"/>
    <n v="100"/>
    <n v="4.5999999999999996"/>
    <x v="0"/>
    <x v="0"/>
    <x v="1"/>
    <x v="0"/>
  </r>
  <r>
    <x v="540"/>
    <x v="8"/>
    <n v="71"/>
    <x v="4"/>
    <x v="152"/>
    <n v="52"/>
    <n v="3.4"/>
    <x v="0"/>
    <x v="1"/>
    <x v="0"/>
    <x v="1"/>
  </r>
  <r>
    <x v="541"/>
    <x v="8"/>
    <n v="121"/>
    <x v="0"/>
    <x v="153"/>
    <n v="84"/>
    <n v="4.5999999999999996"/>
    <x v="0"/>
    <x v="2"/>
    <x v="1"/>
    <x v="0"/>
  </r>
  <r>
    <x v="542"/>
    <x v="8"/>
    <n v="60"/>
    <x v="0"/>
    <x v="153"/>
    <n v="37"/>
    <n v="3.9"/>
    <x v="0"/>
    <x v="2"/>
    <x v="2"/>
    <x v="2"/>
  </r>
  <r>
    <x v="543"/>
    <x v="11"/>
    <n v="158"/>
    <x v="2"/>
    <x v="154"/>
    <n v="190"/>
    <n v="4"/>
    <x v="0"/>
    <x v="3"/>
    <x v="1"/>
    <x v="2"/>
  </r>
  <r>
    <x v="544"/>
    <x v="6"/>
    <n v="159"/>
    <x v="1"/>
    <x v="154"/>
    <n v="66"/>
    <n v="3.4"/>
    <x v="0"/>
    <x v="3"/>
    <x v="1"/>
    <x v="1"/>
  </r>
  <r>
    <x v="545"/>
    <x v="1"/>
    <n v="70"/>
    <x v="4"/>
    <x v="155"/>
    <n v="116"/>
    <n v="3.2"/>
    <x v="0"/>
    <x v="4"/>
    <x v="0"/>
    <x v="1"/>
  </r>
  <r>
    <x v="546"/>
    <x v="12"/>
    <n v="78"/>
    <x v="3"/>
    <x v="155"/>
    <n v="28"/>
    <n v="3.9"/>
    <x v="0"/>
    <x v="4"/>
    <x v="0"/>
    <x v="2"/>
  </r>
  <r>
    <x v="547"/>
    <x v="4"/>
    <n v="103"/>
    <x v="4"/>
    <x v="155"/>
    <n v="120"/>
    <n v="5"/>
    <x v="0"/>
    <x v="4"/>
    <x v="0"/>
    <x v="0"/>
  </r>
  <r>
    <x v="548"/>
    <x v="2"/>
    <n v="108"/>
    <x v="2"/>
    <x v="155"/>
    <n v="56"/>
    <n v="3.5"/>
    <x v="0"/>
    <x v="4"/>
    <x v="0"/>
    <x v="2"/>
  </r>
  <r>
    <x v="549"/>
    <x v="2"/>
    <n v="44"/>
    <x v="0"/>
    <x v="155"/>
    <n v="170"/>
    <n v="3.8"/>
    <x v="0"/>
    <x v="4"/>
    <x v="2"/>
    <x v="2"/>
  </r>
  <r>
    <x v="550"/>
    <x v="12"/>
    <n v="127"/>
    <x v="2"/>
    <x v="156"/>
    <n v="200"/>
    <n v="4.8"/>
    <x v="0"/>
    <x v="5"/>
    <x v="1"/>
    <x v="0"/>
  </r>
  <r>
    <x v="551"/>
    <x v="4"/>
    <n v="132"/>
    <x v="4"/>
    <x v="157"/>
    <n v="50"/>
    <n v="4.2"/>
    <x v="0"/>
    <x v="6"/>
    <x v="1"/>
    <x v="2"/>
  </r>
  <r>
    <x v="552"/>
    <x v="0"/>
    <n v="106"/>
    <x v="3"/>
    <x v="157"/>
    <n v="112"/>
    <n v="3.7"/>
    <x v="0"/>
    <x v="6"/>
    <x v="0"/>
    <x v="2"/>
  </r>
  <r>
    <x v="553"/>
    <x v="14"/>
    <n v="107"/>
    <x v="4"/>
    <x v="158"/>
    <n v="39"/>
    <n v="4.8"/>
    <x v="0"/>
    <x v="0"/>
    <x v="0"/>
    <x v="0"/>
  </r>
  <r>
    <x v="554"/>
    <x v="6"/>
    <n v="85"/>
    <x v="3"/>
    <x v="158"/>
    <n v="38"/>
    <n v="4.8"/>
    <x v="0"/>
    <x v="0"/>
    <x v="0"/>
    <x v="0"/>
  </r>
  <r>
    <x v="555"/>
    <x v="5"/>
    <n v="49"/>
    <x v="4"/>
    <x v="159"/>
    <n v="84"/>
    <n v="2.9"/>
    <x v="0"/>
    <x v="1"/>
    <x v="2"/>
    <x v="1"/>
  </r>
  <r>
    <x v="556"/>
    <x v="8"/>
    <n v="117"/>
    <x v="2"/>
    <x v="160"/>
    <n v="82"/>
    <n v="3.5"/>
    <x v="0"/>
    <x v="2"/>
    <x v="0"/>
    <x v="2"/>
  </r>
  <r>
    <x v="557"/>
    <x v="14"/>
    <n v="136"/>
    <x v="3"/>
    <x v="160"/>
    <n v="37"/>
    <n v="0.9"/>
    <x v="0"/>
    <x v="2"/>
    <x v="1"/>
    <x v="5"/>
  </r>
  <r>
    <x v="558"/>
    <x v="2"/>
    <n v="130"/>
    <x v="1"/>
    <x v="161"/>
    <n v="87"/>
    <n v="3.4"/>
    <x v="0"/>
    <x v="3"/>
    <x v="1"/>
    <x v="1"/>
  </r>
  <r>
    <x v="559"/>
    <x v="2"/>
    <n v="73"/>
    <x v="1"/>
    <x v="161"/>
    <n v="75"/>
    <n v="2.7"/>
    <x v="0"/>
    <x v="3"/>
    <x v="0"/>
    <x v="1"/>
  </r>
  <r>
    <x v="560"/>
    <x v="5"/>
    <n v="80"/>
    <x v="4"/>
    <x v="161"/>
    <n v="32"/>
    <n v="4.7"/>
    <x v="0"/>
    <x v="3"/>
    <x v="0"/>
    <x v="0"/>
  </r>
  <r>
    <x v="561"/>
    <x v="13"/>
    <n v="44"/>
    <x v="2"/>
    <x v="161"/>
    <n v="33"/>
    <n v="3"/>
    <x v="0"/>
    <x v="3"/>
    <x v="2"/>
    <x v="1"/>
  </r>
  <r>
    <x v="562"/>
    <x v="13"/>
    <n v="102"/>
    <x v="0"/>
    <x v="161"/>
    <n v="76"/>
    <n v="4.2"/>
    <x v="0"/>
    <x v="3"/>
    <x v="0"/>
    <x v="2"/>
  </r>
  <r>
    <x v="563"/>
    <x v="11"/>
    <n v="74"/>
    <x v="0"/>
    <x v="161"/>
    <n v="117"/>
    <n v="4.8"/>
    <x v="0"/>
    <x v="3"/>
    <x v="0"/>
    <x v="0"/>
  </r>
  <r>
    <x v="564"/>
    <x v="5"/>
    <n v="52"/>
    <x v="2"/>
    <x v="162"/>
    <n v="70"/>
    <n v="4.0999999999999996"/>
    <x v="0"/>
    <x v="5"/>
    <x v="2"/>
    <x v="2"/>
  </r>
  <r>
    <x v="565"/>
    <x v="5"/>
    <n v="74"/>
    <x v="1"/>
    <x v="162"/>
    <n v="37"/>
    <n v="2.7"/>
    <x v="0"/>
    <x v="5"/>
    <x v="0"/>
    <x v="1"/>
  </r>
  <r>
    <x v="566"/>
    <x v="2"/>
    <n v="96"/>
    <x v="0"/>
    <x v="162"/>
    <n v="46"/>
    <n v="2.9"/>
    <x v="0"/>
    <x v="5"/>
    <x v="0"/>
    <x v="1"/>
  </r>
  <r>
    <x v="567"/>
    <x v="7"/>
    <n v="104"/>
    <x v="4"/>
    <x v="162"/>
    <n v="136"/>
    <n v="5"/>
    <x v="0"/>
    <x v="5"/>
    <x v="0"/>
    <x v="0"/>
  </r>
  <r>
    <x v="568"/>
    <x v="2"/>
    <n v="123"/>
    <x v="0"/>
    <x v="163"/>
    <n v="44"/>
    <n v="4.5999999999999996"/>
    <x v="0"/>
    <x v="6"/>
    <x v="1"/>
    <x v="0"/>
  </r>
  <r>
    <x v="569"/>
    <x v="9"/>
    <n v="100"/>
    <x v="3"/>
    <x v="163"/>
    <n v="69"/>
    <n v="3"/>
    <x v="0"/>
    <x v="6"/>
    <x v="0"/>
    <x v="1"/>
  </r>
  <r>
    <x v="570"/>
    <x v="7"/>
    <n v="35"/>
    <x v="2"/>
    <x v="164"/>
    <n v="86"/>
    <n v="4.5999999999999996"/>
    <x v="0"/>
    <x v="0"/>
    <x v="2"/>
    <x v="0"/>
  </r>
  <r>
    <x v="571"/>
    <x v="5"/>
    <n v="123"/>
    <x v="4"/>
    <x v="164"/>
    <n v="68"/>
    <n v="4.5"/>
    <x v="0"/>
    <x v="0"/>
    <x v="1"/>
    <x v="0"/>
  </r>
  <r>
    <x v="572"/>
    <x v="8"/>
    <n v="133"/>
    <x v="2"/>
    <x v="165"/>
    <n v="21"/>
    <n v="3.7"/>
    <x v="0"/>
    <x v="1"/>
    <x v="1"/>
    <x v="2"/>
  </r>
  <r>
    <x v="573"/>
    <x v="2"/>
    <n v="126"/>
    <x v="1"/>
    <x v="165"/>
    <n v="190"/>
    <n v="2.4"/>
    <x v="0"/>
    <x v="1"/>
    <x v="1"/>
    <x v="3"/>
  </r>
  <r>
    <x v="574"/>
    <x v="5"/>
    <n v="39"/>
    <x v="0"/>
    <x v="165"/>
    <n v="176"/>
    <n v="4.3"/>
    <x v="0"/>
    <x v="1"/>
    <x v="2"/>
    <x v="2"/>
  </r>
  <r>
    <x v="575"/>
    <x v="11"/>
    <n v="31"/>
    <x v="4"/>
    <x v="165"/>
    <n v="172"/>
    <n v="3.9"/>
    <x v="0"/>
    <x v="1"/>
    <x v="2"/>
    <x v="2"/>
  </r>
  <r>
    <x v="576"/>
    <x v="4"/>
    <n v="25"/>
    <x v="2"/>
    <x v="165"/>
    <n v="84"/>
    <n v="4.5"/>
    <x v="0"/>
    <x v="1"/>
    <x v="3"/>
    <x v="0"/>
  </r>
  <r>
    <x v="577"/>
    <x v="1"/>
    <n v="132"/>
    <x v="3"/>
    <x v="166"/>
    <n v="42"/>
    <n v="5"/>
    <x v="0"/>
    <x v="2"/>
    <x v="1"/>
    <x v="0"/>
  </r>
  <r>
    <x v="578"/>
    <x v="7"/>
    <n v="63"/>
    <x v="1"/>
    <x v="166"/>
    <n v="70"/>
    <n v="1.6"/>
    <x v="0"/>
    <x v="2"/>
    <x v="0"/>
    <x v="3"/>
  </r>
  <r>
    <x v="579"/>
    <x v="9"/>
    <n v="135"/>
    <x v="3"/>
    <x v="166"/>
    <n v="60"/>
    <n v="4.3"/>
    <x v="0"/>
    <x v="2"/>
    <x v="1"/>
    <x v="2"/>
  </r>
  <r>
    <x v="580"/>
    <x v="6"/>
    <n v="101"/>
    <x v="1"/>
    <x v="166"/>
    <n v="84"/>
    <n v="3.5"/>
    <x v="0"/>
    <x v="2"/>
    <x v="0"/>
    <x v="2"/>
  </r>
  <r>
    <x v="581"/>
    <x v="8"/>
    <n v="80"/>
    <x v="0"/>
    <x v="167"/>
    <n v="68"/>
    <n v="3.1"/>
    <x v="0"/>
    <x v="3"/>
    <x v="0"/>
    <x v="1"/>
  </r>
  <r>
    <x v="582"/>
    <x v="13"/>
    <n v="28"/>
    <x v="0"/>
    <x v="167"/>
    <n v="44"/>
    <n v="2.9"/>
    <x v="0"/>
    <x v="3"/>
    <x v="3"/>
    <x v="1"/>
  </r>
  <r>
    <x v="583"/>
    <x v="6"/>
    <n v="102"/>
    <x v="3"/>
    <x v="168"/>
    <n v="99"/>
    <n v="3.2"/>
    <x v="0"/>
    <x v="4"/>
    <x v="0"/>
    <x v="1"/>
  </r>
  <r>
    <x v="584"/>
    <x v="7"/>
    <n v="60"/>
    <x v="3"/>
    <x v="169"/>
    <n v="66"/>
    <n v="3.2"/>
    <x v="0"/>
    <x v="5"/>
    <x v="2"/>
    <x v="1"/>
  </r>
  <r>
    <x v="585"/>
    <x v="3"/>
    <n v="103"/>
    <x v="3"/>
    <x v="169"/>
    <n v="102"/>
    <n v="4.5"/>
    <x v="0"/>
    <x v="5"/>
    <x v="0"/>
    <x v="0"/>
  </r>
  <r>
    <x v="586"/>
    <x v="8"/>
    <n v="90"/>
    <x v="0"/>
    <x v="170"/>
    <n v="129"/>
    <n v="3.9"/>
    <x v="1"/>
    <x v="6"/>
    <x v="0"/>
    <x v="2"/>
  </r>
  <r>
    <x v="587"/>
    <x v="12"/>
    <n v="88"/>
    <x v="3"/>
    <x v="170"/>
    <n v="80"/>
    <n v="4.2"/>
    <x v="1"/>
    <x v="6"/>
    <x v="0"/>
    <x v="2"/>
  </r>
  <r>
    <x v="588"/>
    <x v="3"/>
    <n v="37"/>
    <x v="3"/>
    <x v="170"/>
    <n v="54"/>
    <n v="1.8"/>
    <x v="1"/>
    <x v="6"/>
    <x v="2"/>
    <x v="3"/>
  </r>
  <r>
    <x v="589"/>
    <x v="13"/>
    <n v="142"/>
    <x v="0"/>
    <x v="170"/>
    <n v="116"/>
    <n v="4.2"/>
    <x v="1"/>
    <x v="6"/>
    <x v="1"/>
    <x v="2"/>
  </r>
  <r>
    <x v="590"/>
    <x v="13"/>
    <n v="153"/>
    <x v="2"/>
    <x v="170"/>
    <n v="102"/>
    <n v="3.1"/>
    <x v="1"/>
    <x v="6"/>
    <x v="1"/>
    <x v="1"/>
  </r>
  <r>
    <x v="591"/>
    <x v="10"/>
    <n v="128"/>
    <x v="1"/>
    <x v="170"/>
    <n v="140"/>
    <n v="4.3"/>
    <x v="1"/>
    <x v="6"/>
    <x v="1"/>
    <x v="2"/>
  </r>
  <r>
    <x v="592"/>
    <x v="7"/>
    <n v="110"/>
    <x v="1"/>
    <x v="171"/>
    <n v="104"/>
    <n v="4.4000000000000004"/>
    <x v="1"/>
    <x v="0"/>
    <x v="0"/>
    <x v="2"/>
  </r>
  <r>
    <x v="593"/>
    <x v="10"/>
    <n v="139"/>
    <x v="3"/>
    <x v="171"/>
    <n v="81"/>
    <n v="4.4000000000000004"/>
    <x v="1"/>
    <x v="0"/>
    <x v="1"/>
    <x v="2"/>
  </r>
  <r>
    <x v="594"/>
    <x v="6"/>
    <n v="109"/>
    <x v="4"/>
    <x v="172"/>
    <n v="140"/>
    <n v="2.4"/>
    <x v="1"/>
    <x v="2"/>
    <x v="0"/>
    <x v="3"/>
  </r>
  <r>
    <x v="595"/>
    <x v="1"/>
    <n v="57"/>
    <x v="0"/>
    <x v="173"/>
    <n v="120"/>
    <n v="3.5"/>
    <x v="1"/>
    <x v="3"/>
    <x v="2"/>
    <x v="2"/>
  </r>
  <r>
    <x v="596"/>
    <x v="6"/>
    <n v="68"/>
    <x v="3"/>
    <x v="173"/>
    <n v="41"/>
    <n v="3.1"/>
    <x v="1"/>
    <x v="3"/>
    <x v="0"/>
    <x v="1"/>
  </r>
  <r>
    <x v="597"/>
    <x v="4"/>
    <n v="128"/>
    <x v="3"/>
    <x v="173"/>
    <n v="116"/>
    <n v="2.2999999999999998"/>
    <x v="1"/>
    <x v="3"/>
    <x v="1"/>
    <x v="3"/>
  </r>
  <r>
    <x v="598"/>
    <x v="0"/>
    <n v="102"/>
    <x v="0"/>
    <x v="174"/>
    <n v="70"/>
    <n v="2.8"/>
    <x v="1"/>
    <x v="4"/>
    <x v="0"/>
    <x v="1"/>
  </r>
  <r>
    <x v="599"/>
    <x v="10"/>
    <n v="52"/>
    <x v="2"/>
    <x v="174"/>
    <n v="42"/>
    <n v="4.5"/>
    <x v="1"/>
    <x v="4"/>
    <x v="2"/>
    <x v="0"/>
  </r>
  <r>
    <x v="600"/>
    <x v="4"/>
    <n v="55"/>
    <x v="1"/>
    <x v="175"/>
    <n v="112"/>
    <n v="4.5"/>
    <x v="1"/>
    <x v="5"/>
    <x v="2"/>
    <x v="0"/>
  </r>
  <r>
    <x v="601"/>
    <x v="3"/>
    <n v="107"/>
    <x v="3"/>
    <x v="175"/>
    <n v="20"/>
    <n v="4.5"/>
    <x v="1"/>
    <x v="5"/>
    <x v="0"/>
    <x v="0"/>
  </r>
  <r>
    <x v="602"/>
    <x v="8"/>
    <n v="88"/>
    <x v="2"/>
    <x v="176"/>
    <n v="110"/>
    <n v="4.8"/>
    <x v="1"/>
    <x v="6"/>
    <x v="0"/>
    <x v="0"/>
  </r>
  <r>
    <x v="603"/>
    <x v="5"/>
    <n v="49"/>
    <x v="2"/>
    <x v="176"/>
    <n v="39"/>
    <n v="4.5999999999999996"/>
    <x v="1"/>
    <x v="6"/>
    <x v="2"/>
    <x v="0"/>
  </r>
  <r>
    <x v="604"/>
    <x v="8"/>
    <n v="72"/>
    <x v="0"/>
    <x v="176"/>
    <n v="76"/>
    <n v="4.5"/>
    <x v="1"/>
    <x v="6"/>
    <x v="0"/>
    <x v="0"/>
  </r>
  <r>
    <x v="605"/>
    <x v="1"/>
    <n v="50"/>
    <x v="0"/>
    <x v="176"/>
    <n v="40"/>
    <n v="5"/>
    <x v="1"/>
    <x v="6"/>
    <x v="2"/>
    <x v="0"/>
  </r>
  <r>
    <x v="606"/>
    <x v="8"/>
    <n v="52"/>
    <x v="3"/>
    <x v="176"/>
    <n v="42"/>
    <n v="4.8"/>
    <x v="1"/>
    <x v="6"/>
    <x v="2"/>
    <x v="0"/>
  </r>
  <r>
    <x v="607"/>
    <x v="2"/>
    <n v="85"/>
    <x v="4"/>
    <x v="177"/>
    <n v="215"/>
    <n v="3.5"/>
    <x v="1"/>
    <x v="0"/>
    <x v="0"/>
    <x v="2"/>
  </r>
  <r>
    <x v="608"/>
    <x v="9"/>
    <n v="98"/>
    <x v="4"/>
    <x v="178"/>
    <n v="130"/>
    <n v="3.4"/>
    <x v="1"/>
    <x v="1"/>
    <x v="0"/>
    <x v="1"/>
  </r>
  <r>
    <x v="609"/>
    <x v="11"/>
    <n v="52"/>
    <x v="4"/>
    <x v="178"/>
    <n v="190"/>
    <n v="3.3"/>
    <x v="1"/>
    <x v="1"/>
    <x v="2"/>
    <x v="1"/>
  </r>
  <r>
    <x v="610"/>
    <x v="4"/>
    <n v="154"/>
    <x v="2"/>
    <x v="178"/>
    <n v="164"/>
    <n v="4.9000000000000004"/>
    <x v="1"/>
    <x v="1"/>
    <x v="1"/>
    <x v="0"/>
  </r>
  <r>
    <x v="611"/>
    <x v="14"/>
    <n v="131"/>
    <x v="1"/>
    <x v="179"/>
    <n v="76"/>
    <n v="4.5"/>
    <x v="1"/>
    <x v="2"/>
    <x v="1"/>
    <x v="0"/>
  </r>
  <r>
    <x v="612"/>
    <x v="2"/>
    <n v="73"/>
    <x v="1"/>
    <x v="180"/>
    <n v="87"/>
    <n v="4.8"/>
    <x v="1"/>
    <x v="3"/>
    <x v="0"/>
    <x v="0"/>
  </r>
  <r>
    <x v="613"/>
    <x v="7"/>
    <n v="45"/>
    <x v="4"/>
    <x v="180"/>
    <n v="84"/>
    <n v="4.8"/>
    <x v="1"/>
    <x v="3"/>
    <x v="2"/>
    <x v="0"/>
  </r>
  <r>
    <x v="614"/>
    <x v="10"/>
    <n v="114"/>
    <x v="3"/>
    <x v="180"/>
    <n v="114"/>
    <n v="3.9"/>
    <x v="1"/>
    <x v="3"/>
    <x v="0"/>
    <x v="2"/>
  </r>
  <r>
    <x v="615"/>
    <x v="9"/>
    <n v="69"/>
    <x v="1"/>
    <x v="181"/>
    <n v="56"/>
    <n v="3.9"/>
    <x v="1"/>
    <x v="4"/>
    <x v="0"/>
    <x v="2"/>
  </r>
  <r>
    <x v="616"/>
    <x v="14"/>
    <n v="33"/>
    <x v="2"/>
    <x v="181"/>
    <n v="27"/>
    <n v="3.7"/>
    <x v="1"/>
    <x v="4"/>
    <x v="2"/>
    <x v="2"/>
  </r>
  <r>
    <x v="617"/>
    <x v="1"/>
    <n v="31"/>
    <x v="0"/>
    <x v="182"/>
    <n v="84"/>
    <n v="4.8"/>
    <x v="1"/>
    <x v="5"/>
    <x v="2"/>
    <x v="0"/>
  </r>
  <r>
    <x v="618"/>
    <x v="7"/>
    <n v="168"/>
    <x v="2"/>
    <x v="182"/>
    <n v="72"/>
    <n v="3.5"/>
    <x v="1"/>
    <x v="5"/>
    <x v="1"/>
    <x v="2"/>
  </r>
  <r>
    <x v="619"/>
    <x v="2"/>
    <n v="111"/>
    <x v="3"/>
    <x v="183"/>
    <n v="126"/>
    <n v="4.2"/>
    <x v="1"/>
    <x v="6"/>
    <x v="0"/>
    <x v="2"/>
  </r>
  <r>
    <x v="620"/>
    <x v="1"/>
    <n v="80"/>
    <x v="2"/>
    <x v="184"/>
    <n v="88"/>
    <n v="4.9000000000000004"/>
    <x v="1"/>
    <x v="0"/>
    <x v="0"/>
    <x v="0"/>
  </r>
  <r>
    <x v="621"/>
    <x v="0"/>
    <n v="37"/>
    <x v="2"/>
    <x v="184"/>
    <n v="124"/>
    <n v="4.5999999999999996"/>
    <x v="1"/>
    <x v="0"/>
    <x v="2"/>
    <x v="0"/>
  </r>
  <r>
    <x v="622"/>
    <x v="13"/>
    <n v="137"/>
    <x v="2"/>
    <x v="185"/>
    <n v="84"/>
    <n v="2.6"/>
    <x v="1"/>
    <x v="1"/>
    <x v="1"/>
    <x v="1"/>
  </r>
  <r>
    <x v="623"/>
    <x v="9"/>
    <n v="123"/>
    <x v="3"/>
    <x v="185"/>
    <n v="80"/>
    <n v="2.7"/>
    <x v="1"/>
    <x v="1"/>
    <x v="1"/>
    <x v="1"/>
  </r>
  <r>
    <x v="624"/>
    <x v="12"/>
    <n v="105"/>
    <x v="3"/>
    <x v="186"/>
    <n v="176"/>
    <n v="4.7"/>
    <x v="1"/>
    <x v="2"/>
    <x v="0"/>
    <x v="0"/>
  </r>
  <r>
    <x v="625"/>
    <x v="0"/>
    <n v="76"/>
    <x v="4"/>
    <x v="187"/>
    <n v="84"/>
    <n v="3.9"/>
    <x v="1"/>
    <x v="3"/>
    <x v="0"/>
    <x v="2"/>
  </r>
  <r>
    <x v="626"/>
    <x v="1"/>
    <n v="144"/>
    <x v="4"/>
    <x v="187"/>
    <n v="164"/>
    <n v="2.8"/>
    <x v="1"/>
    <x v="3"/>
    <x v="1"/>
    <x v="1"/>
  </r>
  <r>
    <x v="627"/>
    <x v="14"/>
    <n v="109"/>
    <x v="0"/>
    <x v="187"/>
    <n v="132"/>
    <n v="3.1"/>
    <x v="1"/>
    <x v="3"/>
    <x v="0"/>
    <x v="1"/>
  </r>
  <r>
    <x v="628"/>
    <x v="9"/>
    <n v="172"/>
    <x v="2"/>
    <x v="188"/>
    <n v="27"/>
    <n v="4.2"/>
    <x v="1"/>
    <x v="4"/>
    <x v="1"/>
    <x v="2"/>
  </r>
  <r>
    <x v="629"/>
    <x v="1"/>
    <n v="56"/>
    <x v="3"/>
    <x v="188"/>
    <n v="27"/>
    <n v="4.3"/>
    <x v="1"/>
    <x v="4"/>
    <x v="2"/>
    <x v="2"/>
  </r>
  <r>
    <x v="630"/>
    <x v="1"/>
    <n v="121"/>
    <x v="1"/>
    <x v="188"/>
    <n v="20"/>
    <n v="2.7"/>
    <x v="1"/>
    <x v="4"/>
    <x v="1"/>
    <x v="1"/>
  </r>
  <r>
    <x v="631"/>
    <x v="9"/>
    <n v="41"/>
    <x v="3"/>
    <x v="189"/>
    <n v="112"/>
    <n v="2.2999999999999998"/>
    <x v="1"/>
    <x v="5"/>
    <x v="2"/>
    <x v="3"/>
  </r>
  <r>
    <x v="632"/>
    <x v="3"/>
    <n v="60"/>
    <x v="2"/>
    <x v="189"/>
    <n v="60"/>
    <n v="2.2999999999999998"/>
    <x v="1"/>
    <x v="5"/>
    <x v="2"/>
    <x v="3"/>
  </r>
  <r>
    <x v="633"/>
    <x v="3"/>
    <n v="144"/>
    <x v="2"/>
    <x v="190"/>
    <n v="102"/>
    <n v="2.9"/>
    <x v="1"/>
    <x v="6"/>
    <x v="1"/>
    <x v="1"/>
  </r>
  <r>
    <x v="634"/>
    <x v="4"/>
    <n v="67"/>
    <x v="2"/>
    <x v="190"/>
    <n v="38"/>
    <n v="4.2"/>
    <x v="1"/>
    <x v="6"/>
    <x v="0"/>
    <x v="2"/>
  </r>
  <r>
    <x v="635"/>
    <x v="9"/>
    <n v="162"/>
    <x v="0"/>
    <x v="190"/>
    <n v="82"/>
    <n v="4.5999999999999996"/>
    <x v="1"/>
    <x v="6"/>
    <x v="1"/>
    <x v="0"/>
  </r>
  <r>
    <x v="636"/>
    <x v="3"/>
    <n v="87"/>
    <x v="1"/>
    <x v="191"/>
    <n v="125"/>
    <n v="4.5"/>
    <x v="1"/>
    <x v="2"/>
    <x v="0"/>
    <x v="0"/>
  </r>
  <r>
    <x v="637"/>
    <x v="11"/>
    <n v="10"/>
    <x v="4"/>
    <x v="192"/>
    <n v="72"/>
    <n v="3.7"/>
    <x v="1"/>
    <x v="3"/>
    <x v="4"/>
    <x v="2"/>
  </r>
  <r>
    <x v="638"/>
    <x v="1"/>
    <n v="138"/>
    <x v="4"/>
    <x v="192"/>
    <n v="195"/>
    <n v="4.0999999999999996"/>
    <x v="1"/>
    <x v="3"/>
    <x v="1"/>
    <x v="2"/>
  </r>
  <r>
    <x v="639"/>
    <x v="9"/>
    <n v="31"/>
    <x v="4"/>
    <x v="193"/>
    <n v="160"/>
    <n v="3.4"/>
    <x v="1"/>
    <x v="4"/>
    <x v="2"/>
    <x v="1"/>
  </r>
  <r>
    <x v="640"/>
    <x v="12"/>
    <n v="75"/>
    <x v="0"/>
    <x v="193"/>
    <n v="78"/>
    <n v="3.3"/>
    <x v="1"/>
    <x v="4"/>
    <x v="0"/>
    <x v="1"/>
  </r>
  <r>
    <x v="641"/>
    <x v="0"/>
    <n v="65"/>
    <x v="0"/>
    <x v="194"/>
    <n v="70"/>
    <n v="4.4000000000000004"/>
    <x v="1"/>
    <x v="5"/>
    <x v="0"/>
    <x v="2"/>
  </r>
  <r>
    <x v="642"/>
    <x v="2"/>
    <n v="106"/>
    <x v="3"/>
    <x v="194"/>
    <n v="105"/>
    <n v="4.2"/>
    <x v="1"/>
    <x v="5"/>
    <x v="0"/>
    <x v="2"/>
  </r>
  <r>
    <x v="643"/>
    <x v="0"/>
    <n v="107"/>
    <x v="3"/>
    <x v="195"/>
    <n v="78"/>
    <n v="3.4"/>
    <x v="1"/>
    <x v="6"/>
    <x v="0"/>
    <x v="1"/>
  </r>
  <r>
    <x v="644"/>
    <x v="13"/>
    <n v="78"/>
    <x v="3"/>
    <x v="196"/>
    <n v="205"/>
    <n v="4.4000000000000004"/>
    <x v="1"/>
    <x v="1"/>
    <x v="0"/>
    <x v="2"/>
  </r>
  <r>
    <x v="645"/>
    <x v="8"/>
    <n v="122"/>
    <x v="3"/>
    <x v="196"/>
    <n v="78"/>
    <n v="2.7"/>
    <x v="1"/>
    <x v="1"/>
    <x v="1"/>
    <x v="1"/>
  </r>
  <r>
    <x v="646"/>
    <x v="1"/>
    <n v="58"/>
    <x v="4"/>
    <x v="196"/>
    <n v="38"/>
    <n v="4.5"/>
    <x v="1"/>
    <x v="1"/>
    <x v="2"/>
    <x v="0"/>
  </r>
  <r>
    <x v="647"/>
    <x v="13"/>
    <n v="33"/>
    <x v="2"/>
    <x v="196"/>
    <n v="92"/>
    <n v="1.7"/>
    <x v="1"/>
    <x v="1"/>
    <x v="2"/>
    <x v="3"/>
  </r>
  <r>
    <x v="648"/>
    <x v="14"/>
    <n v="164"/>
    <x v="0"/>
    <x v="196"/>
    <n v="36"/>
    <n v="4.7"/>
    <x v="1"/>
    <x v="1"/>
    <x v="1"/>
    <x v="0"/>
  </r>
  <r>
    <x v="649"/>
    <x v="12"/>
    <n v="163"/>
    <x v="1"/>
    <x v="196"/>
    <n v="76"/>
    <n v="4.4000000000000004"/>
    <x v="1"/>
    <x v="1"/>
    <x v="1"/>
    <x v="2"/>
  </r>
  <r>
    <x v="650"/>
    <x v="5"/>
    <n v="71"/>
    <x v="0"/>
    <x v="197"/>
    <n v="170"/>
    <n v="3.5"/>
    <x v="1"/>
    <x v="3"/>
    <x v="0"/>
    <x v="2"/>
  </r>
  <r>
    <x v="651"/>
    <x v="13"/>
    <n v="103"/>
    <x v="4"/>
    <x v="198"/>
    <n v="117"/>
    <n v="4.7"/>
    <x v="1"/>
    <x v="4"/>
    <x v="0"/>
    <x v="0"/>
  </r>
  <r>
    <x v="652"/>
    <x v="10"/>
    <n v="69"/>
    <x v="1"/>
    <x v="198"/>
    <n v="20"/>
    <n v="4.3"/>
    <x v="1"/>
    <x v="4"/>
    <x v="0"/>
    <x v="2"/>
  </r>
  <r>
    <x v="653"/>
    <x v="12"/>
    <n v="111"/>
    <x v="4"/>
    <x v="198"/>
    <n v="99"/>
    <n v="4.0999999999999996"/>
    <x v="1"/>
    <x v="4"/>
    <x v="0"/>
    <x v="2"/>
  </r>
  <r>
    <x v="654"/>
    <x v="6"/>
    <n v="97"/>
    <x v="1"/>
    <x v="199"/>
    <n v="105"/>
    <n v="2.9"/>
    <x v="1"/>
    <x v="5"/>
    <x v="0"/>
    <x v="1"/>
  </r>
  <r>
    <x v="655"/>
    <x v="7"/>
    <n v="144"/>
    <x v="3"/>
    <x v="199"/>
    <n v="195"/>
    <n v="3.4"/>
    <x v="1"/>
    <x v="5"/>
    <x v="1"/>
    <x v="1"/>
  </r>
  <r>
    <x v="656"/>
    <x v="2"/>
    <n v="56"/>
    <x v="1"/>
    <x v="200"/>
    <n v="152"/>
    <n v="4.5999999999999996"/>
    <x v="1"/>
    <x v="6"/>
    <x v="2"/>
    <x v="0"/>
  </r>
  <r>
    <x v="657"/>
    <x v="7"/>
    <n v="132"/>
    <x v="3"/>
    <x v="201"/>
    <n v="195"/>
    <n v="4.9000000000000004"/>
    <x v="1"/>
    <x v="0"/>
    <x v="1"/>
    <x v="0"/>
  </r>
  <r>
    <x v="658"/>
    <x v="5"/>
    <n v="72"/>
    <x v="2"/>
    <x v="201"/>
    <n v="70"/>
    <n v="3.6"/>
    <x v="1"/>
    <x v="0"/>
    <x v="0"/>
    <x v="2"/>
  </r>
  <r>
    <x v="659"/>
    <x v="12"/>
    <n v="18"/>
    <x v="2"/>
    <x v="201"/>
    <n v="22"/>
    <n v="3.5"/>
    <x v="1"/>
    <x v="0"/>
    <x v="3"/>
    <x v="2"/>
  </r>
  <r>
    <x v="660"/>
    <x v="4"/>
    <n v="115"/>
    <x v="4"/>
    <x v="202"/>
    <n v="40"/>
    <n v="3.3"/>
    <x v="1"/>
    <x v="1"/>
    <x v="0"/>
    <x v="1"/>
  </r>
  <r>
    <x v="661"/>
    <x v="4"/>
    <n v="124"/>
    <x v="1"/>
    <x v="203"/>
    <n v="54"/>
    <n v="3.8"/>
    <x v="1"/>
    <x v="2"/>
    <x v="1"/>
    <x v="2"/>
  </r>
  <r>
    <x v="662"/>
    <x v="1"/>
    <n v="130"/>
    <x v="1"/>
    <x v="203"/>
    <n v="60"/>
    <n v="2.5"/>
    <x v="1"/>
    <x v="2"/>
    <x v="1"/>
    <x v="1"/>
  </r>
  <r>
    <x v="663"/>
    <x v="11"/>
    <n v="120"/>
    <x v="0"/>
    <x v="204"/>
    <n v="58"/>
    <n v="4.5999999999999996"/>
    <x v="1"/>
    <x v="4"/>
    <x v="0"/>
    <x v="0"/>
  </r>
  <r>
    <x v="664"/>
    <x v="6"/>
    <n v="75"/>
    <x v="4"/>
    <x v="204"/>
    <n v="220"/>
    <n v="4.7"/>
    <x v="1"/>
    <x v="4"/>
    <x v="0"/>
    <x v="0"/>
  </r>
  <r>
    <x v="665"/>
    <x v="0"/>
    <n v="63"/>
    <x v="4"/>
    <x v="204"/>
    <n v="27"/>
    <n v="3.6"/>
    <x v="1"/>
    <x v="4"/>
    <x v="0"/>
    <x v="2"/>
  </r>
  <r>
    <x v="666"/>
    <x v="7"/>
    <n v="74"/>
    <x v="4"/>
    <x v="205"/>
    <n v="26"/>
    <n v="4.3"/>
    <x v="1"/>
    <x v="6"/>
    <x v="0"/>
    <x v="2"/>
  </r>
  <r>
    <x v="667"/>
    <x v="10"/>
    <n v="134"/>
    <x v="3"/>
    <x v="206"/>
    <n v="160"/>
    <n v="4.7"/>
    <x v="1"/>
    <x v="0"/>
    <x v="1"/>
    <x v="0"/>
  </r>
  <r>
    <x v="668"/>
    <x v="12"/>
    <n v="103"/>
    <x v="1"/>
    <x v="206"/>
    <n v="200"/>
    <n v="4.9000000000000004"/>
    <x v="1"/>
    <x v="0"/>
    <x v="0"/>
    <x v="0"/>
  </r>
  <r>
    <x v="669"/>
    <x v="12"/>
    <n v="155"/>
    <x v="0"/>
    <x v="207"/>
    <n v="135"/>
    <n v="4.9000000000000004"/>
    <x v="1"/>
    <x v="3"/>
    <x v="1"/>
    <x v="0"/>
  </r>
  <r>
    <x v="670"/>
    <x v="0"/>
    <n v="128"/>
    <x v="1"/>
    <x v="208"/>
    <n v="22"/>
    <n v="1.9"/>
    <x v="1"/>
    <x v="4"/>
    <x v="1"/>
    <x v="3"/>
  </r>
  <r>
    <x v="671"/>
    <x v="6"/>
    <n v="89"/>
    <x v="3"/>
    <x v="209"/>
    <n v="164"/>
    <n v="4.5"/>
    <x v="1"/>
    <x v="5"/>
    <x v="0"/>
    <x v="0"/>
  </r>
  <r>
    <x v="672"/>
    <x v="4"/>
    <n v="81"/>
    <x v="0"/>
    <x v="209"/>
    <n v="21"/>
    <n v="4.9000000000000004"/>
    <x v="1"/>
    <x v="5"/>
    <x v="0"/>
    <x v="0"/>
  </r>
  <r>
    <x v="673"/>
    <x v="6"/>
    <n v="66"/>
    <x v="3"/>
    <x v="210"/>
    <n v="120"/>
    <n v="4.5"/>
    <x v="1"/>
    <x v="6"/>
    <x v="0"/>
    <x v="0"/>
  </r>
  <r>
    <x v="674"/>
    <x v="5"/>
    <n v="61"/>
    <x v="2"/>
    <x v="210"/>
    <n v="93"/>
    <n v="2.7"/>
    <x v="1"/>
    <x v="6"/>
    <x v="0"/>
    <x v="1"/>
  </r>
  <r>
    <x v="675"/>
    <x v="4"/>
    <n v="128"/>
    <x v="2"/>
    <x v="210"/>
    <n v="135"/>
    <n v="2.1"/>
    <x v="1"/>
    <x v="6"/>
    <x v="1"/>
    <x v="3"/>
  </r>
  <r>
    <x v="676"/>
    <x v="12"/>
    <n v="30"/>
    <x v="0"/>
    <x v="210"/>
    <n v="210"/>
    <n v="4.2"/>
    <x v="1"/>
    <x v="6"/>
    <x v="3"/>
    <x v="2"/>
  </r>
  <r>
    <x v="677"/>
    <x v="14"/>
    <n v="63"/>
    <x v="2"/>
    <x v="211"/>
    <n v="29"/>
    <n v="4.7"/>
    <x v="1"/>
    <x v="0"/>
    <x v="0"/>
    <x v="0"/>
  </r>
  <r>
    <x v="678"/>
    <x v="8"/>
    <n v="64"/>
    <x v="4"/>
    <x v="211"/>
    <n v="111"/>
    <n v="3.9"/>
    <x v="1"/>
    <x v="0"/>
    <x v="0"/>
    <x v="2"/>
  </r>
  <r>
    <x v="679"/>
    <x v="3"/>
    <n v="151"/>
    <x v="1"/>
    <x v="212"/>
    <n v="63"/>
    <n v="4.0999999999999996"/>
    <x v="1"/>
    <x v="1"/>
    <x v="1"/>
    <x v="2"/>
  </r>
  <r>
    <x v="680"/>
    <x v="13"/>
    <n v="116"/>
    <x v="3"/>
    <x v="212"/>
    <n v="44"/>
    <n v="3.8"/>
    <x v="1"/>
    <x v="1"/>
    <x v="0"/>
    <x v="2"/>
  </r>
  <r>
    <x v="681"/>
    <x v="3"/>
    <n v="111"/>
    <x v="3"/>
    <x v="213"/>
    <n v="120"/>
    <n v="1.8"/>
    <x v="1"/>
    <x v="3"/>
    <x v="0"/>
    <x v="3"/>
  </r>
  <r>
    <x v="682"/>
    <x v="4"/>
    <n v="15"/>
    <x v="3"/>
    <x v="213"/>
    <n v="120"/>
    <n v="4.0999999999999996"/>
    <x v="1"/>
    <x v="3"/>
    <x v="3"/>
    <x v="2"/>
  </r>
  <r>
    <x v="683"/>
    <x v="8"/>
    <n v="18"/>
    <x v="1"/>
    <x v="214"/>
    <n v="40"/>
    <n v="4.4000000000000004"/>
    <x v="1"/>
    <x v="4"/>
    <x v="3"/>
    <x v="2"/>
  </r>
  <r>
    <x v="684"/>
    <x v="5"/>
    <n v="146"/>
    <x v="2"/>
    <x v="214"/>
    <n v="160"/>
    <n v="4.0999999999999996"/>
    <x v="1"/>
    <x v="4"/>
    <x v="1"/>
    <x v="2"/>
  </r>
  <r>
    <x v="685"/>
    <x v="12"/>
    <n v="73"/>
    <x v="3"/>
    <x v="215"/>
    <n v="44"/>
    <n v="3.8"/>
    <x v="1"/>
    <x v="5"/>
    <x v="0"/>
    <x v="2"/>
  </r>
  <r>
    <x v="686"/>
    <x v="3"/>
    <n v="108"/>
    <x v="1"/>
    <x v="215"/>
    <n v="80"/>
    <n v="4.3"/>
    <x v="1"/>
    <x v="5"/>
    <x v="0"/>
    <x v="2"/>
  </r>
  <r>
    <x v="687"/>
    <x v="10"/>
    <n v="52"/>
    <x v="1"/>
    <x v="216"/>
    <n v="66"/>
    <n v="4.5"/>
    <x v="1"/>
    <x v="6"/>
    <x v="2"/>
    <x v="0"/>
  </r>
  <r>
    <x v="688"/>
    <x v="13"/>
    <n v="165"/>
    <x v="4"/>
    <x v="216"/>
    <n v="82"/>
    <n v="3.4"/>
    <x v="1"/>
    <x v="6"/>
    <x v="1"/>
    <x v="1"/>
  </r>
  <r>
    <x v="689"/>
    <x v="5"/>
    <n v="104"/>
    <x v="3"/>
    <x v="216"/>
    <n v="66"/>
    <n v="4.8"/>
    <x v="1"/>
    <x v="6"/>
    <x v="0"/>
    <x v="0"/>
  </r>
  <r>
    <x v="690"/>
    <x v="12"/>
    <n v="131"/>
    <x v="2"/>
    <x v="216"/>
    <n v="92"/>
    <n v="4.9000000000000004"/>
    <x v="1"/>
    <x v="6"/>
    <x v="1"/>
    <x v="0"/>
  </r>
  <r>
    <x v="691"/>
    <x v="11"/>
    <n v="80"/>
    <x v="4"/>
    <x v="217"/>
    <n v="104"/>
    <n v="4.7"/>
    <x v="1"/>
    <x v="0"/>
    <x v="0"/>
    <x v="0"/>
  </r>
  <r>
    <x v="692"/>
    <x v="4"/>
    <n v="49"/>
    <x v="3"/>
    <x v="217"/>
    <n v="105"/>
    <n v="3.3"/>
    <x v="1"/>
    <x v="0"/>
    <x v="2"/>
    <x v="1"/>
  </r>
  <r>
    <x v="693"/>
    <x v="13"/>
    <n v="73"/>
    <x v="3"/>
    <x v="217"/>
    <n v="100"/>
    <n v="2.8"/>
    <x v="1"/>
    <x v="0"/>
    <x v="0"/>
    <x v="1"/>
  </r>
  <r>
    <x v="694"/>
    <x v="5"/>
    <n v="117"/>
    <x v="4"/>
    <x v="217"/>
    <n v="90"/>
    <n v="4.0999999999999996"/>
    <x v="1"/>
    <x v="0"/>
    <x v="0"/>
    <x v="2"/>
  </r>
  <r>
    <x v="695"/>
    <x v="2"/>
    <n v="38"/>
    <x v="0"/>
    <x v="217"/>
    <n v="110"/>
    <n v="3.5"/>
    <x v="1"/>
    <x v="0"/>
    <x v="2"/>
    <x v="2"/>
  </r>
  <r>
    <x v="696"/>
    <x v="10"/>
    <n v="109"/>
    <x v="4"/>
    <x v="218"/>
    <n v="68"/>
    <n v="2.2999999999999998"/>
    <x v="1"/>
    <x v="2"/>
    <x v="0"/>
    <x v="3"/>
  </r>
  <r>
    <x v="697"/>
    <x v="4"/>
    <n v="70"/>
    <x v="1"/>
    <x v="219"/>
    <n v="210"/>
    <n v="4.0999999999999996"/>
    <x v="1"/>
    <x v="3"/>
    <x v="0"/>
    <x v="2"/>
  </r>
  <r>
    <x v="698"/>
    <x v="1"/>
    <n v="51"/>
    <x v="0"/>
    <x v="219"/>
    <n v="111"/>
    <n v="4.3"/>
    <x v="1"/>
    <x v="3"/>
    <x v="2"/>
    <x v="2"/>
  </r>
  <r>
    <x v="699"/>
    <x v="1"/>
    <n v="100"/>
    <x v="1"/>
    <x v="220"/>
    <n v="45"/>
    <n v="4.9000000000000004"/>
    <x v="1"/>
    <x v="4"/>
    <x v="0"/>
    <x v="0"/>
  </r>
  <r>
    <x v="700"/>
    <x v="7"/>
    <n v="124"/>
    <x v="0"/>
    <x v="221"/>
    <n v="132"/>
    <n v="4"/>
    <x v="1"/>
    <x v="5"/>
    <x v="1"/>
    <x v="2"/>
  </r>
  <r>
    <x v="701"/>
    <x v="0"/>
    <n v="143"/>
    <x v="4"/>
    <x v="221"/>
    <n v="20"/>
    <n v="4.7"/>
    <x v="1"/>
    <x v="5"/>
    <x v="1"/>
    <x v="0"/>
  </r>
  <r>
    <x v="702"/>
    <x v="6"/>
    <n v="96"/>
    <x v="3"/>
    <x v="221"/>
    <n v="36"/>
    <n v="3.4"/>
    <x v="1"/>
    <x v="5"/>
    <x v="0"/>
    <x v="1"/>
  </r>
  <r>
    <x v="703"/>
    <x v="13"/>
    <n v="84"/>
    <x v="1"/>
    <x v="222"/>
    <n v="72"/>
    <n v="4"/>
    <x v="1"/>
    <x v="0"/>
    <x v="0"/>
    <x v="2"/>
  </r>
  <r>
    <x v="704"/>
    <x v="9"/>
    <n v="111"/>
    <x v="1"/>
    <x v="222"/>
    <n v="63"/>
    <n v="4.5"/>
    <x v="1"/>
    <x v="0"/>
    <x v="0"/>
    <x v="0"/>
  </r>
  <r>
    <x v="705"/>
    <x v="9"/>
    <n v="103"/>
    <x v="0"/>
    <x v="223"/>
    <n v="44"/>
    <n v="4.5"/>
    <x v="1"/>
    <x v="1"/>
    <x v="0"/>
    <x v="0"/>
  </r>
  <r>
    <x v="706"/>
    <x v="0"/>
    <n v="61"/>
    <x v="2"/>
    <x v="223"/>
    <n v="132"/>
    <n v="4.9000000000000004"/>
    <x v="1"/>
    <x v="1"/>
    <x v="0"/>
    <x v="0"/>
  </r>
  <r>
    <x v="707"/>
    <x v="12"/>
    <n v="113"/>
    <x v="3"/>
    <x v="223"/>
    <n v="46"/>
    <n v="4.4000000000000004"/>
    <x v="1"/>
    <x v="1"/>
    <x v="0"/>
    <x v="2"/>
  </r>
  <r>
    <x v="708"/>
    <x v="12"/>
    <n v="96"/>
    <x v="3"/>
    <x v="223"/>
    <n v="96"/>
    <n v="2.9"/>
    <x v="1"/>
    <x v="1"/>
    <x v="0"/>
    <x v="1"/>
  </r>
  <r>
    <x v="709"/>
    <x v="8"/>
    <n v="131"/>
    <x v="0"/>
    <x v="224"/>
    <n v="75"/>
    <n v="4.4000000000000004"/>
    <x v="1"/>
    <x v="2"/>
    <x v="1"/>
    <x v="2"/>
  </r>
  <r>
    <x v="710"/>
    <x v="5"/>
    <n v="52"/>
    <x v="3"/>
    <x v="225"/>
    <n v="88"/>
    <n v="4.3"/>
    <x v="1"/>
    <x v="3"/>
    <x v="2"/>
    <x v="2"/>
  </r>
  <r>
    <x v="711"/>
    <x v="1"/>
    <n v="100"/>
    <x v="0"/>
    <x v="225"/>
    <n v="24"/>
    <n v="4.7"/>
    <x v="1"/>
    <x v="3"/>
    <x v="0"/>
    <x v="0"/>
  </r>
  <r>
    <x v="712"/>
    <x v="3"/>
    <n v="58"/>
    <x v="4"/>
    <x v="225"/>
    <n v="96"/>
    <n v="3.2"/>
    <x v="1"/>
    <x v="3"/>
    <x v="2"/>
    <x v="1"/>
  </r>
  <r>
    <x v="713"/>
    <x v="4"/>
    <n v="144"/>
    <x v="4"/>
    <x v="226"/>
    <n v="124"/>
    <n v="2.2999999999999998"/>
    <x v="1"/>
    <x v="4"/>
    <x v="1"/>
    <x v="3"/>
  </r>
  <r>
    <x v="714"/>
    <x v="3"/>
    <n v="53"/>
    <x v="2"/>
    <x v="227"/>
    <n v="130"/>
    <n v="3.6"/>
    <x v="1"/>
    <x v="5"/>
    <x v="2"/>
    <x v="2"/>
  </r>
  <r>
    <x v="715"/>
    <x v="12"/>
    <n v="97"/>
    <x v="1"/>
    <x v="227"/>
    <n v="45"/>
    <n v="4.5999999999999996"/>
    <x v="1"/>
    <x v="5"/>
    <x v="0"/>
    <x v="0"/>
  </r>
  <r>
    <x v="716"/>
    <x v="2"/>
    <n v="64"/>
    <x v="4"/>
    <x v="227"/>
    <n v="66"/>
    <n v="4"/>
    <x v="1"/>
    <x v="5"/>
    <x v="0"/>
    <x v="2"/>
  </r>
  <r>
    <x v="717"/>
    <x v="0"/>
    <n v="106"/>
    <x v="0"/>
    <x v="227"/>
    <n v="58"/>
    <n v="4.7"/>
    <x v="1"/>
    <x v="5"/>
    <x v="0"/>
    <x v="0"/>
  </r>
  <r>
    <x v="718"/>
    <x v="13"/>
    <n v="36"/>
    <x v="4"/>
    <x v="228"/>
    <n v="152"/>
    <n v="4.3"/>
    <x v="1"/>
    <x v="6"/>
    <x v="2"/>
    <x v="2"/>
  </r>
  <r>
    <x v="719"/>
    <x v="4"/>
    <n v="74"/>
    <x v="3"/>
    <x v="228"/>
    <n v="75"/>
    <n v="2.8"/>
    <x v="1"/>
    <x v="6"/>
    <x v="0"/>
    <x v="1"/>
  </r>
  <r>
    <x v="720"/>
    <x v="10"/>
    <n v="143"/>
    <x v="1"/>
    <x v="228"/>
    <n v="78"/>
    <n v="4"/>
    <x v="1"/>
    <x v="6"/>
    <x v="1"/>
    <x v="2"/>
  </r>
  <r>
    <x v="721"/>
    <x v="0"/>
    <n v="94"/>
    <x v="2"/>
    <x v="228"/>
    <n v="69"/>
    <n v="3.9"/>
    <x v="1"/>
    <x v="6"/>
    <x v="0"/>
    <x v="2"/>
  </r>
  <r>
    <x v="722"/>
    <x v="11"/>
    <n v="124"/>
    <x v="0"/>
    <x v="229"/>
    <n v="46"/>
    <n v="3.1"/>
    <x v="1"/>
    <x v="0"/>
    <x v="1"/>
    <x v="1"/>
  </r>
  <r>
    <x v="723"/>
    <x v="13"/>
    <n v="156"/>
    <x v="4"/>
    <x v="229"/>
    <n v="64"/>
    <n v="2.7"/>
    <x v="1"/>
    <x v="0"/>
    <x v="1"/>
    <x v="1"/>
  </r>
  <r>
    <x v="724"/>
    <x v="6"/>
    <n v="107"/>
    <x v="1"/>
    <x v="229"/>
    <n v="38"/>
    <n v="4.7"/>
    <x v="1"/>
    <x v="0"/>
    <x v="0"/>
    <x v="0"/>
  </r>
  <r>
    <x v="725"/>
    <x v="0"/>
    <n v="58"/>
    <x v="1"/>
    <x v="230"/>
    <n v="90"/>
    <n v="4.3"/>
    <x v="1"/>
    <x v="2"/>
    <x v="2"/>
    <x v="2"/>
  </r>
  <r>
    <x v="726"/>
    <x v="7"/>
    <n v="66"/>
    <x v="1"/>
    <x v="230"/>
    <n v="32"/>
    <n v="3.8"/>
    <x v="1"/>
    <x v="2"/>
    <x v="0"/>
    <x v="2"/>
  </r>
  <r>
    <x v="727"/>
    <x v="8"/>
    <n v="75"/>
    <x v="4"/>
    <x v="230"/>
    <n v="120"/>
    <n v="4.4000000000000004"/>
    <x v="1"/>
    <x v="2"/>
    <x v="0"/>
    <x v="2"/>
  </r>
  <r>
    <x v="728"/>
    <x v="6"/>
    <n v="8"/>
    <x v="1"/>
    <x v="230"/>
    <n v="31"/>
    <n v="3.9"/>
    <x v="1"/>
    <x v="2"/>
    <x v="4"/>
    <x v="2"/>
  </r>
  <r>
    <x v="729"/>
    <x v="2"/>
    <n v="76"/>
    <x v="4"/>
    <x v="231"/>
    <n v="108"/>
    <n v="4.9000000000000004"/>
    <x v="1"/>
    <x v="3"/>
    <x v="0"/>
    <x v="0"/>
  </r>
  <r>
    <x v="730"/>
    <x v="0"/>
    <n v="110"/>
    <x v="4"/>
    <x v="231"/>
    <n v="180"/>
    <n v="4.2"/>
    <x v="1"/>
    <x v="3"/>
    <x v="0"/>
    <x v="2"/>
  </r>
  <r>
    <x v="731"/>
    <x v="7"/>
    <n v="50"/>
    <x v="2"/>
    <x v="232"/>
    <n v="124"/>
    <n v="4"/>
    <x v="1"/>
    <x v="4"/>
    <x v="2"/>
    <x v="2"/>
  </r>
  <r>
    <x v="732"/>
    <x v="5"/>
    <n v="78"/>
    <x v="2"/>
    <x v="232"/>
    <n v="23"/>
    <n v="4.2"/>
    <x v="1"/>
    <x v="4"/>
    <x v="0"/>
    <x v="2"/>
  </r>
  <r>
    <x v="733"/>
    <x v="12"/>
    <n v="59"/>
    <x v="0"/>
    <x v="233"/>
    <n v="24"/>
    <n v="4.8"/>
    <x v="1"/>
    <x v="5"/>
    <x v="2"/>
    <x v="0"/>
  </r>
  <r>
    <x v="734"/>
    <x v="5"/>
    <n v="126"/>
    <x v="1"/>
    <x v="234"/>
    <n v="52"/>
    <n v="1.1000000000000001"/>
    <x v="1"/>
    <x v="6"/>
    <x v="1"/>
    <x v="5"/>
  </r>
  <r>
    <x v="735"/>
    <x v="2"/>
    <n v="43"/>
    <x v="0"/>
    <x v="235"/>
    <n v="168"/>
    <n v="4"/>
    <x v="1"/>
    <x v="0"/>
    <x v="2"/>
    <x v="2"/>
  </r>
  <r>
    <x v="736"/>
    <x v="13"/>
    <n v="79"/>
    <x v="4"/>
    <x v="236"/>
    <n v="125"/>
    <n v="4.8"/>
    <x v="1"/>
    <x v="2"/>
    <x v="0"/>
    <x v="0"/>
  </r>
  <r>
    <x v="737"/>
    <x v="0"/>
    <n v="71"/>
    <x v="0"/>
    <x v="237"/>
    <n v="50"/>
    <n v="4.2"/>
    <x v="1"/>
    <x v="3"/>
    <x v="0"/>
    <x v="2"/>
  </r>
  <r>
    <x v="738"/>
    <x v="9"/>
    <n v="94"/>
    <x v="1"/>
    <x v="238"/>
    <n v="220"/>
    <n v="4.5999999999999996"/>
    <x v="1"/>
    <x v="4"/>
    <x v="0"/>
    <x v="0"/>
  </r>
  <r>
    <x v="739"/>
    <x v="6"/>
    <n v="108"/>
    <x v="0"/>
    <x v="238"/>
    <n v="180"/>
    <n v="4"/>
    <x v="1"/>
    <x v="4"/>
    <x v="0"/>
    <x v="2"/>
  </r>
  <r>
    <x v="740"/>
    <x v="2"/>
    <n v="76"/>
    <x v="1"/>
    <x v="238"/>
    <n v="110"/>
    <n v="3.9"/>
    <x v="1"/>
    <x v="4"/>
    <x v="0"/>
    <x v="2"/>
  </r>
  <r>
    <x v="741"/>
    <x v="12"/>
    <n v="136"/>
    <x v="0"/>
    <x v="238"/>
    <n v="36"/>
    <n v="2.8"/>
    <x v="1"/>
    <x v="4"/>
    <x v="1"/>
    <x v="1"/>
  </r>
  <r>
    <x v="742"/>
    <x v="1"/>
    <n v="129"/>
    <x v="2"/>
    <x v="239"/>
    <n v="93"/>
    <n v="4.7"/>
    <x v="1"/>
    <x v="5"/>
    <x v="1"/>
    <x v="0"/>
  </r>
  <r>
    <x v="743"/>
    <x v="6"/>
    <n v="120"/>
    <x v="0"/>
    <x v="239"/>
    <n v="38"/>
    <n v="4.2"/>
    <x v="1"/>
    <x v="5"/>
    <x v="0"/>
    <x v="2"/>
  </r>
  <r>
    <x v="744"/>
    <x v="2"/>
    <n v="108"/>
    <x v="2"/>
    <x v="240"/>
    <n v="66"/>
    <n v="3.9"/>
    <x v="1"/>
    <x v="6"/>
    <x v="0"/>
    <x v="2"/>
  </r>
  <r>
    <x v="745"/>
    <x v="5"/>
    <n v="79"/>
    <x v="0"/>
    <x v="240"/>
    <n v="215"/>
    <n v="4.5999999999999996"/>
    <x v="1"/>
    <x v="6"/>
    <x v="0"/>
    <x v="0"/>
  </r>
  <r>
    <x v="746"/>
    <x v="5"/>
    <n v="45"/>
    <x v="2"/>
    <x v="240"/>
    <n v="92"/>
    <n v="4.3"/>
    <x v="1"/>
    <x v="6"/>
    <x v="2"/>
    <x v="2"/>
  </r>
  <r>
    <x v="747"/>
    <x v="4"/>
    <n v="96"/>
    <x v="0"/>
    <x v="240"/>
    <n v="80"/>
    <n v="3.6"/>
    <x v="1"/>
    <x v="6"/>
    <x v="0"/>
    <x v="2"/>
  </r>
  <r>
    <x v="748"/>
    <x v="4"/>
    <n v="81"/>
    <x v="0"/>
    <x v="241"/>
    <n v="123"/>
    <n v="4.9000000000000004"/>
    <x v="1"/>
    <x v="0"/>
    <x v="0"/>
    <x v="0"/>
  </r>
  <r>
    <x v="749"/>
    <x v="12"/>
    <n v="95"/>
    <x v="3"/>
    <x v="241"/>
    <n v="23"/>
    <n v="2.4"/>
    <x v="1"/>
    <x v="0"/>
    <x v="0"/>
    <x v="3"/>
  </r>
  <r>
    <x v="750"/>
    <x v="11"/>
    <n v="159"/>
    <x v="1"/>
    <x v="241"/>
    <n v="63"/>
    <n v="4.2"/>
    <x v="1"/>
    <x v="0"/>
    <x v="1"/>
    <x v="2"/>
  </r>
  <r>
    <x v="751"/>
    <x v="14"/>
    <n v="109"/>
    <x v="4"/>
    <x v="241"/>
    <n v="52"/>
    <n v="3.9"/>
    <x v="1"/>
    <x v="0"/>
    <x v="0"/>
    <x v="2"/>
  </r>
  <r>
    <x v="752"/>
    <x v="5"/>
    <n v="107"/>
    <x v="4"/>
    <x v="241"/>
    <n v="60"/>
    <n v="4.2"/>
    <x v="1"/>
    <x v="0"/>
    <x v="0"/>
    <x v="2"/>
  </r>
  <r>
    <x v="753"/>
    <x v="4"/>
    <n v="67"/>
    <x v="2"/>
    <x v="242"/>
    <n v="87"/>
    <n v="3.9"/>
    <x v="1"/>
    <x v="1"/>
    <x v="0"/>
    <x v="2"/>
  </r>
  <r>
    <x v="754"/>
    <x v="8"/>
    <n v="96"/>
    <x v="0"/>
    <x v="243"/>
    <n v="42"/>
    <n v="4.5"/>
    <x v="1"/>
    <x v="2"/>
    <x v="0"/>
    <x v="0"/>
  </r>
  <r>
    <x v="755"/>
    <x v="10"/>
    <n v="142"/>
    <x v="1"/>
    <x v="244"/>
    <n v="37"/>
    <n v="3.8"/>
    <x v="1"/>
    <x v="3"/>
    <x v="1"/>
    <x v="2"/>
  </r>
  <r>
    <x v="756"/>
    <x v="10"/>
    <n v="71"/>
    <x v="3"/>
    <x v="244"/>
    <n v="135"/>
    <n v="3.9"/>
    <x v="1"/>
    <x v="3"/>
    <x v="0"/>
    <x v="2"/>
  </r>
  <r>
    <x v="757"/>
    <x v="8"/>
    <n v="152"/>
    <x v="3"/>
    <x v="244"/>
    <n v="88"/>
    <n v="4.7"/>
    <x v="1"/>
    <x v="3"/>
    <x v="1"/>
    <x v="0"/>
  </r>
  <r>
    <x v="758"/>
    <x v="13"/>
    <n v="108"/>
    <x v="1"/>
    <x v="244"/>
    <n v="190"/>
    <n v="3.2"/>
    <x v="1"/>
    <x v="3"/>
    <x v="0"/>
    <x v="1"/>
  </r>
  <r>
    <x v="759"/>
    <x v="13"/>
    <n v="156"/>
    <x v="3"/>
    <x v="244"/>
    <n v="81"/>
    <n v="5"/>
    <x v="1"/>
    <x v="3"/>
    <x v="1"/>
    <x v="0"/>
  </r>
  <r>
    <x v="760"/>
    <x v="10"/>
    <n v="126"/>
    <x v="1"/>
    <x v="244"/>
    <n v="44"/>
    <n v="3.7"/>
    <x v="1"/>
    <x v="3"/>
    <x v="1"/>
    <x v="2"/>
  </r>
  <r>
    <x v="761"/>
    <x v="2"/>
    <n v="135"/>
    <x v="3"/>
    <x v="245"/>
    <n v="92"/>
    <n v="3.9"/>
    <x v="1"/>
    <x v="4"/>
    <x v="1"/>
    <x v="2"/>
  </r>
  <r>
    <x v="762"/>
    <x v="10"/>
    <n v="110"/>
    <x v="0"/>
    <x v="246"/>
    <n v="90"/>
    <n v="3.1"/>
    <x v="1"/>
    <x v="5"/>
    <x v="0"/>
    <x v="1"/>
  </r>
  <r>
    <x v="763"/>
    <x v="11"/>
    <n v="64"/>
    <x v="3"/>
    <x v="246"/>
    <n v="112"/>
    <n v="2"/>
    <x v="1"/>
    <x v="5"/>
    <x v="0"/>
    <x v="3"/>
  </r>
  <r>
    <x v="764"/>
    <x v="9"/>
    <n v="127"/>
    <x v="1"/>
    <x v="246"/>
    <n v="112"/>
    <n v="4.5999999999999996"/>
    <x v="1"/>
    <x v="5"/>
    <x v="1"/>
    <x v="0"/>
  </r>
  <r>
    <x v="765"/>
    <x v="14"/>
    <n v="124"/>
    <x v="2"/>
    <x v="246"/>
    <n v="48"/>
    <n v="3.7"/>
    <x v="1"/>
    <x v="5"/>
    <x v="1"/>
    <x v="2"/>
  </r>
  <r>
    <x v="766"/>
    <x v="11"/>
    <n v="125"/>
    <x v="1"/>
    <x v="246"/>
    <n v="116"/>
    <n v="4.4000000000000004"/>
    <x v="1"/>
    <x v="5"/>
    <x v="1"/>
    <x v="2"/>
  </r>
  <r>
    <x v="767"/>
    <x v="1"/>
    <n v="70"/>
    <x v="1"/>
    <x v="246"/>
    <n v="29"/>
    <n v="2.1"/>
    <x v="1"/>
    <x v="5"/>
    <x v="0"/>
    <x v="3"/>
  </r>
  <r>
    <x v="768"/>
    <x v="9"/>
    <n v="93"/>
    <x v="3"/>
    <x v="247"/>
    <n v="170"/>
    <n v="2.2000000000000002"/>
    <x v="1"/>
    <x v="6"/>
    <x v="0"/>
    <x v="3"/>
  </r>
  <r>
    <x v="769"/>
    <x v="1"/>
    <n v="120"/>
    <x v="4"/>
    <x v="247"/>
    <n v="68"/>
    <n v="3.4"/>
    <x v="1"/>
    <x v="6"/>
    <x v="0"/>
    <x v="1"/>
  </r>
  <r>
    <x v="770"/>
    <x v="4"/>
    <n v="96"/>
    <x v="0"/>
    <x v="247"/>
    <n v="195"/>
    <n v="2.7"/>
    <x v="1"/>
    <x v="6"/>
    <x v="0"/>
    <x v="1"/>
  </r>
  <r>
    <x v="771"/>
    <x v="3"/>
    <n v="67"/>
    <x v="0"/>
    <x v="247"/>
    <n v="96"/>
    <n v="3.7"/>
    <x v="1"/>
    <x v="6"/>
    <x v="0"/>
    <x v="2"/>
  </r>
  <r>
    <x v="772"/>
    <x v="11"/>
    <n v="119"/>
    <x v="0"/>
    <x v="247"/>
    <n v="96"/>
    <n v="3.1"/>
    <x v="1"/>
    <x v="6"/>
    <x v="0"/>
    <x v="1"/>
  </r>
  <r>
    <x v="773"/>
    <x v="14"/>
    <n v="61"/>
    <x v="2"/>
    <x v="247"/>
    <n v="117"/>
    <n v="4.0999999999999996"/>
    <x v="1"/>
    <x v="6"/>
    <x v="0"/>
    <x v="2"/>
  </r>
  <r>
    <x v="774"/>
    <x v="4"/>
    <n v="29"/>
    <x v="3"/>
    <x v="247"/>
    <n v="80"/>
    <n v="4.8"/>
    <x v="1"/>
    <x v="6"/>
    <x v="3"/>
    <x v="0"/>
  </r>
  <r>
    <x v="775"/>
    <x v="8"/>
    <n v="134"/>
    <x v="4"/>
    <x v="247"/>
    <n v="117"/>
    <n v="4"/>
    <x v="1"/>
    <x v="6"/>
    <x v="1"/>
    <x v="2"/>
  </r>
  <r>
    <x v="776"/>
    <x v="10"/>
    <n v="113"/>
    <x v="0"/>
    <x v="248"/>
    <n v="40"/>
    <n v="3"/>
    <x v="1"/>
    <x v="0"/>
    <x v="0"/>
    <x v="1"/>
  </r>
  <r>
    <x v="777"/>
    <x v="13"/>
    <n v="12"/>
    <x v="4"/>
    <x v="248"/>
    <n v="117"/>
    <n v="4.8"/>
    <x v="1"/>
    <x v="0"/>
    <x v="3"/>
    <x v="0"/>
  </r>
  <r>
    <x v="778"/>
    <x v="7"/>
    <n v="78"/>
    <x v="3"/>
    <x v="248"/>
    <n v="135"/>
    <n v="4.0999999999999996"/>
    <x v="1"/>
    <x v="0"/>
    <x v="0"/>
    <x v="2"/>
  </r>
  <r>
    <x v="779"/>
    <x v="11"/>
    <n v="82"/>
    <x v="1"/>
    <x v="248"/>
    <n v="99"/>
    <n v="4.2"/>
    <x v="1"/>
    <x v="0"/>
    <x v="0"/>
    <x v="2"/>
  </r>
  <r>
    <x v="780"/>
    <x v="6"/>
    <n v="149"/>
    <x v="2"/>
    <x v="248"/>
    <n v="130"/>
    <n v="3.3"/>
    <x v="1"/>
    <x v="0"/>
    <x v="1"/>
    <x v="1"/>
  </r>
  <r>
    <x v="781"/>
    <x v="5"/>
    <n v="56"/>
    <x v="4"/>
    <x v="248"/>
    <n v="96"/>
    <n v="4.7"/>
    <x v="1"/>
    <x v="0"/>
    <x v="2"/>
    <x v="0"/>
  </r>
  <r>
    <x v="782"/>
    <x v="4"/>
    <n v="80"/>
    <x v="2"/>
    <x v="248"/>
    <n v="128"/>
    <n v="3.7"/>
    <x v="1"/>
    <x v="0"/>
    <x v="0"/>
    <x v="2"/>
  </r>
  <r>
    <x v="783"/>
    <x v="14"/>
    <n v="131"/>
    <x v="0"/>
    <x v="248"/>
    <n v="69"/>
    <n v="4.7"/>
    <x v="1"/>
    <x v="0"/>
    <x v="1"/>
    <x v="0"/>
  </r>
  <r>
    <x v="784"/>
    <x v="14"/>
    <n v="109"/>
    <x v="0"/>
    <x v="248"/>
    <n v="44"/>
    <n v="4.5999999999999996"/>
    <x v="1"/>
    <x v="0"/>
    <x v="0"/>
    <x v="0"/>
  </r>
  <r>
    <x v="785"/>
    <x v="5"/>
    <n v="142"/>
    <x v="0"/>
    <x v="248"/>
    <n v="44"/>
    <n v="4.8"/>
    <x v="1"/>
    <x v="0"/>
    <x v="1"/>
    <x v="0"/>
  </r>
  <r>
    <x v="786"/>
    <x v="9"/>
    <n v="114"/>
    <x v="4"/>
    <x v="249"/>
    <n v="135"/>
    <n v="2"/>
    <x v="1"/>
    <x v="1"/>
    <x v="0"/>
    <x v="3"/>
  </r>
  <r>
    <x v="787"/>
    <x v="3"/>
    <n v="93"/>
    <x v="2"/>
    <x v="249"/>
    <n v="45"/>
    <n v="3.9"/>
    <x v="1"/>
    <x v="1"/>
    <x v="0"/>
    <x v="2"/>
  </r>
  <r>
    <x v="788"/>
    <x v="13"/>
    <n v="43"/>
    <x v="2"/>
    <x v="249"/>
    <n v="87"/>
    <n v="3"/>
    <x v="1"/>
    <x v="1"/>
    <x v="2"/>
    <x v="1"/>
  </r>
  <r>
    <x v="789"/>
    <x v="8"/>
    <n v="78"/>
    <x v="3"/>
    <x v="250"/>
    <n v="84"/>
    <n v="4.5999999999999996"/>
    <x v="1"/>
    <x v="2"/>
    <x v="0"/>
    <x v="0"/>
  </r>
  <r>
    <x v="790"/>
    <x v="9"/>
    <n v="89"/>
    <x v="0"/>
    <x v="250"/>
    <n v="81"/>
    <n v="3.8"/>
    <x v="1"/>
    <x v="2"/>
    <x v="0"/>
    <x v="2"/>
  </r>
  <r>
    <x v="791"/>
    <x v="5"/>
    <n v="82"/>
    <x v="1"/>
    <x v="250"/>
    <n v="130"/>
    <n v="4.4000000000000004"/>
    <x v="1"/>
    <x v="2"/>
    <x v="0"/>
    <x v="2"/>
  </r>
  <r>
    <x v="792"/>
    <x v="4"/>
    <n v="86"/>
    <x v="0"/>
    <x v="251"/>
    <n v="92"/>
    <n v="2.4"/>
    <x v="1"/>
    <x v="3"/>
    <x v="0"/>
    <x v="3"/>
  </r>
  <r>
    <x v="793"/>
    <x v="12"/>
    <n v="57"/>
    <x v="3"/>
    <x v="251"/>
    <n v="48"/>
    <n v="4.5"/>
    <x v="1"/>
    <x v="3"/>
    <x v="2"/>
    <x v="0"/>
  </r>
  <r>
    <x v="794"/>
    <x v="3"/>
    <n v="103"/>
    <x v="4"/>
    <x v="251"/>
    <n v="160"/>
    <n v="4.5"/>
    <x v="1"/>
    <x v="3"/>
    <x v="0"/>
    <x v="0"/>
  </r>
  <r>
    <x v="795"/>
    <x v="7"/>
    <n v="138"/>
    <x v="3"/>
    <x v="252"/>
    <n v="155"/>
    <n v="2.7"/>
    <x v="1"/>
    <x v="4"/>
    <x v="1"/>
    <x v="1"/>
  </r>
  <r>
    <x v="796"/>
    <x v="6"/>
    <n v="88"/>
    <x v="1"/>
    <x v="252"/>
    <n v="100"/>
    <n v="4.9000000000000004"/>
    <x v="1"/>
    <x v="4"/>
    <x v="0"/>
    <x v="0"/>
  </r>
  <r>
    <x v="797"/>
    <x v="9"/>
    <n v="118"/>
    <x v="2"/>
    <x v="252"/>
    <n v="56"/>
    <n v="3.7"/>
    <x v="1"/>
    <x v="4"/>
    <x v="0"/>
    <x v="2"/>
  </r>
  <r>
    <x v="798"/>
    <x v="4"/>
    <n v="4"/>
    <x v="0"/>
    <x v="252"/>
    <n v="170"/>
    <n v="3.9"/>
    <x v="1"/>
    <x v="4"/>
    <x v="4"/>
    <x v="2"/>
  </r>
  <r>
    <x v="799"/>
    <x v="13"/>
    <n v="78"/>
    <x v="4"/>
    <x v="253"/>
    <n v="74"/>
    <n v="3.5"/>
    <x v="1"/>
    <x v="5"/>
    <x v="0"/>
    <x v="2"/>
  </r>
  <r>
    <x v="800"/>
    <x v="10"/>
    <n v="69"/>
    <x v="0"/>
    <x v="253"/>
    <n v="99"/>
    <n v="2.7"/>
    <x v="1"/>
    <x v="5"/>
    <x v="0"/>
    <x v="1"/>
  </r>
  <r>
    <x v="801"/>
    <x v="5"/>
    <n v="90"/>
    <x v="3"/>
    <x v="253"/>
    <n v="84"/>
    <n v="3.9"/>
    <x v="1"/>
    <x v="5"/>
    <x v="0"/>
    <x v="2"/>
  </r>
  <r>
    <x v="802"/>
    <x v="10"/>
    <n v="134"/>
    <x v="0"/>
    <x v="253"/>
    <n v="35"/>
    <n v="3.4"/>
    <x v="1"/>
    <x v="5"/>
    <x v="1"/>
    <x v="1"/>
  </r>
  <r>
    <x v="803"/>
    <x v="1"/>
    <n v="65"/>
    <x v="2"/>
    <x v="253"/>
    <n v="150"/>
    <n v="5"/>
    <x v="1"/>
    <x v="5"/>
    <x v="0"/>
    <x v="0"/>
  </r>
  <r>
    <x v="804"/>
    <x v="2"/>
    <n v="54"/>
    <x v="4"/>
    <x v="254"/>
    <n v="176"/>
    <n v="4.4000000000000004"/>
    <x v="1"/>
    <x v="6"/>
    <x v="2"/>
    <x v="2"/>
  </r>
  <r>
    <x v="805"/>
    <x v="2"/>
    <n v="90"/>
    <x v="4"/>
    <x v="254"/>
    <n v="84"/>
    <n v="4.3"/>
    <x v="1"/>
    <x v="6"/>
    <x v="0"/>
    <x v="2"/>
  </r>
  <r>
    <x v="806"/>
    <x v="5"/>
    <n v="66"/>
    <x v="4"/>
    <x v="254"/>
    <n v="136"/>
    <n v="4.7"/>
    <x v="1"/>
    <x v="6"/>
    <x v="0"/>
    <x v="0"/>
  </r>
  <r>
    <x v="807"/>
    <x v="4"/>
    <n v="150"/>
    <x v="4"/>
    <x v="255"/>
    <n v="70"/>
    <n v="4.0999999999999996"/>
    <x v="1"/>
    <x v="0"/>
    <x v="1"/>
    <x v="2"/>
  </r>
  <r>
    <x v="808"/>
    <x v="8"/>
    <n v="18"/>
    <x v="2"/>
    <x v="255"/>
    <n v="96"/>
    <n v="4.8"/>
    <x v="1"/>
    <x v="0"/>
    <x v="3"/>
    <x v="0"/>
  </r>
  <r>
    <x v="809"/>
    <x v="2"/>
    <n v="87"/>
    <x v="2"/>
    <x v="255"/>
    <n v="23"/>
    <n v="4.2"/>
    <x v="1"/>
    <x v="0"/>
    <x v="0"/>
    <x v="2"/>
  </r>
  <r>
    <x v="810"/>
    <x v="7"/>
    <n v="94"/>
    <x v="4"/>
    <x v="256"/>
    <n v="120"/>
    <n v="3.4"/>
    <x v="1"/>
    <x v="1"/>
    <x v="0"/>
    <x v="1"/>
  </r>
  <r>
    <x v="811"/>
    <x v="12"/>
    <n v="56"/>
    <x v="4"/>
    <x v="256"/>
    <n v="205"/>
    <n v="3.3"/>
    <x v="1"/>
    <x v="1"/>
    <x v="2"/>
    <x v="1"/>
  </r>
  <r>
    <x v="812"/>
    <x v="9"/>
    <n v="41"/>
    <x v="1"/>
    <x v="257"/>
    <n v="42"/>
    <n v="3.8"/>
    <x v="1"/>
    <x v="2"/>
    <x v="2"/>
    <x v="2"/>
  </r>
  <r>
    <x v="813"/>
    <x v="4"/>
    <n v="119"/>
    <x v="3"/>
    <x v="257"/>
    <n v="111"/>
    <n v="3.9"/>
    <x v="1"/>
    <x v="2"/>
    <x v="0"/>
    <x v="2"/>
  </r>
  <r>
    <x v="814"/>
    <x v="3"/>
    <n v="108"/>
    <x v="4"/>
    <x v="257"/>
    <n v="68"/>
    <n v="2.5"/>
    <x v="1"/>
    <x v="2"/>
    <x v="0"/>
    <x v="1"/>
  </r>
  <r>
    <x v="815"/>
    <x v="13"/>
    <n v="63"/>
    <x v="0"/>
    <x v="257"/>
    <n v="172"/>
    <n v="4.9000000000000004"/>
    <x v="1"/>
    <x v="2"/>
    <x v="0"/>
    <x v="0"/>
  </r>
  <r>
    <x v="816"/>
    <x v="11"/>
    <n v="59"/>
    <x v="4"/>
    <x v="257"/>
    <n v="152"/>
    <n v="4.8"/>
    <x v="1"/>
    <x v="2"/>
    <x v="2"/>
    <x v="0"/>
  </r>
  <r>
    <x v="817"/>
    <x v="11"/>
    <n v="90"/>
    <x v="1"/>
    <x v="257"/>
    <n v="48"/>
    <n v="4.7"/>
    <x v="1"/>
    <x v="2"/>
    <x v="0"/>
    <x v="0"/>
  </r>
  <r>
    <x v="818"/>
    <x v="6"/>
    <n v="55"/>
    <x v="1"/>
    <x v="257"/>
    <n v="25"/>
    <n v="4.7"/>
    <x v="1"/>
    <x v="2"/>
    <x v="2"/>
    <x v="0"/>
  </r>
  <r>
    <x v="819"/>
    <x v="3"/>
    <n v="84"/>
    <x v="3"/>
    <x v="258"/>
    <n v="54"/>
    <n v="3.3"/>
    <x v="1"/>
    <x v="3"/>
    <x v="0"/>
    <x v="1"/>
  </r>
  <r>
    <x v="820"/>
    <x v="3"/>
    <n v="150"/>
    <x v="2"/>
    <x v="258"/>
    <n v="108"/>
    <n v="4.7"/>
    <x v="1"/>
    <x v="3"/>
    <x v="1"/>
    <x v="0"/>
  </r>
  <r>
    <x v="821"/>
    <x v="14"/>
    <n v="69"/>
    <x v="4"/>
    <x v="258"/>
    <n v="36"/>
    <n v="4.5"/>
    <x v="1"/>
    <x v="3"/>
    <x v="0"/>
    <x v="0"/>
  </r>
  <r>
    <x v="822"/>
    <x v="0"/>
    <n v="120"/>
    <x v="1"/>
    <x v="259"/>
    <n v="140"/>
    <n v="4.5999999999999996"/>
    <x v="1"/>
    <x v="4"/>
    <x v="0"/>
    <x v="0"/>
  </r>
  <r>
    <x v="823"/>
    <x v="2"/>
    <n v="126"/>
    <x v="3"/>
    <x v="259"/>
    <n v="50"/>
    <n v="4.8"/>
    <x v="1"/>
    <x v="4"/>
    <x v="1"/>
    <x v="0"/>
  </r>
  <r>
    <x v="824"/>
    <x v="14"/>
    <n v="120"/>
    <x v="0"/>
    <x v="259"/>
    <n v="195"/>
    <n v="4.3"/>
    <x v="1"/>
    <x v="4"/>
    <x v="0"/>
    <x v="2"/>
  </r>
  <r>
    <x v="825"/>
    <x v="2"/>
    <n v="139"/>
    <x v="1"/>
    <x v="260"/>
    <n v="48"/>
    <n v="4.7"/>
    <x v="1"/>
    <x v="5"/>
    <x v="1"/>
    <x v="0"/>
  </r>
  <r>
    <x v="826"/>
    <x v="6"/>
    <n v="124"/>
    <x v="4"/>
    <x v="261"/>
    <n v="29"/>
    <n v="4.8"/>
    <x v="1"/>
    <x v="6"/>
    <x v="1"/>
    <x v="0"/>
  </r>
  <r>
    <x v="827"/>
    <x v="0"/>
    <n v="108"/>
    <x v="0"/>
    <x v="261"/>
    <n v="44"/>
    <n v="4.7"/>
    <x v="1"/>
    <x v="6"/>
    <x v="0"/>
    <x v="0"/>
  </r>
  <r>
    <x v="828"/>
    <x v="1"/>
    <n v="132"/>
    <x v="2"/>
    <x v="261"/>
    <n v="140"/>
    <n v="4.3"/>
    <x v="1"/>
    <x v="6"/>
    <x v="1"/>
    <x v="2"/>
  </r>
  <r>
    <x v="829"/>
    <x v="13"/>
    <n v="67"/>
    <x v="2"/>
    <x v="261"/>
    <n v="105"/>
    <n v="3.8"/>
    <x v="1"/>
    <x v="6"/>
    <x v="0"/>
    <x v="2"/>
  </r>
  <r>
    <x v="830"/>
    <x v="5"/>
    <n v="125"/>
    <x v="2"/>
    <x v="261"/>
    <n v="82"/>
    <n v="4.5999999999999996"/>
    <x v="1"/>
    <x v="6"/>
    <x v="1"/>
    <x v="0"/>
  </r>
  <r>
    <x v="831"/>
    <x v="0"/>
    <n v="23"/>
    <x v="0"/>
    <x v="261"/>
    <n v="24"/>
    <n v="2.9"/>
    <x v="1"/>
    <x v="6"/>
    <x v="3"/>
    <x v="1"/>
  </r>
  <r>
    <x v="832"/>
    <x v="4"/>
    <n v="131"/>
    <x v="4"/>
    <x v="262"/>
    <n v="205"/>
    <n v="4.8"/>
    <x v="1"/>
    <x v="0"/>
    <x v="1"/>
    <x v="0"/>
  </r>
  <r>
    <x v="833"/>
    <x v="1"/>
    <n v="56"/>
    <x v="1"/>
    <x v="262"/>
    <n v="225"/>
    <n v="4.9000000000000004"/>
    <x v="1"/>
    <x v="0"/>
    <x v="2"/>
    <x v="0"/>
  </r>
  <r>
    <x v="834"/>
    <x v="4"/>
    <n v="70"/>
    <x v="4"/>
    <x v="262"/>
    <n v="50"/>
    <n v="3.4"/>
    <x v="1"/>
    <x v="0"/>
    <x v="0"/>
    <x v="1"/>
  </r>
  <r>
    <x v="835"/>
    <x v="4"/>
    <n v="55"/>
    <x v="2"/>
    <x v="262"/>
    <n v="80"/>
    <n v="4.3"/>
    <x v="1"/>
    <x v="0"/>
    <x v="2"/>
    <x v="2"/>
  </r>
  <r>
    <x v="836"/>
    <x v="5"/>
    <n v="77"/>
    <x v="1"/>
    <x v="262"/>
    <n v="78"/>
    <n v="3.9"/>
    <x v="1"/>
    <x v="0"/>
    <x v="0"/>
    <x v="2"/>
  </r>
  <r>
    <x v="837"/>
    <x v="3"/>
    <n v="133"/>
    <x v="4"/>
    <x v="263"/>
    <n v="40"/>
    <n v="3.9"/>
    <x v="1"/>
    <x v="1"/>
    <x v="1"/>
    <x v="2"/>
  </r>
  <r>
    <x v="838"/>
    <x v="5"/>
    <n v="77"/>
    <x v="1"/>
    <x v="263"/>
    <n v="176"/>
    <n v="1.5"/>
    <x v="1"/>
    <x v="1"/>
    <x v="0"/>
    <x v="3"/>
  </r>
  <r>
    <x v="839"/>
    <x v="11"/>
    <n v="103"/>
    <x v="4"/>
    <x v="263"/>
    <n v="78"/>
    <n v="3"/>
    <x v="1"/>
    <x v="1"/>
    <x v="0"/>
    <x v="1"/>
  </r>
  <r>
    <x v="840"/>
    <x v="14"/>
    <n v="32"/>
    <x v="1"/>
    <x v="263"/>
    <n v="42"/>
    <n v="4.2"/>
    <x v="1"/>
    <x v="1"/>
    <x v="2"/>
    <x v="2"/>
  </r>
  <r>
    <x v="841"/>
    <x v="3"/>
    <n v="30"/>
    <x v="4"/>
    <x v="263"/>
    <n v="38"/>
    <n v="3.7"/>
    <x v="1"/>
    <x v="1"/>
    <x v="3"/>
    <x v="2"/>
  </r>
  <r>
    <x v="842"/>
    <x v="2"/>
    <n v="87"/>
    <x v="3"/>
    <x v="263"/>
    <n v="27"/>
    <n v="4.2"/>
    <x v="1"/>
    <x v="1"/>
    <x v="0"/>
    <x v="2"/>
  </r>
  <r>
    <x v="843"/>
    <x v="5"/>
    <n v="137"/>
    <x v="0"/>
    <x v="264"/>
    <n v="45"/>
    <n v="4.4000000000000004"/>
    <x v="1"/>
    <x v="2"/>
    <x v="1"/>
    <x v="2"/>
  </r>
  <r>
    <x v="844"/>
    <x v="7"/>
    <n v="96"/>
    <x v="4"/>
    <x v="264"/>
    <n v="215"/>
    <n v="4"/>
    <x v="1"/>
    <x v="2"/>
    <x v="0"/>
    <x v="2"/>
  </r>
  <r>
    <x v="845"/>
    <x v="6"/>
    <n v="155"/>
    <x v="4"/>
    <x v="265"/>
    <n v="72"/>
    <n v="4.7"/>
    <x v="1"/>
    <x v="3"/>
    <x v="1"/>
    <x v="0"/>
  </r>
  <r>
    <x v="846"/>
    <x v="3"/>
    <n v="173"/>
    <x v="2"/>
    <x v="265"/>
    <n v="160"/>
    <n v="2.8"/>
    <x v="1"/>
    <x v="3"/>
    <x v="1"/>
    <x v="1"/>
  </r>
  <r>
    <x v="847"/>
    <x v="6"/>
    <n v="127"/>
    <x v="4"/>
    <x v="265"/>
    <n v="165"/>
    <n v="2.5"/>
    <x v="1"/>
    <x v="3"/>
    <x v="1"/>
    <x v="1"/>
  </r>
  <r>
    <x v="848"/>
    <x v="1"/>
    <n v="117"/>
    <x v="2"/>
    <x v="265"/>
    <n v="120"/>
    <n v="3.4"/>
    <x v="1"/>
    <x v="3"/>
    <x v="0"/>
    <x v="1"/>
  </r>
  <r>
    <x v="849"/>
    <x v="0"/>
    <n v="133"/>
    <x v="1"/>
    <x v="265"/>
    <n v="117"/>
    <n v="4.8"/>
    <x v="1"/>
    <x v="3"/>
    <x v="1"/>
    <x v="0"/>
  </r>
  <r>
    <x v="850"/>
    <x v="8"/>
    <n v="166"/>
    <x v="3"/>
    <x v="266"/>
    <n v="29"/>
    <n v="4.3"/>
    <x v="1"/>
    <x v="4"/>
    <x v="1"/>
    <x v="2"/>
  </r>
  <r>
    <x v="851"/>
    <x v="0"/>
    <n v="50"/>
    <x v="2"/>
    <x v="266"/>
    <n v="64"/>
    <n v="4.5"/>
    <x v="1"/>
    <x v="4"/>
    <x v="2"/>
    <x v="0"/>
  </r>
  <r>
    <x v="852"/>
    <x v="11"/>
    <n v="43"/>
    <x v="1"/>
    <x v="266"/>
    <n v="84"/>
    <n v="3.6"/>
    <x v="1"/>
    <x v="4"/>
    <x v="2"/>
    <x v="2"/>
  </r>
  <r>
    <x v="853"/>
    <x v="7"/>
    <n v="124"/>
    <x v="4"/>
    <x v="266"/>
    <n v="42"/>
    <n v="3.7"/>
    <x v="1"/>
    <x v="4"/>
    <x v="1"/>
    <x v="2"/>
  </r>
  <r>
    <x v="854"/>
    <x v="3"/>
    <n v="94"/>
    <x v="4"/>
    <x v="266"/>
    <n v="120"/>
    <n v="3.5"/>
    <x v="1"/>
    <x v="4"/>
    <x v="0"/>
    <x v="2"/>
  </r>
  <r>
    <x v="855"/>
    <x v="11"/>
    <n v="126"/>
    <x v="3"/>
    <x v="267"/>
    <n v="80"/>
    <n v="4.7"/>
    <x v="1"/>
    <x v="5"/>
    <x v="1"/>
    <x v="0"/>
  </r>
  <r>
    <x v="856"/>
    <x v="8"/>
    <n v="105"/>
    <x v="2"/>
    <x v="267"/>
    <n v="185"/>
    <n v="3.5"/>
    <x v="1"/>
    <x v="5"/>
    <x v="0"/>
    <x v="2"/>
  </r>
  <r>
    <x v="857"/>
    <x v="4"/>
    <n v="60"/>
    <x v="0"/>
    <x v="268"/>
    <n v="135"/>
    <n v="3.9"/>
    <x v="1"/>
    <x v="6"/>
    <x v="2"/>
    <x v="2"/>
  </r>
  <r>
    <x v="858"/>
    <x v="4"/>
    <n v="72"/>
    <x v="2"/>
    <x v="268"/>
    <n v="20"/>
    <n v="4.8"/>
    <x v="1"/>
    <x v="6"/>
    <x v="0"/>
    <x v="0"/>
  </r>
  <r>
    <x v="859"/>
    <x v="12"/>
    <n v="40"/>
    <x v="2"/>
    <x v="268"/>
    <n v="31"/>
    <n v="4"/>
    <x v="1"/>
    <x v="6"/>
    <x v="2"/>
    <x v="2"/>
  </r>
  <r>
    <x v="860"/>
    <x v="14"/>
    <n v="54"/>
    <x v="3"/>
    <x v="269"/>
    <n v="120"/>
    <n v="4.7"/>
    <x v="1"/>
    <x v="0"/>
    <x v="2"/>
    <x v="0"/>
  </r>
  <r>
    <x v="861"/>
    <x v="1"/>
    <n v="81"/>
    <x v="1"/>
    <x v="269"/>
    <n v="117"/>
    <n v="3.6"/>
    <x v="1"/>
    <x v="0"/>
    <x v="0"/>
    <x v="2"/>
  </r>
  <r>
    <x v="862"/>
    <x v="14"/>
    <n v="76"/>
    <x v="4"/>
    <x v="269"/>
    <n v="80"/>
    <n v="4.5"/>
    <x v="1"/>
    <x v="0"/>
    <x v="0"/>
    <x v="0"/>
  </r>
  <r>
    <x v="863"/>
    <x v="14"/>
    <n v="37"/>
    <x v="0"/>
    <x v="270"/>
    <n v="117"/>
    <n v="4"/>
    <x v="1"/>
    <x v="1"/>
    <x v="2"/>
    <x v="2"/>
  </r>
  <r>
    <x v="864"/>
    <x v="8"/>
    <n v="96"/>
    <x v="3"/>
    <x v="270"/>
    <n v="60"/>
    <n v="4.5"/>
    <x v="1"/>
    <x v="1"/>
    <x v="0"/>
    <x v="0"/>
  </r>
  <r>
    <x v="865"/>
    <x v="4"/>
    <n v="19"/>
    <x v="4"/>
    <x v="271"/>
    <n v="58"/>
    <n v="3.9"/>
    <x v="1"/>
    <x v="2"/>
    <x v="3"/>
    <x v="2"/>
  </r>
  <r>
    <x v="866"/>
    <x v="12"/>
    <n v="72"/>
    <x v="0"/>
    <x v="271"/>
    <n v="41"/>
    <n v="4.3"/>
    <x v="1"/>
    <x v="2"/>
    <x v="0"/>
    <x v="2"/>
  </r>
  <r>
    <x v="867"/>
    <x v="3"/>
    <n v="73"/>
    <x v="1"/>
    <x v="271"/>
    <n v="180"/>
    <n v="3.6"/>
    <x v="1"/>
    <x v="2"/>
    <x v="0"/>
    <x v="2"/>
  </r>
  <r>
    <x v="868"/>
    <x v="13"/>
    <n v="87"/>
    <x v="1"/>
    <x v="271"/>
    <n v="42"/>
    <n v="3.6"/>
    <x v="1"/>
    <x v="2"/>
    <x v="0"/>
    <x v="2"/>
  </r>
  <r>
    <x v="869"/>
    <x v="13"/>
    <n v="68"/>
    <x v="1"/>
    <x v="272"/>
    <n v="24"/>
    <n v="4"/>
    <x v="1"/>
    <x v="3"/>
    <x v="0"/>
    <x v="2"/>
  </r>
  <r>
    <x v="870"/>
    <x v="12"/>
    <n v="101"/>
    <x v="1"/>
    <x v="272"/>
    <n v="125"/>
    <n v="4.2"/>
    <x v="1"/>
    <x v="3"/>
    <x v="0"/>
    <x v="2"/>
  </r>
  <r>
    <x v="871"/>
    <x v="12"/>
    <n v="107"/>
    <x v="0"/>
    <x v="273"/>
    <n v="78"/>
    <n v="4.3"/>
    <x v="1"/>
    <x v="4"/>
    <x v="0"/>
    <x v="2"/>
  </r>
  <r>
    <x v="872"/>
    <x v="9"/>
    <n v="109"/>
    <x v="2"/>
    <x v="273"/>
    <n v="180"/>
    <n v="3.8"/>
    <x v="1"/>
    <x v="4"/>
    <x v="0"/>
    <x v="2"/>
  </r>
  <r>
    <x v="873"/>
    <x v="7"/>
    <n v="171"/>
    <x v="0"/>
    <x v="273"/>
    <n v="84"/>
    <n v="4.4000000000000004"/>
    <x v="1"/>
    <x v="4"/>
    <x v="1"/>
    <x v="2"/>
  </r>
  <r>
    <x v="874"/>
    <x v="4"/>
    <n v="21"/>
    <x v="0"/>
    <x v="273"/>
    <n v="26"/>
    <n v="4.7"/>
    <x v="1"/>
    <x v="4"/>
    <x v="3"/>
    <x v="0"/>
  </r>
  <r>
    <x v="875"/>
    <x v="1"/>
    <n v="94"/>
    <x v="0"/>
    <x v="274"/>
    <n v="140"/>
    <n v="3.6"/>
    <x v="1"/>
    <x v="5"/>
    <x v="0"/>
    <x v="2"/>
  </r>
  <r>
    <x v="876"/>
    <x v="3"/>
    <n v="97"/>
    <x v="2"/>
    <x v="274"/>
    <n v="31"/>
    <n v="2.2000000000000002"/>
    <x v="1"/>
    <x v="5"/>
    <x v="0"/>
    <x v="3"/>
  </r>
  <r>
    <x v="877"/>
    <x v="8"/>
    <n v="72"/>
    <x v="2"/>
    <x v="274"/>
    <n v="108"/>
    <n v="4.8"/>
    <x v="1"/>
    <x v="5"/>
    <x v="0"/>
    <x v="0"/>
  </r>
  <r>
    <x v="878"/>
    <x v="7"/>
    <n v="143"/>
    <x v="3"/>
    <x v="275"/>
    <n v="58"/>
    <n v="4.3"/>
    <x v="1"/>
    <x v="6"/>
    <x v="1"/>
    <x v="2"/>
  </r>
  <r>
    <x v="879"/>
    <x v="7"/>
    <n v="64"/>
    <x v="2"/>
    <x v="275"/>
    <n v="185"/>
    <n v="2.2000000000000002"/>
    <x v="1"/>
    <x v="6"/>
    <x v="0"/>
    <x v="3"/>
  </r>
  <r>
    <x v="880"/>
    <x v="7"/>
    <n v="69"/>
    <x v="2"/>
    <x v="275"/>
    <n v="40"/>
    <n v="4.8"/>
    <x v="1"/>
    <x v="6"/>
    <x v="0"/>
    <x v="0"/>
  </r>
  <r>
    <x v="881"/>
    <x v="7"/>
    <n v="18"/>
    <x v="4"/>
    <x v="275"/>
    <n v="225"/>
    <n v="2.6"/>
    <x v="1"/>
    <x v="6"/>
    <x v="3"/>
    <x v="1"/>
  </r>
  <r>
    <x v="882"/>
    <x v="3"/>
    <n v="100"/>
    <x v="3"/>
    <x v="275"/>
    <n v="150"/>
    <n v="2.6"/>
    <x v="1"/>
    <x v="6"/>
    <x v="0"/>
    <x v="1"/>
  </r>
  <r>
    <x v="883"/>
    <x v="6"/>
    <n v="110"/>
    <x v="1"/>
    <x v="276"/>
    <n v="88"/>
    <n v="3.4"/>
    <x v="1"/>
    <x v="0"/>
    <x v="0"/>
    <x v="1"/>
  </r>
  <r>
    <x v="884"/>
    <x v="10"/>
    <n v="41"/>
    <x v="0"/>
    <x v="276"/>
    <n v="140"/>
    <n v="3.7"/>
    <x v="1"/>
    <x v="0"/>
    <x v="2"/>
    <x v="2"/>
  </r>
  <r>
    <x v="885"/>
    <x v="6"/>
    <n v="147"/>
    <x v="1"/>
    <x v="276"/>
    <n v="68"/>
    <n v="2.1"/>
    <x v="1"/>
    <x v="0"/>
    <x v="1"/>
    <x v="3"/>
  </r>
  <r>
    <x v="886"/>
    <x v="1"/>
    <n v="31"/>
    <x v="4"/>
    <x v="277"/>
    <n v="105"/>
    <n v="3.6"/>
    <x v="1"/>
    <x v="1"/>
    <x v="2"/>
    <x v="2"/>
  </r>
  <r>
    <x v="887"/>
    <x v="13"/>
    <n v="142"/>
    <x v="0"/>
    <x v="277"/>
    <n v="40"/>
    <n v="3.8"/>
    <x v="1"/>
    <x v="1"/>
    <x v="1"/>
    <x v="2"/>
  </r>
  <r>
    <x v="888"/>
    <x v="9"/>
    <n v="61"/>
    <x v="0"/>
    <x v="277"/>
    <n v="82"/>
    <n v="3.1"/>
    <x v="1"/>
    <x v="1"/>
    <x v="0"/>
    <x v="1"/>
  </r>
  <r>
    <x v="889"/>
    <x v="0"/>
    <n v="86"/>
    <x v="4"/>
    <x v="278"/>
    <n v="90"/>
    <n v="4.4000000000000004"/>
    <x v="1"/>
    <x v="2"/>
    <x v="0"/>
    <x v="2"/>
  </r>
  <r>
    <x v="890"/>
    <x v="2"/>
    <n v="165"/>
    <x v="3"/>
    <x v="279"/>
    <n v="66"/>
    <n v="4.8"/>
    <x v="1"/>
    <x v="3"/>
    <x v="1"/>
    <x v="0"/>
  </r>
  <r>
    <x v="891"/>
    <x v="14"/>
    <n v="62"/>
    <x v="1"/>
    <x v="279"/>
    <n v="78"/>
    <n v="3.5"/>
    <x v="1"/>
    <x v="3"/>
    <x v="0"/>
    <x v="2"/>
  </r>
  <r>
    <x v="892"/>
    <x v="3"/>
    <n v="103"/>
    <x v="3"/>
    <x v="280"/>
    <n v="66"/>
    <n v="4.4000000000000004"/>
    <x v="1"/>
    <x v="4"/>
    <x v="0"/>
    <x v="2"/>
  </r>
  <r>
    <x v="893"/>
    <x v="13"/>
    <n v="56"/>
    <x v="4"/>
    <x v="281"/>
    <n v="160"/>
    <n v="3.8"/>
    <x v="1"/>
    <x v="5"/>
    <x v="2"/>
    <x v="2"/>
  </r>
  <r>
    <x v="894"/>
    <x v="12"/>
    <n v="114"/>
    <x v="0"/>
    <x v="282"/>
    <n v="144"/>
    <n v="3.8"/>
    <x v="1"/>
    <x v="6"/>
    <x v="0"/>
    <x v="2"/>
  </r>
  <r>
    <x v="895"/>
    <x v="13"/>
    <n v="112"/>
    <x v="2"/>
    <x v="282"/>
    <n v="200"/>
    <n v="4.5999999999999996"/>
    <x v="1"/>
    <x v="6"/>
    <x v="0"/>
    <x v="0"/>
  </r>
  <r>
    <x v="896"/>
    <x v="5"/>
    <n v="52"/>
    <x v="1"/>
    <x v="283"/>
    <n v="220"/>
    <n v="5"/>
    <x v="1"/>
    <x v="1"/>
    <x v="2"/>
    <x v="0"/>
  </r>
  <r>
    <x v="897"/>
    <x v="3"/>
    <n v="105"/>
    <x v="3"/>
    <x v="284"/>
    <n v="112"/>
    <n v="3.2"/>
    <x v="1"/>
    <x v="2"/>
    <x v="0"/>
    <x v="1"/>
  </r>
  <r>
    <x v="898"/>
    <x v="2"/>
    <n v="91"/>
    <x v="4"/>
    <x v="284"/>
    <n v="110"/>
    <n v="3.7"/>
    <x v="1"/>
    <x v="2"/>
    <x v="0"/>
    <x v="2"/>
  </r>
  <r>
    <x v="899"/>
    <x v="11"/>
    <n v="74"/>
    <x v="0"/>
    <x v="285"/>
    <n v="160"/>
    <n v="2.7"/>
    <x v="1"/>
    <x v="3"/>
    <x v="0"/>
    <x v="1"/>
  </r>
  <r>
    <x v="900"/>
    <x v="11"/>
    <n v="30"/>
    <x v="4"/>
    <x v="285"/>
    <n v="84"/>
    <n v="4"/>
    <x v="1"/>
    <x v="3"/>
    <x v="3"/>
    <x v="2"/>
  </r>
  <r>
    <x v="901"/>
    <x v="2"/>
    <n v="56"/>
    <x v="1"/>
    <x v="285"/>
    <n v="124"/>
    <n v="2.6"/>
    <x v="1"/>
    <x v="3"/>
    <x v="2"/>
    <x v="1"/>
  </r>
  <r>
    <x v="902"/>
    <x v="11"/>
    <n v="151"/>
    <x v="2"/>
    <x v="285"/>
    <n v="84"/>
    <n v="4.5999999999999996"/>
    <x v="1"/>
    <x v="3"/>
    <x v="1"/>
    <x v="0"/>
  </r>
  <r>
    <x v="903"/>
    <x v="1"/>
    <n v="108"/>
    <x v="3"/>
    <x v="286"/>
    <n v="130"/>
    <n v="2.7"/>
    <x v="1"/>
    <x v="4"/>
    <x v="0"/>
    <x v="1"/>
  </r>
  <r>
    <x v="904"/>
    <x v="12"/>
    <n v="124"/>
    <x v="0"/>
    <x v="286"/>
    <n v="215"/>
    <n v="3.5"/>
    <x v="1"/>
    <x v="4"/>
    <x v="1"/>
    <x v="2"/>
  </r>
  <r>
    <x v="905"/>
    <x v="3"/>
    <n v="110"/>
    <x v="1"/>
    <x v="287"/>
    <n v="132"/>
    <n v="3.6"/>
    <x v="1"/>
    <x v="5"/>
    <x v="0"/>
    <x v="2"/>
  </r>
  <r>
    <x v="906"/>
    <x v="6"/>
    <n v="89"/>
    <x v="3"/>
    <x v="287"/>
    <n v="88"/>
    <n v="4.9000000000000004"/>
    <x v="1"/>
    <x v="5"/>
    <x v="0"/>
    <x v="0"/>
  </r>
  <r>
    <x v="907"/>
    <x v="0"/>
    <n v="95"/>
    <x v="1"/>
    <x v="287"/>
    <n v="140"/>
    <n v="3.9"/>
    <x v="1"/>
    <x v="5"/>
    <x v="0"/>
    <x v="2"/>
  </r>
  <r>
    <x v="908"/>
    <x v="11"/>
    <n v="84"/>
    <x v="3"/>
    <x v="288"/>
    <n v="66"/>
    <n v="4.7"/>
    <x v="1"/>
    <x v="6"/>
    <x v="0"/>
    <x v="0"/>
  </r>
  <r>
    <x v="909"/>
    <x v="8"/>
    <n v="89"/>
    <x v="0"/>
    <x v="288"/>
    <n v="23"/>
    <n v="4.5"/>
    <x v="1"/>
    <x v="6"/>
    <x v="0"/>
    <x v="0"/>
  </r>
  <r>
    <x v="910"/>
    <x v="6"/>
    <n v="146"/>
    <x v="0"/>
    <x v="289"/>
    <n v="220"/>
    <n v="4.5"/>
    <x v="1"/>
    <x v="0"/>
    <x v="1"/>
    <x v="0"/>
  </r>
  <r>
    <x v="911"/>
    <x v="7"/>
    <n v="62"/>
    <x v="4"/>
    <x v="290"/>
    <n v="175"/>
    <n v="4.4000000000000004"/>
    <x v="1"/>
    <x v="1"/>
    <x v="0"/>
    <x v="2"/>
  </r>
  <r>
    <x v="912"/>
    <x v="13"/>
    <n v="82"/>
    <x v="0"/>
    <x v="290"/>
    <n v="172"/>
    <n v="4.0999999999999996"/>
    <x v="1"/>
    <x v="1"/>
    <x v="0"/>
    <x v="2"/>
  </r>
  <r>
    <x v="913"/>
    <x v="9"/>
    <n v="91"/>
    <x v="2"/>
    <x v="290"/>
    <n v="108"/>
    <n v="3.8"/>
    <x v="1"/>
    <x v="1"/>
    <x v="0"/>
    <x v="2"/>
  </r>
  <r>
    <x v="914"/>
    <x v="8"/>
    <n v="39"/>
    <x v="0"/>
    <x v="291"/>
    <n v="43"/>
    <n v="4.2"/>
    <x v="1"/>
    <x v="2"/>
    <x v="2"/>
    <x v="2"/>
  </r>
  <r>
    <x v="915"/>
    <x v="6"/>
    <n v="149"/>
    <x v="1"/>
    <x v="291"/>
    <n v="44"/>
    <n v="2.2000000000000002"/>
    <x v="1"/>
    <x v="2"/>
    <x v="1"/>
    <x v="3"/>
  </r>
  <r>
    <x v="916"/>
    <x v="13"/>
    <n v="138"/>
    <x v="4"/>
    <x v="291"/>
    <n v="105"/>
    <n v="3.9"/>
    <x v="1"/>
    <x v="2"/>
    <x v="1"/>
    <x v="2"/>
  </r>
  <r>
    <x v="917"/>
    <x v="7"/>
    <n v="113"/>
    <x v="1"/>
    <x v="292"/>
    <n v="34"/>
    <n v="3.9"/>
    <x v="1"/>
    <x v="3"/>
    <x v="0"/>
    <x v="2"/>
  </r>
  <r>
    <x v="918"/>
    <x v="4"/>
    <n v="88"/>
    <x v="0"/>
    <x v="292"/>
    <n v="220"/>
    <n v="4.0999999999999996"/>
    <x v="1"/>
    <x v="3"/>
    <x v="0"/>
    <x v="2"/>
  </r>
  <r>
    <x v="919"/>
    <x v="0"/>
    <n v="64"/>
    <x v="4"/>
    <x v="292"/>
    <n v="225"/>
    <n v="4.5999999999999996"/>
    <x v="1"/>
    <x v="3"/>
    <x v="0"/>
    <x v="0"/>
  </r>
  <r>
    <x v="920"/>
    <x v="2"/>
    <n v="53"/>
    <x v="4"/>
    <x v="293"/>
    <n v="37"/>
    <n v="4.0999999999999996"/>
    <x v="1"/>
    <x v="4"/>
    <x v="2"/>
    <x v="2"/>
  </r>
  <r>
    <x v="921"/>
    <x v="12"/>
    <n v="63"/>
    <x v="1"/>
    <x v="293"/>
    <n v="44"/>
    <n v="5"/>
    <x v="1"/>
    <x v="4"/>
    <x v="0"/>
    <x v="0"/>
  </r>
  <r>
    <x v="922"/>
    <x v="5"/>
    <n v="54"/>
    <x v="1"/>
    <x v="294"/>
    <n v="35"/>
    <n v="2.8"/>
    <x v="1"/>
    <x v="5"/>
    <x v="2"/>
    <x v="1"/>
  </r>
  <r>
    <x v="923"/>
    <x v="12"/>
    <n v="54"/>
    <x v="0"/>
    <x v="294"/>
    <n v="145"/>
    <n v="2.7"/>
    <x v="1"/>
    <x v="5"/>
    <x v="2"/>
    <x v="1"/>
  </r>
  <r>
    <x v="924"/>
    <x v="6"/>
    <n v="71"/>
    <x v="4"/>
    <x v="294"/>
    <n v="64"/>
    <n v="3.9"/>
    <x v="1"/>
    <x v="5"/>
    <x v="0"/>
    <x v="2"/>
  </r>
  <r>
    <x v="925"/>
    <x v="12"/>
    <n v="93"/>
    <x v="0"/>
    <x v="295"/>
    <n v="185"/>
    <n v="4.3"/>
    <x v="1"/>
    <x v="6"/>
    <x v="0"/>
    <x v="2"/>
  </r>
  <r>
    <x v="926"/>
    <x v="3"/>
    <n v="96"/>
    <x v="1"/>
    <x v="295"/>
    <n v="215"/>
    <n v="2.5"/>
    <x v="1"/>
    <x v="6"/>
    <x v="0"/>
    <x v="1"/>
  </r>
  <r>
    <x v="927"/>
    <x v="8"/>
    <n v="31"/>
    <x v="2"/>
    <x v="295"/>
    <n v="88"/>
    <n v="3.4"/>
    <x v="1"/>
    <x v="6"/>
    <x v="2"/>
    <x v="1"/>
  </r>
  <r>
    <x v="928"/>
    <x v="12"/>
    <n v="107"/>
    <x v="4"/>
    <x v="295"/>
    <n v="23"/>
    <n v="3.4"/>
    <x v="1"/>
    <x v="6"/>
    <x v="0"/>
    <x v="1"/>
  </r>
  <r>
    <x v="929"/>
    <x v="2"/>
    <n v="50"/>
    <x v="2"/>
    <x v="296"/>
    <n v="180"/>
    <n v="1.8"/>
    <x v="1"/>
    <x v="0"/>
    <x v="2"/>
    <x v="3"/>
  </r>
  <r>
    <x v="930"/>
    <x v="13"/>
    <n v="69"/>
    <x v="4"/>
    <x v="297"/>
    <n v="225"/>
    <n v="3.7"/>
    <x v="1"/>
    <x v="1"/>
    <x v="0"/>
    <x v="2"/>
  </r>
  <r>
    <x v="931"/>
    <x v="4"/>
    <n v="26"/>
    <x v="1"/>
    <x v="298"/>
    <n v="74"/>
    <n v="4.0999999999999996"/>
    <x v="1"/>
    <x v="2"/>
    <x v="3"/>
    <x v="2"/>
  </r>
  <r>
    <x v="932"/>
    <x v="3"/>
    <n v="158"/>
    <x v="4"/>
    <x v="298"/>
    <n v="36"/>
    <n v="3"/>
    <x v="1"/>
    <x v="2"/>
    <x v="1"/>
    <x v="1"/>
  </r>
  <r>
    <x v="933"/>
    <x v="5"/>
    <n v="99"/>
    <x v="4"/>
    <x v="299"/>
    <n v="116"/>
    <n v="3.9"/>
    <x v="1"/>
    <x v="4"/>
    <x v="0"/>
    <x v="2"/>
  </r>
  <r>
    <x v="934"/>
    <x v="3"/>
    <n v="78"/>
    <x v="2"/>
    <x v="299"/>
    <n v="140"/>
    <n v="4"/>
    <x v="1"/>
    <x v="4"/>
    <x v="0"/>
    <x v="2"/>
  </r>
  <r>
    <x v="935"/>
    <x v="3"/>
    <n v="102"/>
    <x v="1"/>
    <x v="300"/>
    <n v="104"/>
    <n v="4.5"/>
    <x v="1"/>
    <x v="5"/>
    <x v="0"/>
    <x v="0"/>
  </r>
  <r>
    <x v="936"/>
    <x v="5"/>
    <n v="158"/>
    <x v="3"/>
    <x v="300"/>
    <n v="148"/>
    <n v="4"/>
    <x v="1"/>
    <x v="5"/>
    <x v="1"/>
    <x v="2"/>
  </r>
  <r>
    <x v="937"/>
    <x v="8"/>
    <n v="56"/>
    <x v="4"/>
    <x v="300"/>
    <n v="205"/>
    <n v="4.3"/>
    <x v="1"/>
    <x v="5"/>
    <x v="2"/>
    <x v="2"/>
  </r>
  <r>
    <x v="938"/>
    <x v="1"/>
    <n v="17"/>
    <x v="0"/>
    <x v="300"/>
    <n v="210"/>
    <n v="4.8"/>
    <x v="1"/>
    <x v="5"/>
    <x v="3"/>
    <x v="0"/>
  </r>
  <r>
    <x v="939"/>
    <x v="4"/>
    <n v="104"/>
    <x v="3"/>
    <x v="301"/>
    <n v="41"/>
    <n v="4.7"/>
    <x v="1"/>
    <x v="0"/>
    <x v="0"/>
    <x v="0"/>
  </r>
  <r>
    <x v="940"/>
    <x v="11"/>
    <n v="96"/>
    <x v="2"/>
    <x v="301"/>
    <n v="136"/>
    <n v="5"/>
    <x v="1"/>
    <x v="0"/>
    <x v="0"/>
    <x v="0"/>
  </r>
  <r>
    <x v="941"/>
    <x v="9"/>
    <n v="83"/>
    <x v="1"/>
    <x v="302"/>
    <n v="126"/>
    <n v="1.5"/>
    <x v="1"/>
    <x v="1"/>
    <x v="0"/>
    <x v="3"/>
  </r>
  <r>
    <x v="942"/>
    <x v="2"/>
    <n v="80"/>
    <x v="0"/>
    <x v="303"/>
    <n v="148"/>
    <n v="4.0999999999999996"/>
    <x v="1"/>
    <x v="2"/>
    <x v="0"/>
    <x v="2"/>
  </r>
  <r>
    <x v="943"/>
    <x v="9"/>
    <n v="152"/>
    <x v="1"/>
    <x v="303"/>
    <n v="125"/>
    <n v="3.9"/>
    <x v="1"/>
    <x v="2"/>
    <x v="1"/>
    <x v="2"/>
  </r>
  <r>
    <x v="944"/>
    <x v="6"/>
    <n v="34"/>
    <x v="2"/>
    <x v="303"/>
    <n v="25"/>
    <n v="4.0999999999999996"/>
    <x v="1"/>
    <x v="2"/>
    <x v="2"/>
    <x v="2"/>
  </r>
  <r>
    <x v="945"/>
    <x v="7"/>
    <n v="2"/>
    <x v="4"/>
    <x v="304"/>
    <n v="62"/>
    <n v="2.8"/>
    <x v="1"/>
    <x v="3"/>
    <x v="4"/>
    <x v="1"/>
  </r>
  <r>
    <x v="946"/>
    <x v="2"/>
    <n v="140"/>
    <x v="2"/>
    <x v="305"/>
    <n v="90"/>
    <n v="4.5999999999999996"/>
    <x v="1"/>
    <x v="4"/>
    <x v="1"/>
    <x v="0"/>
  </r>
  <r>
    <x v="947"/>
    <x v="1"/>
    <n v="126"/>
    <x v="3"/>
    <x v="306"/>
    <n v="33"/>
    <n v="4.8"/>
    <x v="1"/>
    <x v="5"/>
    <x v="1"/>
    <x v="0"/>
  </r>
  <r>
    <x v="948"/>
    <x v="3"/>
    <n v="79"/>
    <x v="4"/>
    <x v="306"/>
    <n v="115"/>
    <n v="2.2999999999999998"/>
    <x v="1"/>
    <x v="5"/>
    <x v="0"/>
    <x v="3"/>
  </r>
  <r>
    <x v="949"/>
    <x v="1"/>
    <n v="133"/>
    <x v="3"/>
    <x v="306"/>
    <n v="45"/>
    <n v="2.6"/>
    <x v="1"/>
    <x v="5"/>
    <x v="1"/>
    <x v="1"/>
  </r>
  <r>
    <x v="950"/>
    <x v="6"/>
    <n v="97"/>
    <x v="0"/>
    <x v="306"/>
    <n v="114"/>
    <n v="4.8"/>
    <x v="1"/>
    <x v="5"/>
    <x v="0"/>
    <x v="0"/>
  </r>
  <r>
    <x v="951"/>
    <x v="3"/>
    <n v="102"/>
    <x v="1"/>
    <x v="307"/>
    <n v="72"/>
    <n v="3.7"/>
    <x v="1"/>
    <x v="6"/>
    <x v="0"/>
    <x v="2"/>
  </r>
  <r>
    <x v="952"/>
    <x v="10"/>
    <n v="62"/>
    <x v="0"/>
    <x v="307"/>
    <n v="205"/>
    <n v="4.2"/>
    <x v="1"/>
    <x v="6"/>
    <x v="0"/>
    <x v="2"/>
  </r>
  <r>
    <x v="953"/>
    <x v="1"/>
    <n v="149"/>
    <x v="1"/>
    <x v="308"/>
    <n v="42"/>
    <n v="3.3"/>
    <x v="1"/>
    <x v="0"/>
    <x v="1"/>
    <x v="1"/>
  </r>
  <r>
    <x v="954"/>
    <x v="7"/>
    <n v="133"/>
    <x v="0"/>
    <x v="308"/>
    <n v="96"/>
    <n v="4.3"/>
    <x v="1"/>
    <x v="0"/>
    <x v="1"/>
    <x v="2"/>
  </r>
  <r>
    <x v="955"/>
    <x v="3"/>
    <n v="51"/>
    <x v="4"/>
    <x v="308"/>
    <n v="64"/>
    <n v="3.7"/>
    <x v="1"/>
    <x v="0"/>
    <x v="2"/>
    <x v="2"/>
  </r>
  <r>
    <x v="956"/>
    <x v="10"/>
    <n v="110"/>
    <x v="0"/>
    <x v="309"/>
    <n v="72"/>
    <n v="3.7"/>
    <x v="1"/>
    <x v="1"/>
    <x v="0"/>
    <x v="2"/>
  </r>
  <r>
    <x v="957"/>
    <x v="6"/>
    <n v="38"/>
    <x v="3"/>
    <x v="310"/>
    <n v="27"/>
    <n v="3.1"/>
    <x v="1"/>
    <x v="2"/>
    <x v="2"/>
    <x v="1"/>
  </r>
  <r>
    <x v="958"/>
    <x v="7"/>
    <n v="78"/>
    <x v="3"/>
    <x v="311"/>
    <n v="200"/>
    <n v="2.4"/>
    <x v="1"/>
    <x v="4"/>
    <x v="0"/>
    <x v="3"/>
  </r>
  <r>
    <x v="959"/>
    <x v="6"/>
    <n v="25"/>
    <x v="1"/>
    <x v="312"/>
    <n v="93"/>
    <n v="3.5"/>
    <x v="1"/>
    <x v="5"/>
    <x v="3"/>
    <x v="2"/>
  </r>
  <r>
    <x v="960"/>
    <x v="12"/>
    <n v="50"/>
    <x v="4"/>
    <x v="312"/>
    <n v="54"/>
    <n v="4.3"/>
    <x v="1"/>
    <x v="5"/>
    <x v="2"/>
    <x v="2"/>
  </r>
  <r>
    <x v="961"/>
    <x v="6"/>
    <n v="103"/>
    <x v="1"/>
    <x v="313"/>
    <n v="72"/>
    <n v="3.4"/>
    <x v="1"/>
    <x v="6"/>
    <x v="0"/>
    <x v="1"/>
  </r>
  <r>
    <x v="962"/>
    <x v="9"/>
    <n v="63"/>
    <x v="2"/>
    <x v="313"/>
    <n v="82"/>
    <n v="3.7"/>
    <x v="1"/>
    <x v="6"/>
    <x v="0"/>
    <x v="2"/>
  </r>
  <r>
    <x v="963"/>
    <x v="12"/>
    <n v="96"/>
    <x v="4"/>
    <x v="314"/>
    <n v="164"/>
    <n v="4.8"/>
    <x v="1"/>
    <x v="3"/>
    <x v="0"/>
    <x v="0"/>
  </r>
  <r>
    <x v="964"/>
    <x v="2"/>
    <n v="94"/>
    <x v="1"/>
    <x v="314"/>
    <n v="78"/>
    <n v="3.3"/>
    <x v="1"/>
    <x v="3"/>
    <x v="0"/>
    <x v="1"/>
  </r>
  <r>
    <x v="965"/>
    <x v="10"/>
    <n v="46"/>
    <x v="3"/>
    <x v="315"/>
    <n v="135"/>
    <n v="4.2"/>
    <x v="1"/>
    <x v="4"/>
    <x v="2"/>
    <x v="2"/>
  </r>
  <r>
    <x v="966"/>
    <x v="14"/>
    <n v="127"/>
    <x v="4"/>
    <x v="316"/>
    <n v="145"/>
    <n v="2.6"/>
    <x v="1"/>
    <x v="5"/>
    <x v="1"/>
    <x v="1"/>
  </r>
  <r>
    <x v="967"/>
    <x v="5"/>
    <n v="96"/>
    <x v="3"/>
    <x v="316"/>
    <n v="115"/>
    <n v="4.9000000000000004"/>
    <x v="1"/>
    <x v="5"/>
    <x v="0"/>
    <x v="0"/>
  </r>
  <r>
    <x v="968"/>
    <x v="13"/>
    <n v="151"/>
    <x v="1"/>
    <x v="316"/>
    <n v="117"/>
    <n v="2"/>
    <x v="1"/>
    <x v="5"/>
    <x v="1"/>
    <x v="3"/>
  </r>
  <r>
    <x v="969"/>
    <x v="14"/>
    <n v="158"/>
    <x v="0"/>
    <x v="317"/>
    <n v="36"/>
    <n v="4.7"/>
    <x v="1"/>
    <x v="6"/>
    <x v="1"/>
    <x v="0"/>
  </r>
  <r>
    <x v="970"/>
    <x v="2"/>
    <n v="45"/>
    <x v="0"/>
    <x v="317"/>
    <n v="84"/>
    <n v="2.8"/>
    <x v="1"/>
    <x v="6"/>
    <x v="2"/>
    <x v="1"/>
  </r>
  <r>
    <x v="971"/>
    <x v="8"/>
    <n v="141"/>
    <x v="0"/>
    <x v="317"/>
    <n v="66"/>
    <n v="3.2"/>
    <x v="1"/>
    <x v="6"/>
    <x v="1"/>
    <x v="1"/>
  </r>
  <r>
    <x v="972"/>
    <x v="6"/>
    <n v="147"/>
    <x v="3"/>
    <x v="317"/>
    <n v="76"/>
    <n v="4.7"/>
    <x v="1"/>
    <x v="6"/>
    <x v="1"/>
    <x v="0"/>
  </r>
  <r>
    <x v="973"/>
    <x v="11"/>
    <n v="126"/>
    <x v="3"/>
    <x v="317"/>
    <n v="185"/>
    <n v="4.8"/>
    <x v="1"/>
    <x v="6"/>
    <x v="1"/>
    <x v="0"/>
  </r>
  <r>
    <x v="974"/>
    <x v="2"/>
    <n v="126"/>
    <x v="2"/>
    <x v="318"/>
    <n v="80"/>
    <n v="4.7"/>
    <x v="1"/>
    <x v="0"/>
    <x v="1"/>
    <x v="0"/>
  </r>
  <r>
    <x v="975"/>
    <x v="7"/>
    <n v="32"/>
    <x v="3"/>
    <x v="318"/>
    <n v="148"/>
    <n v="4"/>
    <x v="1"/>
    <x v="0"/>
    <x v="2"/>
    <x v="2"/>
  </r>
  <r>
    <x v="976"/>
    <x v="2"/>
    <n v="84"/>
    <x v="4"/>
    <x v="319"/>
    <n v="180"/>
    <n v="4.9000000000000004"/>
    <x v="1"/>
    <x v="2"/>
    <x v="0"/>
    <x v="0"/>
  </r>
  <r>
    <x v="977"/>
    <x v="9"/>
    <n v="120"/>
    <x v="2"/>
    <x v="320"/>
    <n v="190"/>
    <n v="3.7"/>
    <x v="1"/>
    <x v="3"/>
    <x v="0"/>
    <x v="2"/>
  </r>
  <r>
    <x v="978"/>
    <x v="4"/>
    <n v="93"/>
    <x v="3"/>
    <x v="320"/>
    <n v="38"/>
    <n v="4.5"/>
    <x v="1"/>
    <x v="3"/>
    <x v="0"/>
    <x v="0"/>
  </r>
  <r>
    <x v="979"/>
    <x v="5"/>
    <n v="76"/>
    <x v="1"/>
    <x v="321"/>
    <n v="82"/>
    <n v="2.1"/>
    <x v="1"/>
    <x v="4"/>
    <x v="0"/>
    <x v="3"/>
  </r>
  <r>
    <x v="980"/>
    <x v="14"/>
    <n v="89"/>
    <x v="3"/>
    <x v="322"/>
    <n v="88"/>
    <n v="2.8"/>
    <x v="1"/>
    <x v="0"/>
    <x v="0"/>
    <x v="1"/>
  </r>
  <r>
    <x v="981"/>
    <x v="3"/>
    <n v="91"/>
    <x v="4"/>
    <x v="322"/>
    <n v="42"/>
    <n v="4.0999999999999996"/>
    <x v="1"/>
    <x v="0"/>
    <x v="0"/>
    <x v="2"/>
  </r>
  <r>
    <x v="982"/>
    <x v="10"/>
    <n v="7"/>
    <x v="0"/>
    <x v="323"/>
    <n v="64"/>
    <n v="3.3"/>
    <x v="1"/>
    <x v="1"/>
    <x v="4"/>
    <x v="1"/>
  </r>
  <r>
    <x v="983"/>
    <x v="7"/>
    <n v="140"/>
    <x v="0"/>
    <x v="323"/>
    <n v="105"/>
    <n v="1.7"/>
    <x v="1"/>
    <x v="1"/>
    <x v="1"/>
    <x v="3"/>
  </r>
  <r>
    <x v="984"/>
    <x v="1"/>
    <n v="58"/>
    <x v="2"/>
    <x v="323"/>
    <n v="25"/>
    <n v="3.6"/>
    <x v="1"/>
    <x v="1"/>
    <x v="2"/>
    <x v="2"/>
  </r>
  <r>
    <x v="985"/>
    <x v="0"/>
    <n v="90"/>
    <x v="1"/>
    <x v="324"/>
    <n v="176"/>
    <n v="3.6"/>
    <x v="1"/>
    <x v="2"/>
    <x v="0"/>
    <x v="2"/>
  </r>
  <r>
    <x v="986"/>
    <x v="0"/>
    <n v="106"/>
    <x v="3"/>
    <x v="325"/>
    <n v="46"/>
    <n v="4.5999999999999996"/>
    <x v="1"/>
    <x v="3"/>
    <x v="0"/>
    <x v="0"/>
  </r>
  <r>
    <x v="987"/>
    <x v="9"/>
    <n v="72"/>
    <x v="0"/>
    <x v="325"/>
    <n v="164"/>
    <n v="4.8"/>
    <x v="1"/>
    <x v="3"/>
    <x v="0"/>
    <x v="0"/>
  </r>
  <r>
    <x v="988"/>
    <x v="10"/>
    <n v="124"/>
    <x v="0"/>
    <x v="326"/>
    <n v="64"/>
    <n v="4.5"/>
    <x v="1"/>
    <x v="4"/>
    <x v="1"/>
    <x v="0"/>
  </r>
  <r>
    <x v="989"/>
    <x v="8"/>
    <n v="86"/>
    <x v="4"/>
    <x v="326"/>
    <n v="205"/>
    <n v="4.5"/>
    <x v="1"/>
    <x v="4"/>
    <x v="0"/>
    <x v="0"/>
  </r>
  <r>
    <x v="990"/>
    <x v="2"/>
    <n v="164"/>
    <x v="4"/>
    <x v="327"/>
    <n v="100"/>
    <n v="4.5999999999999996"/>
    <x v="1"/>
    <x v="5"/>
    <x v="1"/>
    <x v="0"/>
  </r>
  <r>
    <x v="991"/>
    <x v="4"/>
    <n v="40"/>
    <x v="1"/>
    <x v="327"/>
    <n v="111"/>
    <n v="4.5999999999999996"/>
    <x v="1"/>
    <x v="5"/>
    <x v="2"/>
    <x v="0"/>
  </r>
  <r>
    <x v="992"/>
    <x v="3"/>
    <n v="76"/>
    <x v="2"/>
    <x v="327"/>
    <n v="80"/>
    <n v="3.5"/>
    <x v="1"/>
    <x v="5"/>
    <x v="0"/>
    <x v="2"/>
  </r>
  <r>
    <x v="993"/>
    <x v="10"/>
    <n v="95"/>
    <x v="3"/>
    <x v="327"/>
    <n v="50"/>
    <n v="2.9"/>
    <x v="1"/>
    <x v="5"/>
    <x v="0"/>
    <x v="1"/>
  </r>
  <r>
    <x v="994"/>
    <x v="3"/>
    <n v="113"/>
    <x v="0"/>
    <x v="328"/>
    <n v="165"/>
    <n v="4.7"/>
    <x v="1"/>
    <x v="6"/>
    <x v="0"/>
    <x v="0"/>
  </r>
  <r>
    <x v="995"/>
    <x v="8"/>
    <n v="81"/>
    <x v="0"/>
    <x v="328"/>
    <n v="28"/>
    <n v="3.9"/>
    <x v="1"/>
    <x v="6"/>
    <x v="0"/>
    <x v="2"/>
  </r>
  <r>
    <x v="996"/>
    <x v="5"/>
    <n v="127"/>
    <x v="3"/>
    <x v="328"/>
    <n v="215"/>
    <n v="3.8"/>
    <x v="1"/>
    <x v="6"/>
    <x v="1"/>
    <x v="2"/>
  </r>
  <r>
    <x v="997"/>
    <x v="7"/>
    <n v="146"/>
    <x v="0"/>
    <x v="329"/>
    <n v="115"/>
    <n v="2.2999999999999998"/>
    <x v="1"/>
    <x v="0"/>
    <x v="1"/>
    <x v="3"/>
  </r>
  <r>
    <x v="998"/>
    <x v="6"/>
    <n v="123"/>
    <x v="0"/>
    <x v="329"/>
    <n v="64"/>
    <n v="3.7"/>
    <x v="1"/>
    <x v="0"/>
    <x v="1"/>
    <x v="2"/>
  </r>
  <r>
    <x v="999"/>
    <x v="9"/>
    <n v="114"/>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E99C3-C2A3-4C15-9516-4CABB3AC5129}"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7:M165" firstHeaderRow="1" firstDataRow="3"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x="13"/>
        <item x="8"/>
        <item x="0"/>
        <item x="1"/>
        <item x="2"/>
        <item x="10"/>
        <item x="5"/>
        <item x="14"/>
        <item x="9"/>
        <item x="6"/>
        <item x="4"/>
        <item x="12"/>
        <item x="7"/>
        <item x="3"/>
        <item x="11"/>
        <item t="default"/>
      </items>
    </pivotField>
    <pivotField showAll="0"/>
    <pivotField showAll="0"/>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axis="axisCol" showAll="0">
      <items count="6">
        <item x="4"/>
        <item x="3"/>
        <item x="2"/>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2">
    <field x="9"/>
    <field x="-2"/>
  </colFields>
  <colItems count="12">
    <i>
      <x/>
      <x/>
    </i>
    <i r="1" i="1">
      <x v="1"/>
    </i>
    <i>
      <x v="1"/>
      <x/>
    </i>
    <i r="1" i="1">
      <x v="1"/>
    </i>
    <i>
      <x v="2"/>
      <x/>
    </i>
    <i r="1" i="1">
      <x v="1"/>
    </i>
    <i>
      <x v="3"/>
      <x/>
    </i>
    <i r="1" i="1">
      <x v="1"/>
    </i>
    <i>
      <x v="4"/>
      <x/>
    </i>
    <i r="1" i="1">
      <x v="1"/>
    </i>
    <i t="grand">
      <x/>
    </i>
    <i t="grand" i="1">
      <x/>
    </i>
  </colItems>
  <dataFields count="2">
    <dataField name="Count of Call number" fld="0" subtotal="count" baseField="0" baseItem="0"/>
    <dataField name="Sum of Purchase Amount" fld="5" baseField="0" baseItem="0"/>
  </dataFields>
  <chartFormats count="50">
    <chartFormat chart="0" format="21" series="1">
      <pivotArea type="data" outline="0" fieldPosition="0">
        <references count="1">
          <reference field="4294967294" count="1" selected="0">
            <x v="1"/>
          </reference>
        </references>
      </pivotArea>
    </chartFormat>
    <chartFormat chart="0" format="23" series="1">
      <pivotArea type="data" outline="0" fieldPosition="0">
        <references count="2">
          <reference field="4294967294" count="1" selected="0">
            <x v="1"/>
          </reference>
          <reference field="1" count="1" selected="0">
            <x v="1"/>
          </reference>
        </references>
      </pivotArea>
    </chartFormat>
    <chartFormat chart="0" format="25" series="1">
      <pivotArea type="data" outline="0" fieldPosition="0">
        <references count="2">
          <reference field="4294967294" count="1" selected="0">
            <x v="1"/>
          </reference>
          <reference field="1" count="1" selected="0">
            <x v="2"/>
          </reference>
        </references>
      </pivotArea>
    </chartFormat>
    <chartFormat chart="0" format="27" series="1">
      <pivotArea type="data" outline="0" fieldPosition="0">
        <references count="2">
          <reference field="4294967294" count="1" selected="0">
            <x v="1"/>
          </reference>
          <reference field="1" count="1" selected="0">
            <x v="3"/>
          </reference>
        </references>
      </pivotArea>
    </chartFormat>
    <chartFormat chart="0" format="29" series="1">
      <pivotArea type="data" outline="0" fieldPosition="0">
        <references count="2">
          <reference field="4294967294" count="1" selected="0">
            <x v="1"/>
          </reference>
          <reference field="1" count="1" selected="0">
            <x v="4"/>
          </reference>
        </references>
      </pivotArea>
    </chartFormat>
    <chartFormat chart="0" format="31" series="1">
      <pivotArea type="data" outline="0" fieldPosition="0">
        <references count="2">
          <reference field="4294967294" count="1" selected="0">
            <x v="1"/>
          </reference>
          <reference field="1" count="1" selected="0">
            <x v="5"/>
          </reference>
        </references>
      </pivotArea>
    </chartFormat>
    <chartFormat chart="0" format="33" series="1">
      <pivotArea type="data" outline="0" fieldPosition="0">
        <references count="2">
          <reference field="4294967294" count="1" selected="0">
            <x v="1"/>
          </reference>
          <reference field="1" count="1" selected="0">
            <x v="6"/>
          </reference>
        </references>
      </pivotArea>
    </chartFormat>
    <chartFormat chart="0" format="35" series="1">
      <pivotArea type="data" outline="0" fieldPosition="0">
        <references count="2">
          <reference field="4294967294" count="1" selected="0">
            <x v="1"/>
          </reference>
          <reference field="1" count="1" selected="0">
            <x v="7"/>
          </reference>
        </references>
      </pivotArea>
    </chartFormat>
    <chartFormat chart="0" format="37" series="1">
      <pivotArea type="data" outline="0" fieldPosition="0">
        <references count="2">
          <reference field="4294967294" count="1" selected="0">
            <x v="1"/>
          </reference>
          <reference field="1" count="1" selected="0">
            <x v="8"/>
          </reference>
        </references>
      </pivotArea>
    </chartFormat>
    <chartFormat chart="0" format="39" series="1">
      <pivotArea type="data" outline="0" fieldPosition="0">
        <references count="2">
          <reference field="4294967294" count="1" selected="0">
            <x v="1"/>
          </reference>
          <reference field="1" count="1" selected="0">
            <x v="9"/>
          </reference>
        </references>
      </pivotArea>
    </chartFormat>
    <chartFormat chart="0" format="41" series="1">
      <pivotArea type="data" outline="0" fieldPosition="0">
        <references count="2">
          <reference field="4294967294" count="1" selected="0">
            <x v="1"/>
          </reference>
          <reference field="1" count="1" selected="0">
            <x v="10"/>
          </reference>
        </references>
      </pivotArea>
    </chartFormat>
    <chartFormat chart="0" format="43" series="1">
      <pivotArea type="data" outline="0" fieldPosition="0">
        <references count="2">
          <reference field="4294967294" count="1" selected="0">
            <x v="1"/>
          </reference>
          <reference field="1" count="1" selected="0">
            <x v="11"/>
          </reference>
        </references>
      </pivotArea>
    </chartFormat>
    <chartFormat chart="0" format="45" series="1">
      <pivotArea type="data" outline="0" fieldPosition="0">
        <references count="2">
          <reference field="4294967294" count="1" selected="0">
            <x v="1"/>
          </reference>
          <reference field="1" count="1" selected="0">
            <x v="12"/>
          </reference>
        </references>
      </pivotArea>
    </chartFormat>
    <chartFormat chart="0" format="47" series="1">
      <pivotArea type="data" outline="0" fieldPosition="0">
        <references count="2">
          <reference field="4294967294" count="1" selected="0">
            <x v="1"/>
          </reference>
          <reference field="1" count="1" selected="0">
            <x v="13"/>
          </reference>
        </references>
      </pivotArea>
    </chartFormat>
    <chartFormat chart="0" format="49" series="1">
      <pivotArea type="data" outline="0" fieldPosition="0">
        <references count="2">
          <reference field="4294967294" count="1" selected="0">
            <x v="1"/>
          </reference>
          <reference field="1" count="1" selected="0">
            <x v="14"/>
          </reference>
        </references>
      </pivotArea>
    </chartFormat>
    <chartFormat chart="0" format="51" series="1">
      <pivotArea type="data" outline="0" fieldPosition="0">
        <references count="2">
          <reference field="4294967294" count="1" selected="0">
            <x v="1"/>
          </reference>
          <reference field="1" count="1" selected="0">
            <x v="0"/>
          </reference>
        </references>
      </pivotArea>
    </chartFormat>
    <chartFormat chart="0" format="52" series="1">
      <pivotArea type="data" outline="0" fieldPosition="0">
        <references count="2">
          <reference field="4294967294" count="1" selected="0">
            <x v="0"/>
          </reference>
          <reference field="1" count="1" selected="0">
            <x v="7"/>
          </reference>
        </references>
      </pivotArea>
    </chartFormat>
    <chartFormat chart="0" format="53" series="1">
      <pivotArea type="data" outline="0" fieldPosition="0">
        <references count="2">
          <reference field="4294967294" count="1" selected="0">
            <x v="0"/>
          </reference>
          <reference field="1" count="1" selected="0">
            <x v="8"/>
          </reference>
        </references>
      </pivotArea>
    </chartFormat>
    <chartFormat chart="0" format="54" series="1">
      <pivotArea type="data" outline="0" fieldPosition="0">
        <references count="2">
          <reference field="4294967294" count="1" selected="0">
            <x v="0"/>
          </reference>
          <reference field="1" count="1" selected="0">
            <x v="9"/>
          </reference>
        </references>
      </pivotArea>
    </chartFormat>
    <chartFormat chart="0" format="55" series="1">
      <pivotArea type="data" outline="0" fieldPosition="0">
        <references count="2">
          <reference field="4294967294" count="1" selected="0">
            <x v="0"/>
          </reference>
          <reference field="1" count="1" selected="0">
            <x v="10"/>
          </reference>
        </references>
      </pivotArea>
    </chartFormat>
    <chartFormat chart="0" format="56" series="1">
      <pivotArea type="data" outline="0" fieldPosition="0">
        <references count="2">
          <reference field="4294967294" count="1" selected="0">
            <x v="0"/>
          </reference>
          <reference field="1" count="1" selected="0">
            <x v="11"/>
          </reference>
        </references>
      </pivotArea>
    </chartFormat>
    <chartFormat chart="0" format="57" series="1">
      <pivotArea type="data" outline="0" fieldPosition="0">
        <references count="2">
          <reference field="4294967294" count="1" selected="0">
            <x v="0"/>
          </reference>
          <reference field="1" count="1" selected="0">
            <x v="12"/>
          </reference>
        </references>
      </pivotArea>
    </chartFormat>
    <chartFormat chart="0" format="58" series="1">
      <pivotArea type="data" outline="0" fieldPosition="0">
        <references count="2">
          <reference field="4294967294" count="1" selected="0">
            <x v="0"/>
          </reference>
          <reference field="1" count="1" selected="0">
            <x v="13"/>
          </reference>
        </references>
      </pivotArea>
    </chartFormat>
    <chartFormat chart="0" format="59" series="1">
      <pivotArea type="data" outline="0" fieldPosition="0">
        <references count="2">
          <reference field="4294967294" count="1" selected="0">
            <x v="0"/>
          </reference>
          <reference field="1" count="1" selected="0">
            <x v="14"/>
          </reference>
        </references>
      </pivotArea>
    </chartFormat>
    <chartFormat chart="0" format="60" series="1">
      <pivotArea type="data" outline="0" fieldPosition="0">
        <references count="2">
          <reference field="4294967294" count="1" selected="0">
            <x v="0"/>
          </reference>
          <reference field="1" count="1" selected="0">
            <x v="0"/>
          </reference>
        </references>
      </pivotArea>
    </chartFormat>
    <chartFormat chart="0" format="61" series="1">
      <pivotArea type="data" outline="0" fieldPosition="0">
        <references count="2">
          <reference field="4294967294" count="1" selected="0">
            <x v="0"/>
          </reference>
          <reference field="1" count="1" selected="0">
            <x v="1"/>
          </reference>
        </references>
      </pivotArea>
    </chartFormat>
    <chartFormat chart="0" format="62" series="1">
      <pivotArea type="data" outline="0" fieldPosition="0">
        <references count="2">
          <reference field="4294967294" count="1" selected="0">
            <x v="0"/>
          </reference>
          <reference field="1" count="1" selected="0">
            <x v="2"/>
          </reference>
        </references>
      </pivotArea>
    </chartFormat>
    <chartFormat chart="0" format="63" series="1">
      <pivotArea type="data" outline="0" fieldPosition="0">
        <references count="2">
          <reference field="4294967294" count="1" selected="0">
            <x v="0"/>
          </reference>
          <reference field="1" count="1" selected="0">
            <x v="3"/>
          </reference>
        </references>
      </pivotArea>
    </chartFormat>
    <chartFormat chart="0" format="64" series="1">
      <pivotArea type="data" outline="0" fieldPosition="0">
        <references count="2">
          <reference field="4294967294" count="1" selected="0">
            <x v="0"/>
          </reference>
          <reference field="1" count="1" selected="0">
            <x v="4"/>
          </reference>
        </references>
      </pivotArea>
    </chartFormat>
    <chartFormat chart="0" format="65" series="1">
      <pivotArea type="data" outline="0" fieldPosition="0">
        <references count="2">
          <reference field="4294967294" count="1" selected="0">
            <x v="0"/>
          </reference>
          <reference field="1" count="1" selected="0">
            <x v="5"/>
          </reference>
        </references>
      </pivotArea>
    </chartFormat>
    <chartFormat chart="0" format="66" series="1">
      <pivotArea type="data" outline="0" fieldPosition="0">
        <references count="2">
          <reference field="4294967294" count="1" selected="0">
            <x v="0"/>
          </reference>
          <reference field="1" count="1" selected="0">
            <x v="6"/>
          </reference>
        </references>
      </pivotArea>
    </chartFormat>
    <chartFormat chart="0" format="67" series="1">
      <pivotArea type="data" outline="0" fieldPosition="0">
        <references count="1">
          <reference field="4294967294" count="1" selected="0">
            <x v="0"/>
          </reference>
        </references>
      </pivotArea>
    </chartFormat>
    <chartFormat chart="0" format="68" series="1">
      <pivotArea type="data" outline="0" fieldPosition="0">
        <references count="2">
          <reference field="4294967294" count="1" selected="0">
            <x v="1"/>
          </reference>
          <reference field="9" count="1" selected="0">
            <x v="2"/>
          </reference>
        </references>
      </pivotArea>
    </chartFormat>
    <chartFormat chart="0" format="69" series="1">
      <pivotArea type="data" outline="0" fieldPosition="0">
        <references count="2">
          <reference field="4294967294" count="1" selected="0">
            <x v="1"/>
          </reference>
          <reference field="9" count="1" selected="0">
            <x v="3"/>
          </reference>
        </references>
      </pivotArea>
    </chartFormat>
    <chartFormat chart="0" format="70" series="1">
      <pivotArea type="data" outline="0" fieldPosition="0">
        <references count="2">
          <reference field="4294967294" count="1" selected="0">
            <x v="1"/>
          </reference>
          <reference field="9" count="1" selected="0">
            <x v="4"/>
          </reference>
        </references>
      </pivotArea>
    </chartFormat>
    <chartFormat chart="0" format="71" series="1">
      <pivotArea type="data" outline="0" fieldPosition="0">
        <references count="2">
          <reference field="4294967294" count="1" selected="0">
            <x v="0"/>
          </reference>
          <reference field="9" count="1" selected="0">
            <x v="0"/>
          </reference>
        </references>
      </pivotArea>
    </chartFormat>
    <chartFormat chart="0" format="72" series="1">
      <pivotArea type="data" outline="0" fieldPosition="0">
        <references count="2">
          <reference field="4294967294" count="1" selected="0">
            <x v="0"/>
          </reference>
          <reference field="9" count="1" selected="0">
            <x v="1"/>
          </reference>
        </references>
      </pivotArea>
    </chartFormat>
    <chartFormat chart="0" format="73" series="1">
      <pivotArea type="data" outline="0" fieldPosition="0">
        <references count="2">
          <reference field="4294967294" count="1" selected="0">
            <x v="0"/>
          </reference>
          <reference field="9" count="1" selected="0">
            <x v="2"/>
          </reference>
        </references>
      </pivotArea>
    </chartFormat>
    <chartFormat chart="0" format="74" series="1">
      <pivotArea type="data" outline="0" fieldPosition="0">
        <references count="2">
          <reference field="4294967294" count="1" selected="0">
            <x v="0"/>
          </reference>
          <reference field="9" count="1" selected="0">
            <x v="3"/>
          </reference>
        </references>
      </pivotArea>
    </chartFormat>
    <chartFormat chart="0" format="75" series="1">
      <pivotArea type="data" outline="0" fieldPosition="0">
        <references count="2">
          <reference field="4294967294" count="1" selected="0">
            <x v="0"/>
          </reference>
          <reference field="9" count="1" selected="0">
            <x v="4"/>
          </reference>
        </references>
      </pivotArea>
    </chartFormat>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1"/>
          </reference>
          <reference field="9" count="1" selected="0">
            <x v="0"/>
          </reference>
        </references>
      </pivotArea>
    </chartFormat>
    <chartFormat chart="3" format="2" series="1">
      <pivotArea type="data" outline="0" fieldPosition="0">
        <references count="2">
          <reference field="4294967294" count="1" selected="0">
            <x v="0"/>
          </reference>
          <reference field="9" count="1" selected="0">
            <x v="1"/>
          </reference>
        </references>
      </pivotArea>
    </chartFormat>
    <chartFormat chart="3" format="3" series="1">
      <pivotArea type="data" outline="0" fieldPosition="0">
        <references count="2">
          <reference field="4294967294" count="1" selected="0">
            <x v="1"/>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2"/>
          </reference>
        </references>
      </pivotArea>
    </chartFormat>
    <chartFormat chart="3" format="5" series="1">
      <pivotArea type="data" outline="0" fieldPosition="0">
        <references count="2">
          <reference field="4294967294" count="1" selected="0">
            <x v="1"/>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3"/>
          </reference>
        </references>
      </pivotArea>
    </chartFormat>
    <chartFormat chart="3" format="7" series="1">
      <pivotArea type="data" outline="0" fieldPosition="0">
        <references count="2">
          <reference field="4294967294" count="1" selected="0">
            <x v="1"/>
          </reference>
          <reference field="9" count="1" selected="0">
            <x v="3"/>
          </reference>
        </references>
      </pivotArea>
    </chartFormat>
    <chartFormat chart="3" format="8" series="1">
      <pivotArea type="data" outline="0" fieldPosition="0">
        <references count="2">
          <reference field="4294967294" count="1" selected="0">
            <x v="0"/>
          </reference>
          <reference field="9" count="1" selected="0">
            <x v="4"/>
          </reference>
        </references>
      </pivotArea>
    </chartFormat>
    <chartFormat chart="3" format="9" series="1">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DB527-FDFE-45FC-9B86-380F3B4C13DF}"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8:G126" firstHeaderRow="1" firstDataRow="2" firstDataCol="1"/>
  <pivotFields count="13">
    <pivotField dataField="1" showAll="0"/>
    <pivotField showAll="0"/>
    <pivotField showAll="0"/>
    <pivotField axis="axisCol" showAll="0">
      <items count="6">
        <item x="2"/>
        <item x="1"/>
        <item x="4"/>
        <item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Row"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7">
    <i>
      <x/>
    </i>
    <i>
      <x v="1"/>
    </i>
    <i>
      <x v="2"/>
    </i>
    <i>
      <x v="3"/>
    </i>
    <i>
      <x v="4"/>
    </i>
    <i>
      <x v="5"/>
    </i>
    <i t="grand">
      <x/>
    </i>
  </rowItems>
  <colFields count="1">
    <field x="3"/>
  </colFields>
  <colItems count="6">
    <i>
      <x/>
    </i>
    <i>
      <x v="1"/>
    </i>
    <i>
      <x v="2"/>
    </i>
    <i>
      <x v="3"/>
    </i>
    <i>
      <x v="4"/>
    </i>
    <i t="grand">
      <x/>
    </i>
  </colItems>
  <dataFields count="1">
    <dataField name="Count of Call number" fld="0" subtotal="count" baseField="0" baseItem="0"/>
  </dataFields>
  <conditionalFormats count="1">
    <conditionalFormat priority="1">
      <pivotAreas count="1">
        <pivotArea type="data" collapsedLevelsAreSubtotals="1" fieldPosition="0">
          <references count="3">
            <reference field="4294967294" count="1" selected="0">
              <x v="0"/>
            </reference>
            <reference field="3" count="5">
              <x v="0"/>
              <x v="1"/>
              <x v="2"/>
              <x v="3"/>
              <x v="4"/>
            </reference>
            <reference field="10" count="6" selected="0">
              <x v="0"/>
              <x v="1"/>
              <x v="2"/>
              <x v="3"/>
              <x v="4"/>
              <x v="5"/>
            </reference>
          </references>
        </pivotArea>
      </pivotAreas>
    </conditionalFormat>
  </conditionalFormats>
  <chartFormats count="16">
    <chartFormat chart="0" format="0" series="1">
      <pivotArea type="data" outline="0" fieldPosition="0">
        <references count="1">
          <reference field="10" count="1" selected="0">
            <x v="0"/>
          </reference>
        </references>
      </pivotArea>
    </chartFormat>
    <chartFormat chart="0" format="1" series="1">
      <pivotArea type="data" outline="0" fieldPosition="0">
        <references count="1">
          <reference field="10" count="1" selected="0">
            <x v="1"/>
          </reference>
        </references>
      </pivotArea>
    </chartFormat>
    <chartFormat chart="0" format="2" series="1">
      <pivotArea type="data" outline="0" fieldPosition="0">
        <references count="1">
          <reference field="10" count="1" selected="0">
            <x v="2"/>
          </reference>
        </references>
      </pivotArea>
    </chartFormat>
    <chartFormat chart="0" format="3" series="1">
      <pivotArea type="data" outline="0" fieldPosition="0">
        <references count="1">
          <reference field="10" count="1" selected="0">
            <x v="3"/>
          </reference>
        </references>
      </pivotArea>
    </chartFormat>
    <chartFormat chart="0" format="4" series="1">
      <pivotArea type="data" outline="0" fieldPosition="0">
        <references count="1">
          <reference field="10" count="1" selected="0">
            <x v="4"/>
          </reference>
        </references>
      </pivotArea>
    </chartFormat>
    <chartFormat chart="0" format="5" series="1">
      <pivotArea type="data" outline="0" fieldPosition="0">
        <references count="1">
          <reference field="10" count="1" selected="0">
            <x v="5"/>
          </reference>
        </references>
      </pivotArea>
    </chartFormat>
    <chartFormat chart="0" format="6" series="1">
      <pivotArea type="data" outline="0" fieldPosition="0">
        <references count="2">
          <reference field="4294967294" count="1" selected="0">
            <x v="0"/>
          </reference>
          <reference field="10" count="1" selected="0">
            <x v="1"/>
          </reference>
        </references>
      </pivotArea>
    </chartFormat>
    <chartFormat chart="0" format="7" series="1">
      <pivotArea type="data" outline="0" fieldPosition="0">
        <references count="2">
          <reference field="4294967294" count="1" selected="0">
            <x v="0"/>
          </reference>
          <reference field="10" count="1" selected="0">
            <x v="2"/>
          </reference>
        </references>
      </pivotArea>
    </chartFormat>
    <chartFormat chart="0" format="8" series="1">
      <pivotArea type="data" outline="0" fieldPosition="0">
        <references count="2">
          <reference field="4294967294" count="1" selected="0">
            <x v="0"/>
          </reference>
          <reference field="10" count="1" selected="0">
            <x v="3"/>
          </reference>
        </references>
      </pivotArea>
    </chartFormat>
    <chartFormat chart="0" format="9" series="1">
      <pivotArea type="data" outline="0" fieldPosition="0">
        <references count="2">
          <reference field="4294967294" count="1" selected="0">
            <x v="0"/>
          </reference>
          <reference field="10" count="1" selected="0">
            <x v="4"/>
          </reference>
        </references>
      </pivotArea>
    </chartFormat>
    <chartFormat chart="0" format="10" series="1">
      <pivotArea type="data" outline="0" fieldPosition="0">
        <references count="2">
          <reference field="4294967294" count="1" selected="0">
            <x v="0"/>
          </reference>
          <reference field="10" count="1" selected="0">
            <x v="5"/>
          </reference>
        </references>
      </pivotArea>
    </chartFormat>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3" count="1" selected="0">
            <x v="1"/>
          </reference>
        </references>
      </pivotArea>
    </chartFormat>
    <chartFormat chart="0" format="13" series="1">
      <pivotArea type="data" outline="0" fieldPosition="0">
        <references count="2">
          <reference field="4294967294" count="1" selected="0">
            <x v="0"/>
          </reference>
          <reference field="3" count="1" selected="0">
            <x v="2"/>
          </reference>
        </references>
      </pivotArea>
    </chartFormat>
    <chartFormat chart="0" format="14" series="1">
      <pivotArea type="data" outline="0" fieldPosition="0">
        <references count="2">
          <reference field="4294967294" count="1" selected="0">
            <x v="0"/>
          </reference>
          <reference field="3" count="1" selected="0">
            <x v="3"/>
          </reference>
        </references>
      </pivotArea>
    </chartFormat>
    <chartFormat chart="0" format="15"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39DE2-110A-4DE1-AD5B-27807EDFD18E}"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7:N114" firstHeaderRow="1" firstDataRow="2" firstDataCol="1"/>
  <pivotFields count="13">
    <pivotField dataField="1" showAll="0"/>
    <pivotField showAll="0"/>
    <pivotField showAll="0"/>
    <pivotField axis="axisRow" showAll="0">
      <items count="6">
        <item x="2"/>
        <item x="1"/>
        <item x="4"/>
        <item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priority="2">
      <pivotAreas count="1">
        <pivotArea type="data" collapsedLevelsAreSubtotals="1" fieldPosition="0">
          <references count="3">
            <reference field="4294967294" count="1" selected="0">
              <x v="0"/>
            </reference>
            <reference field="3" count="5">
              <x v="0"/>
              <x v="1"/>
              <x v="2"/>
              <x v="3"/>
              <x v="4"/>
            </reference>
            <reference field="12" count="12" selected="0">
              <x v="1"/>
              <x v="2"/>
              <x v="3"/>
              <x v="4"/>
              <x v="5"/>
              <x v="6"/>
              <x v="7"/>
              <x v="8"/>
              <x v="9"/>
              <x v="10"/>
              <x v="11"/>
              <x v="12"/>
            </reference>
          </references>
        </pivotArea>
      </pivotAreas>
    </conditionalFormat>
  </conditionalFormats>
  <chartFormats count="12">
    <chartFormat chart="0" format="0" series="1">
      <pivotArea type="data" outline="0" fieldPosition="0">
        <references count="1">
          <reference field="12" count="1" selected="0">
            <x v="1"/>
          </reference>
        </references>
      </pivotArea>
    </chartFormat>
    <chartFormat chart="0" format="1" series="1">
      <pivotArea type="data" outline="0" fieldPosition="0">
        <references count="1">
          <reference field="12" count="1" selected="0">
            <x v="2"/>
          </reference>
        </references>
      </pivotArea>
    </chartFormat>
    <chartFormat chart="0" format="2" series="1">
      <pivotArea type="data" outline="0" fieldPosition="0">
        <references count="1">
          <reference field="12" count="1" selected="0">
            <x v="3"/>
          </reference>
        </references>
      </pivotArea>
    </chartFormat>
    <chartFormat chart="0" format="3" series="1">
      <pivotArea type="data" outline="0" fieldPosition="0">
        <references count="1">
          <reference field="12" count="1" selected="0">
            <x v="4"/>
          </reference>
        </references>
      </pivotArea>
    </chartFormat>
    <chartFormat chart="0" format="4" series="1">
      <pivotArea type="data" outline="0" fieldPosition="0">
        <references count="1">
          <reference field="12" count="1" selected="0">
            <x v="5"/>
          </reference>
        </references>
      </pivotArea>
    </chartFormat>
    <chartFormat chart="0" format="5" series="1">
      <pivotArea type="data" outline="0" fieldPosition="0">
        <references count="1">
          <reference field="12" count="1" selected="0">
            <x v="6"/>
          </reference>
        </references>
      </pivotArea>
    </chartFormat>
    <chartFormat chart="0" format="6" series="1">
      <pivotArea type="data" outline="0" fieldPosition="0">
        <references count="1">
          <reference field="12" count="1" selected="0">
            <x v="7"/>
          </reference>
        </references>
      </pivotArea>
    </chartFormat>
    <chartFormat chart="0" format="7" series="1">
      <pivotArea type="data" outline="0" fieldPosition="0">
        <references count="1">
          <reference field="12" count="1" selected="0">
            <x v="8"/>
          </reference>
        </references>
      </pivotArea>
    </chartFormat>
    <chartFormat chart="0" format="8" series="1">
      <pivotArea type="data" outline="0" fieldPosition="0">
        <references count="1">
          <reference field="12" count="1" selected="0">
            <x v="9"/>
          </reference>
        </references>
      </pivotArea>
    </chartFormat>
    <chartFormat chart="0" format="9" series="1">
      <pivotArea type="data" outline="0" fieldPosition="0">
        <references count="1">
          <reference field="12" count="1" selected="0">
            <x v="10"/>
          </reference>
        </references>
      </pivotArea>
    </chartFormat>
    <chartFormat chart="0" format="10" series="1">
      <pivotArea type="data" outline="0" fieldPosition="0">
        <references count="1">
          <reference field="12" count="1" selected="0">
            <x v="11"/>
          </reference>
        </references>
      </pivotArea>
    </chartFormat>
    <chartFormat chart="0" format="11" series="1">
      <pivotArea type="data" outline="0" fieldPosition="0">
        <references count="1">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C1A88-47FE-4888-A27B-04BACB20CFD4}"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6:F103" firstHeaderRow="1" firstDataRow="2" firstDataCol="1"/>
  <pivotFields count="13">
    <pivotField dataField="1" showAll="0"/>
    <pivotField showAll="0"/>
    <pivotField showAll="0"/>
    <pivotField showAll="0">
      <items count="6">
        <item h="1" x="2"/>
        <item h="1" x="1"/>
        <item h="1" x="4"/>
        <item h="1"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5">
    <i>
      <x v="2"/>
    </i>
    <i>
      <x v="3"/>
    </i>
    <i>
      <x v="4"/>
    </i>
    <i>
      <x v="5"/>
    </i>
    <i t="grand">
      <x/>
    </i>
  </colItems>
  <dataFields count="1">
    <dataField name="Count of Call number" fld="0" subtotal="count" baseField="0" baseItem="0"/>
  </dataFields>
  <conditionalFormats count="1">
    <conditionalFormat scope="field" priority="4">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chartFormats count="7">
    <chartFormat chart="0" format="1" series="1">
      <pivotArea type="data" outline="0" fieldPosition="0">
        <references count="1">
          <reference field="10" count="1" selected="0">
            <x v="1"/>
          </reference>
        </references>
      </pivotArea>
    </chartFormat>
    <chartFormat chart="0" format="2" series="1">
      <pivotArea type="data" outline="0" fieldPosition="0">
        <references count="1">
          <reference field="10" count="1" selected="0">
            <x v="2"/>
          </reference>
        </references>
      </pivotArea>
    </chartFormat>
    <chartFormat chart="0" format="3" series="1">
      <pivotArea type="data" outline="0" fieldPosition="0">
        <references count="1">
          <reference field="10" count="1" selected="0">
            <x v="3"/>
          </reference>
        </references>
      </pivotArea>
    </chartFormat>
    <chartFormat chart="0" format="4" series="1">
      <pivotArea type="data" outline="0" fieldPosition="0">
        <references count="1">
          <reference field="10" count="1" selected="0">
            <x v="4"/>
          </reference>
        </references>
      </pivotArea>
    </chartFormat>
    <chartFormat chart="0" format="5" series="1">
      <pivotArea type="data" outline="0" fieldPosition="0">
        <references count="1">
          <reference field="10" count="1" selected="0">
            <x v="5"/>
          </reference>
        </references>
      </pivotArea>
    </chartFormat>
    <chartFormat chart="0" format="6" series="1">
      <pivotArea type="data" outline="0" fieldPosition="0">
        <references count="1">
          <reference field="10" count="1" selected="0">
            <x v="0"/>
          </reference>
        </references>
      </pivotArea>
    </chartFormat>
    <chartFormat chart="0" format="7"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8AC296-9B1C-4C72-A85F-7487E3C3A464}"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4:I91" firstHeaderRow="1" firstDataRow="2" firstDataCol="1"/>
  <pivotFields count="13">
    <pivotField dataField="1" showAll="0"/>
    <pivotField showAll="0"/>
    <pivotField showAll="0"/>
    <pivotField axis="axisRow" showAll="0">
      <items count="6">
        <item x="2"/>
        <item x="1"/>
        <item x="4"/>
        <item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1"/>
        <item sd="0" x="2"/>
        <item x="3"/>
        <item x="4"/>
        <item x="5"/>
        <item x="6"/>
        <item x="0"/>
        <item t="default"/>
      </items>
    </pivotField>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Col" baseField="0" baseItem="0" numFmtId="10"/>
  </dataFields>
  <conditionalFormats count="1">
    <conditionalFormat scope="field" priority="5">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84B2BF-3E40-417C-B747-CB79C65E3F3C}"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B79" firstHeaderRow="1" firstDataRow="1" firstDataCol="1"/>
  <pivotFields count="13">
    <pivotField showAll="0"/>
    <pivotField showAll="0"/>
    <pivotField showAll="0"/>
    <pivotField showAll="0">
      <items count="6">
        <item x="2"/>
        <item x="1"/>
        <item x="4"/>
        <item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12"/>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2" baseItem="0" numFmtId="174"/>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B6FD50-1CDA-4FD4-A1B1-6A2F54908117}"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B55" firstHeaderRow="1" firstDataRow="1" firstDataCol="1"/>
  <pivotFields count="13">
    <pivotField showAll="0"/>
    <pivotField showAll="0"/>
    <pivotField showAll="0"/>
    <pivotField showAll="0">
      <items count="6">
        <item x="2"/>
        <item x="1"/>
        <item x="4"/>
        <item x="3"/>
        <item x="0"/>
        <item t="default"/>
      </items>
    </pivotField>
    <pivotField axis="axisRow"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numFmtId="17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D77163-AC13-4658-8F89-523DFE2122E7}"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36" firstHeaderRow="1" firstDataRow="1" firstDataCol="1"/>
  <pivotFields count="13">
    <pivotField dataField="1" showAll="0"/>
    <pivotField showAll="0"/>
    <pivotField showAll="0"/>
    <pivotField showAll="0">
      <items count="6">
        <item x="2"/>
        <item h="1" x="1"/>
        <item h="1" x="4"/>
        <item h="1" x="3"/>
        <item h="1" x="0"/>
        <item t="default"/>
      </items>
    </pivotField>
    <pivotField axis="axisRow"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D045A3-9E81-4613-9AD3-5F01D5A5CAC9}"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9" firstHeaderRow="0" firstDataRow="1" firstDataCol="1" rowPageCount="1" colPageCount="1"/>
  <pivotFields count="13">
    <pivotField dataField="1"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6">
        <item x="2"/>
        <item x="1"/>
        <item x="4"/>
        <item x="3"/>
        <item x="0"/>
        <item t="default"/>
      </items>
    </pivotField>
    <pivotField numFmtId="172"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4"/>
    </i>
    <i>
      <x v="3"/>
    </i>
    <i>
      <x v="12"/>
    </i>
    <i>
      <x v="6"/>
    </i>
    <i>
      <x v="11"/>
    </i>
    <i>
      <x/>
    </i>
    <i>
      <x v="10"/>
    </i>
    <i>
      <x v="8"/>
    </i>
    <i>
      <x v="14"/>
    </i>
    <i>
      <x v="9"/>
    </i>
    <i>
      <x v="5"/>
    </i>
    <i>
      <x v="1"/>
    </i>
    <i>
      <x v="13"/>
    </i>
    <i>
      <x v="7"/>
    </i>
    <i>
      <x v="2"/>
    </i>
    <i t="grand">
      <x/>
    </i>
  </rowItems>
  <colFields count="1">
    <field x="-2"/>
  </colFields>
  <colItems count="3">
    <i>
      <x/>
    </i>
    <i i="1">
      <x v="1"/>
    </i>
    <i i="2">
      <x v="2"/>
    </i>
  </colItems>
  <pageFields count="1">
    <pageField fld="3" hier="-1"/>
  </pageFields>
  <dataFields count="3">
    <dataField name="Sum of Purchase Amount" fld="5" baseField="0" baseItem="0" numFmtId="174"/>
    <dataField name="Count of Call number" fld="0" subtotal="count" baseField="0" baseItem="0"/>
    <dataField name="Average of Satisfaction Rating" fld="6" subtotal="average" baseField="0" baseItem="0" numFmtId="173"/>
  </dataField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A90D14-B3F1-456F-8F93-424F38BF09B4}" autoFormatId="16" applyNumberFormats="0" applyBorderFormats="0" applyFontFormats="0" applyPatternFormats="0" applyAlignmentFormats="0" applyWidthHeightFormats="0">
  <queryTableRefresh nextId="9">
    <queryTableFields count="8">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name="Percent Of Gold Medals" tableColumnId="7"/>
      <queryTableField id="8" name="Percent of silver medal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335DFD4-4AA3-4CA6-A586-32C3E499DCA1}" autoFormatId="16" applyNumberFormats="0" applyBorderFormats="0" applyFontFormats="0" applyPatternFormats="0" applyAlignmentFormats="0" applyWidthHeightFormats="0">
  <queryTableRefresh nextId="18">
    <queryTableFields count="13">
      <queryTableField id="1" name="Emp ID" tableColumnId="1"/>
      <queryTableField id="14" name="First Name" tableColumnId="14"/>
      <queryTableField id="15" name="Last Name" tableColumnId="15"/>
      <queryTableField id="4" name="Gender" tableColumnId="4"/>
      <queryTableField id="5" name="Department" tableColumnId="5"/>
      <queryTableField id="6" name="Salary" tableColumnId="6"/>
      <queryTableField id="7" name="Salary Bucket" tableColumnId="7"/>
      <queryTableField id="8" name="Start Date" tableColumnId="8"/>
      <queryTableField id="9" name="FTE" tableColumnId="9"/>
      <queryTableField id="10" name="Employee type" tableColumnId="10"/>
      <queryTableField id="11" name="Work location" tableColumnId="11"/>
      <queryTableField id="12" name="Total Years" tableColumnId="12"/>
      <queryTableField id="13" name="Work 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A7D08BB-455E-41C2-9FBB-6A62E4233985}" sourceName="Representative">
  <pivotTables>
    <pivotTable tabId="5" name="PivotTable1"/>
  </pivotTables>
  <data>
    <tabular pivotCacheId="1107607689">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A9461D38-5884-46A5-B090-34A9282DD329}" sourceName="Representative">
  <pivotTables>
    <pivotTable tabId="5" name="PivotTable4"/>
  </pivotTables>
  <data>
    <tabular pivotCacheId="1107607689">
      <items count="5">
        <i x="2" s="1"/>
        <i x="1"/>
        <i x="4"/>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B0989BA3-938F-4EE6-B394-3F8DAC9E6171}" sourceName="Representative">
  <pivotTables>
    <pivotTable tabId="5" name="PivotTable5"/>
    <pivotTable tabId="5" name="PivotTable7"/>
    <pivotTable tabId="5" name="PivotTable8"/>
  </pivotTables>
  <data>
    <tabular pivotCacheId="1107607689">
      <items count="5">
        <i x="2" s="1"/>
        <i x="1"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3" xr10:uid="{BD33E5B0-BBA9-40B2-A5B2-C43F8F456EC0}" sourceName="Representative">
  <pivotTables>
    <pivotTable tabId="5" name="PivotTable9"/>
  </pivotTables>
  <data>
    <tabular pivotCacheId="1107607689">
      <items count="5">
        <i x="2"/>
        <i x="1"/>
        <i x="4"/>
        <i x="3"/>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7D29A0AE-A8D8-40D3-B019-8F465A7F748C}" sourceName="Rating">
  <pivotTables>
    <pivotTable tabId="5" name="PivotTable12"/>
  </pivotTables>
  <data>
    <tabular pivotCacheId="1107607689">
      <items count="6">
        <i x="4" s="1"/>
        <i x="5"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F51A3B5-D63E-4BCA-80F6-FD1E9F57DF50}" cache="Slicer_Representative" caption="Representative" rowHeight="241300"/>
  <slicer name="Representative 1" xr10:uid="{7ED29EB6-DD43-401E-AEEE-273A4CDF0A95}" cache="Slicer_Representative1" caption="Representative" rowHeight="241300"/>
  <slicer name="Representative 2" xr10:uid="{D17DA262-C1F2-4402-8B26-EDD35AC0C585}" cache="Slicer_Representative2" caption="Representative" rowHeight="241300"/>
  <slicer name="Representative 3" xr10:uid="{8850EDC5-1C14-460E-81AF-5439197B2287}" cache="Slicer_Representative3" caption="Representative" rowHeight="241300"/>
  <slicer name="Rating" xr10:uid="{DEDBD066-E7C7-4EF1-96A9-048C1B7084AC}" cache="Slicer_Rating" caption="Rating"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16E297-7071-48D5-B3D6-7E6E373BB479}" name="_2020_Olympics_Medals" displayName="_2020_Olympics_Medals" ref="A1:H94" tableType="queryTable" totalsRowShown="0">
  <autoFilter ref="A1:H94" xr:uid="{8416E297-7071-48D5-B3D6-7E6E373BB479}"/>
  <tableColumns count="8">
    <tableColumn id="1" xr3:uid="{655E553E-B418-4FE7-A3D9-ACD05BC286FB}" uniqueName="1" name="Rank" queryTableFieldId="1" dataDxfId="1"/>
    <tableColumn id="2" xr3:uid="{50EA1FBA-7187-4688-98B4-0B81CFB2F5D9}" uniqueName="2" name="NOC" queryTableFieldId="2" dataDxfId="0"/>
    <tableColumn id="3" xr3:uid="{123D2291-8C53-4727-8DBB-85BCD0C8C754}" uniqueName="3" name="Gold" queryTableFieldId="3"/>
    <tableColumn id="4" xr3:uid="{35F22591-4886-4C02-A935-D568BE66878A}" uniqueName="4" name="Silver" queryTableFieldId="4"/>
    <tableColumn id="5" xr3:uid="{AEB05346-4170-4065-AA19-2F30FE9B707B}" uniqueName="5" name="Bronze" queryTableFieldId="5"/>
    <tableColumn id="6" xr3:uid="{6F940A55-0FD2-4A99-8966-8D64293F928C}" uniqueName="6" name="Total" queryTableFieldId="6"/>
    <tableColumn id="7" xr3:uid="{12B06C63-1B1B-4D76-97F6-715C13E4134E}" uniqueName="7" name="Percent Of Gold Medals" queryTableFieldId="7"/>
    <tableColumn id="8" xr3:uid="{384FF30B-BF33-4935-934A-7B38A82D55DF}" uniqueName="8" name="Percent of silver medals"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3A337E-9F45-45B5-8DD1-917076D64ACC}" name="Staff" displayName="Staff" ref="A1:M266" tableType="queryTable" totalsRowShown="0">
  <autoFilter ref="A1:M266" xr:uid="{453A337E-9F45-45B5-8DD1-917076D64ACC}"/>
  <tableColumns count="13">
    <tableColumn id="1" xr3:uid="{A023B70D-26DE-412F-AF73-E91906688454}" uniqueName="1" name="Emp ID" queryTableFieldId="1" dataDxfId="9"/>
    <tableColumn id="14" xr3:uid="{CA6AE20D-14B2-440B-A8CC-C634F1635D7B}" uniqueName="14" name="First Name" queryTableFieldId="14" dataDxfId="8"/>
    <tableColumn id="15" xr3:uid="{2E5C4F5C-4D85-4F59-964A-C1AEDC5F556D}" uniqueName="15" name="Last Name" queryTableFieldId="15" dataDxfId="7"/>
    <tableColumn id="4" xr3:uid="{E5A1A803-5F63-4AA5-8F70-EAC4DCA6B5CE}" uniqueName="4" name="Gender" queryTableFieldId="4" dataDxfId="6"/>
    <tableColumn id="5" xr3:uid="{9BB0B355-FE95-4B1F-8B75-BECDD0A646AA}" uniqueName="5" name="Department" queryTableFieldId="5" dataDxfId="5"/>
    <tableColumn id="6" xr3:uid="{64A365A4-3315-42F6-8AB8-2B2895343E9A}" uniqueName="6" name="Salary" queryTableFieldId="6"/>
    <tableColumn id="7" xr3:uid="{D3EBBF13-0F0A-4D91-84EA-4E40C0C870EF}" uniqueName="7" name="Salary Bucket" queryTableFieldId="7"/>
    <tableColumn id="8" xr3:uid="{9C8F7743-3D28-48EC-AE85-BCC83B353B33}" uniqueName="8" name="Start Date" queryTableFieldId="8" dataDxfId="4"/>
    <tableColumn id="9" xr3:uid="{E2B05838-5A39-4034-82AB-2B37CD410F3F}" uniqueName="9" name="FTE" queryTableFieldId="9"/>
    <tableColumn id="10" xr3:uid="{53496756-2937-4369-AD4F-B212F7554939}" uniqueName="10" name="Employee type" queryTableFieldId="10" dataDxfId="3"/>
    <tableColumn id="11" xr3:uid="{1B16D142-0DD6-40A4-B952-58E08EC1BF44}" uniqueName="11" name="Work location" queryTableFieldId="11" dataDxfId="2"/>
    <tableColumn id="12" xr3:uid="{80A0D712-DEAF-4FDF-9AA4-5BEC4B361941}" uniqueName="12" name="Total Years" queryTableFieldId="12"/>
    <tableColumn id="13" xr3:uid="{EA9A4A27-E0D8-432F-B2BA-F8F0DD2DA2DD}" uniqueName="13" name="Work Type"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7EE926-AF3B-4D64-BB9C-0A6DEF17FEF2}" name="Call_Center" displayName="Call_Center" ref="A1:K1001" totalsRowShown="0" headerRowBorderDxfId="22" tableBorderDxfId="23" totalsRowBorderDxfId="21">
  <autoFilter ref="A1:K1001" xr:uid="{7A7EE926-AF3B-4D64-BB9C-0A6DEF17FEF2}"/>
  <tableColumns count="11">
    <tableColumn id="1" xr3:uid="{A889BDC5-8E7A-4346-B6F0-78634237AA4A}" name="Call number" dataDxfId="20"/>
    <tableColumn id="2" xr3:uid="{9FCDC4C6-B5EE-4408-A0CD-C15D3E84F8B1}" name="Customer ID" dataDxfId="19"/>
    <tableColumn id="3" xr3:uid="{F9D15036-5C10-4C3D-AC7F-FCEB624A3F3C}" name="Duration" dataDxfId="18"/>
    <tableColumn id="4" xr3:uid="{648F1F1F-EF8E-4FF0-80D3-199387B24DC4}" name="Representative" dataDxfId="17"/>
    <tableColumn id="5" xr3:uid="{C3A63C1A-BBDD-4C0C-B861-8068CABED3F9}" name="Date of Call" dataDxfId="16"/>
    <tableColumn id="6" xr3:uid="{C4EC109B-5793-40D7-936A-E193D3650801}" name="Purchase Amount" dataDxfId="15"/>
    <tableColumn id="7" xr3:uid="{73F641DA-6813-40CA-8CBC-9200E0C5947B}" name="Satisfaction Rating" dataDxfId="14"/>
    <tableColumn id="8" xr3:uid="{3DD513EB-A114-43D6-B504-FC76DE089031}" name="FY" dataDxfId="13">
      <calculatedColumnFormula>IF(MONTH(Call_Center[[#This Row],[Date of Call]])&lt;=6,2023,2024)</calculatedColumnFormula>
    </tableColumn>
    <tableColumn id="9" xr3:uid="{26B57BA1-4432-4B65-84FF-7C875E2C0A3C}" name="Day of week" dataDxfId="12">
      <calculatedColumnFormula>TEXT(Call_Center[[#This Row],[Date of Call]],"DDDD")</calculatedColumnFormula>
    </tableColumn>
    <tableColumn id="10" xr3:uid="{01E0E9BB-5AA3-4B25-8DF6-E246DB06F505}" name="Duration Bucket" dataDxfId="11">
      <calculatedColumnFormula array="1">_xlfn.IFS(Call_Center[[#This Row],[Duration]]&lt;=10,"Under 10 mins",Call_Center[[#This Row],[Duration]]&lt;=30,"10 to 30 min",Call_Center[[#This Row],[Duration]]&lt;=60,"30 to 60 min",Call_Center[[#This Row],[Duration]]&lt;=120,"1 to 2 hours",TRUE,"More than 2 hours")</calculatedColumnFormula>
    </tableColumn>
    <tableColumn id="11" xr3:uid="{BAE8FA45-3607-4FAA-B650-22D395B30CCD}" name="Rating" dataDxfId="10">
      <calculatedColumnFormula>ROUND(Call_Center[[#This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7F41-0596-4B00-8206-A2B9C2EE77E8}">
  <dimension ref="A1:H94"/>
  <sheetViews>
    <sheetView topLeftCell="A47" workbookViewId="0">
      <selection activeCell="E7" sqref="E7"/>
    </sheetView>
  </sheetViews>
  <sheetFormatPr defaultRowHeight="14.5" x14ac:dyDescent="0.35"/>
  <cols>
    <col min="1" max="1" width="7.26953125" bestFit="1" customWidth="1"/>
    <col min="2" max="2" width="17.453125" bestFit="1" customWidth="1"/>
    <col min="3" max="3" width="7" bestFit="1" customWidth="1"/>
    <col min="4" max="4" width="7.54296875" bestFit="1" customWidth="1"/>
    <col min="5" max="5" width="8.90625" bestFit="1" customWidth="1"/>
    <col min="6" max="6" width="7.36328125" bestFit="1" customWidth="1"/>
    <col min="7" max="7" width="23.08984375" bestFit="1" customWidth="1"/>
    <col min="8" max="8" width="23.1796875" bestFit="1" customWidth="1"/>
  </cols>
  <sheetData>
    <row r="1" spans="1:8" x14ac:dyDescent="0.35">
      <c r="A1" t="s">
        <v>0</v>
      </c>
      <c r="B1" t="s">
        <v>1</v>
      </c>
      <c r="C1" t="s">
        <v>2</v>
      </c>
      <c r="D1" t="s">
        <v>3</v>
      </c>
      <c r="E1" t="s">
        <v>4</v>
      </c>
      <c r="F1" t="s">
        <v>5</v>
      </c>
      <c r="G1" t="s">
        <v>6</v>
      </c>
      <c r="H1" t="s">
        <v>7</v>
      </c>
    </row>
    <row r="2" spans="1:8" x14ac:dyDescent="0.35">
      <c r="A2" s="1" t="s">
        <v>8</v>
      </c>
      <c r="B2" s="1" t="s">
        <v>9</v>
      </c>
      <c r="C2">
        <v>39</v>
      </c>
      <c r="D2">
        <v>41</v>
      </c>
      <c r="E2">
        <v>33</v>
      </c>
      <c r="F2">
        <v>113</v>
      </c>
      <c r="G2">
        <v>34.51</v>
      </c>
      <c r="H2">
        <v>36.28</v>
      </c>
    </row>
    <row r="3" spans="1:8" x14ac:dyDescent="0.35">
      <c r="A3" s="1" t="s">
        <v>10</v>
      </c>
      <c r="B3" s="1" t="s">
        <v>11</v>
      </c>
      <c r="C3">
        <v>38</v>
      </c>
      <c r="D3">
        <v>32</v>
      </c>
      <c r="E3">
        <v>19</v>
      </c>
      <c r="F3">
        <v>89</v>
      </c>
      <c r="G3">
        <v>42.7</v>
      </c>
      <c r="H3">
        <v>35.96</v>
      </c>
    </row>
    <row r="4" spans="1:8" x14ac:dyDescent="0.35">
      <c r="A4" s="1" t="s">
        <v>12</v>
      </c>
      <c r="B4" s="1" t="s">
        <v>13</v>
      </c>
      <c r="C4">
        <v>27</v>
      </c>
      <c r="D4">
        <v>14</v>
      </c>
      <c r="E4">
        <v>17</v>
      </c>
      <c r="F4">
        <v>58</v>
      </c>
      <c r="G4">
        <v>46.55</v>
      </c>
      <c r="H4">
        <v>24.14</v>
      </c>
    </row>
    <row r="5" spans="1:8" x14ac:dyDescent="0.35">
      <c r="A5" s="1" t="s">
        <v>14</v>
      </c>
      <c r="B5" s="1" t="s">
        <v>15</v>
      </c>
      <c r="C5">
        <v>22</v>
      </c>
      <c r="D5">
        <v>20</v>
      </c>
      <c r="E5">
        <v>22</v>
      </c>
      <c r="F5">
        <v>64</v>
      </c>
      <c r="G5">
        <v>34.380000000000003</v>
      </c>
      <c r="H5">
        <v>31.25</v>
      </c>
    </row>
    <row r="6" spans="1:8" x14ac:dyDescent="0.35">
      <c r="A6" s="1" t="s">
        <v>16</v>
      </c>
      <c r="B6" s="1" t="s">
        <v>17</v>
      </c>
      <c r="C6">
        <v>20</v>
      </c>
      <c r="D6">
        <v>28</v>
      </c>
      <c r="E6">
        <v>23</v>
      </c>
      <c r="F6">
        <v>71</v>
      </c>
      <c r="G6">
        <v>28.17</v>
      </c>
      <c r="H6">
        <v>39.44</v>
      </c>
    </row>
    <row r="7" spans="1:8" x14ac:dyDescent="0.35">
      <c r="A7" s="1" t="s">
        <v>18</v>
      </c>
      <c r="B7" s="1" t="s">
        <v>19</v>
      </c>
      <c r="C7">
        <v>17</v>
      </c>
      <c r="D7">
        <v>7</v>
      </c>
      <c r="E7">
        <v>22</v>
      </c>
      <c r="F7">
        <v>46</v>
      </c>
      <c r="G7">
        <v>36.96</v>
      </c>
      <c r="H7">
        <v>15.22</v>
      </c>
    </row>
    <row r="8" spans="1:8" x14ac:dyDescent="0.35">
      <c r="A8" s="1" t="s">
        <v>20</v>
      </c>
      <c r="B8" s="1" t="s">
        <v>21</v>
      </c>
      <c r="C8">
        <v>10</v>
      </c>
      <c r="D8">
        <v>12</v>
      </c>
      <c r="E8">
        <v>14</v>
      </c>
      <c r="F8">
        <v>36</v>
      </c>
      <c r="G8">
        <v>27.78</v>
      </c>
      <c r="H8">
        <v>33.33</v>
      </c>
    </row>
    <row r="9" spans="1:8" x14ac:dyDescent="0.35">
      <c r="A9" s="1" t="s">
        <v>22</v>
      </c>
      <c r="B9" s="1" t="s">
        <v>23</v>
      </c>
      <c r="C9">
        <v>10</v>
      </c>
      <c r="D9">
        <v>12</v>
      </c>
      <c r="E9">
        <v>11</v>
      </c>
      <c r="F9">
        <v>33</v>
      </c>
      <c r="G9">
        <v>30.3</v>
      </c>
      <c r="H9">
        <v>36.36</v>
      </c>
    </row>
    <row r="10" spans="1:8" x14ac:dyDescent="0.35">
      <c r="A10" s="1" t="s">
        <v>24</v>
      </c>
      <c r="B10" s="1" t="s">
        <v>25</v>
      </c>
      <c r="C10">
        <v>10</v>
      </c>
      <c r="D10">
        <v>11</v>
      </c>
      <c r="E10">
        <v>16</v>
      </c>
      <c r="F10">
        <v>37</v>
      </c>
      <c r="G10">
        <v>27.03</v>
      </c>
      <c r="H10">
        <v>29.73</v>
      </c>
    </row>
    <row r="11" spans="1:8" x14ac:dyDescent="0.35">
      <c r="A11" s="1" t="s">
        <v>26</v>
      </c>
      <c r="B11" s="1" t="s">
        <v>27</v>
      </c>
      <c r="C11">
        <v>10</v>
      </c>
      <c r="D11">
        <v>10</v>
      </c>
      <c r="E11">
        <v>20</v>
      </c>
      <c r="F11">
        <v>40</v>
      </c>
      <c r="G11">
        <v>25</v>
      </c>
      <c r="H11">
        <v>25</v>
      </c>
    </row>
    <row r="12" spans="1:8" x14ac:dyDescent="0.35">
      <c r="A12" s="1" t="s">
        <v>28</v>
      </c>
      <c r="B12" s="1" t="s">
        <v>29</v>
      </c>
      <c r="C12">
        <v>7</v>
      </c>
      <c r="D12">
        <v>7</v>
      </c>
      <c r="E12">
        <v>10</v>
      </c>
      <c r="F12">
        <v>24</v>
      </c>
      <c r="G12">
        <v>29.17</v>
      </c>
      <c r="H12">
        <v>29.17</v>
      </c>
    </row>
    <row r="13" spans="1:8" x14ac:dyDescent="0.35">
      <c r="A13" s="1" t="s">
        <v>30</v>
      </c>
      <c r="B13" s="1" t="s">
        <v>31</v>
      </c>
      <c r="C13">
        <v>7</v>
      </c>
      <c r="D13">
        <v>6</v>
      </c>
      <c r="E13">
        <v>8</v>
      </c>
      <c r="F13">
        <v>21</v>
      </c>
      <c r="G13">
        <v>33.33</v>
      </c>
      <c r="H13">
        <v>28.57</v>
      </c>
    </row>
    <row r="14" spans="1:8" x14ac:dyDescent="0.35">
      <c r="A14" s="1" t="s">
        <v>32</v>
      </c>
      <c r="B14" s="1" t="s">
        <v>33</v>
      </c>
      <c r="C14">
        <v>7</v>
      </c>
      <c r="D14">
        <v>6</v>
      </c>
      <c r="E14">
        <v>7</v>
      </c>
      <c r="F14">
        <v>20</v>
      </c>
      <c r="G14">
        <v>35</v>
      </c>
      <c r="H14">
        <v>30</v>
      </c>
    </row>
    <row r="15" spans="1:8" x14ac:dyDescent="0.35">
      <c r="A15" s="1" t="s">
        <v>34</v>
      </c>
      <c r="B15" s="1" t="s">
        <v>35</v>
      </c>
      <c r="C15">
        <v>7</v>
      </c>
      <c r="D15">
        <v>3</v>
      </c>
      <c r="E15">
        <v>5</v>
      </c>
      <c r="F15">
        <v>15</v>
      </c>
      <c r="G15">
        <v>46.67</v>
      </c>
      <c r="H15">
        <v>20</v>
      </c>
    </row>
    <row r="16" spans="1:8" x14ac:dyDescent="0.35">
      <c r="A16" s="1" t="s">
        <v>36</v>
      </c>
      <c r="B16" s="1" t="s">
        <v>37</v>
      </c>
      <c r="C16">
        <v>6</v>
      </c>
      <c r="D16">
        <v>7</v>
      </c>
      <c r="E16">
        <v>7</v>
      </c>
      <c r="F16">
        <v>20</v>
      </c>
      <c r="G16">
        <v>30</v>
      </c>
      <c r="H16">
        <v>35</v>
      </c>
    </row>
    <row r="17" spans="1:8" x14ac:dyDescent="0.35">
      <c r="A17" s="1" t="s">
        <v>38</v>
      </c>
      <c r="B17" s="1" t="s">
        <v>39</v>
      </c>
      <c r="C17">
        <v>6</v>
      </c>
      <c r="D17">
        <v>4</v>
      </c>
      <c r="E17">
        <v>10</v>
      </c>
      <c r="F17">
        <v>20</v>
      </c>
      <c r="G17">
        <v>30</v>
      </c>
      <c r="H17">
        <v>20</v>
      </c>
    </row>
    <row r="18" spans="1:8" x14ac:dyDescent="0.35">
      <c r="A18" s="1" t="s">
        <v>40</v>
      </c>
      <c r="B18" s="1" t="s">
        <v>41</v>
      </c>
      <c r="C18">
        <v>4</v>
      </c>
      <c r="D18">
        <v>5</v>
      </c>
      <c r="E18">
        <v>5</v>
      </c>
      <c r="F18">
        <v>14</v>
      </c>
      <c r="G18">
        <v>28.57</v>
      </c>
      <c r="H18">
        <v>35.71</v>
      </c>
    </row>
    <row r="19" spans="1:8" x14ac:dyDescent="0.35">
      <c r="A19" s="1" t="s">
        <v>42</v>
      </c>
      <c r="B19" s="1" t="s">
        <v>43</v>
      </c>
      <c r="C19">
        <v>4</v>
      </c>
      <c r="D19">
        <v>4</v>
      </c>
      <c r="E19">
        <v>3</v>
      </c>
      <c r="F19">
        <v>11</v>
      </c>
      <c r="G19">
        <v>36.36</v>
      </c>
      <c r="H19">
        <v>36.36</v>
      </c>
    </row>
    <row r="20" spans="1:8" x14ac:dyDescent="0.35">
      <c r="A20" s="1" t="s">
        <v>44</v>
      </c>
      <c r="B20" s="1" t="s">
        <v>45</v>
      </c>
      <c r="C20">
        <v>4</v>
      </c>
      <c r="D20">
        <v>4</v>
      </c>
      <c r="E20">
        <v>2</v>
      </c>
      <c r="F20">
        <v>10</v>
      </c>
      <c r="G20">
        <v>40</v>
      </c>
      <c r="H20">
        <v>40</v>
      </c>
    </row>
    <row r="21" spans="1:8" x14ac:dyDescent="0.35">
      <c r="A21" s="1" t="s">
        <v>46</v>
      </c>
      <c r="B21" s="1" t="s">
        <v>47</v>
      </c>
      <c r="C21">
        <v>4</v>
      </c>
      <c r="D21">
        <v>2</v>
      </c>
      <c r="E21">
        <v>2</v>
      </c>
      <c r="F21">
        <v>8</v>
      </c>
      <c r="G21">
        <v>50</v>
      </c>
      <c r="H21">
        <v>25</v>
      </c>
    </row>
    <row r="22" spans="1:8" x14ac:dyDescent="0.35">
      <c r="A22" s="1" t="s">
        <v>48</v>
      </c>
      <c r="B22" s="1" t="s">
        <v>49</v>
      </c>
      <c r="C22">
        <v>4</v>
      </c>
      <c r="D22">
        <v>1</v>
      </c>
      <c r="E22">
        <v>4</v>
      </c>
      <c r="F22">
        <v>9</v>
      </c>
      <c r="G22">
        <v>44.44</v>
      </c>
      <c r="H22">
        <v>11.11</v>
      </c>
    </row>
    <row r="23" spans="1:8" x14ac:dyDescent="0.35">
      <c r="A23" s="1" t="s">
        <v>50</v>
      </c>
      <c r="B23" s="1" t="s">
        <v>51</v>
      </c>
      <c r="C23">
        <v>3</v>
      </c>
      <c r="D23">
        <v>8</v>
      </c>
      <c r="E23">
        <v>6</v>
      </c>
      <c r="F23">
        <v>17</v>
      </c>
      <c r="G23">
        <v>17.649999999999999</v>
      </c>
      <c r="H23">
        <v>47.06</v>
      </c>
    </row>
    <row r="24" spans="1:8" x14ac:dyDescent="0.35">
      <c r="A24" s="1" t="s">
        <v>52</v>
      </c>
      <c r="B24" s="1" t="s">
        <v>53</v>
      </c>
      <c r="C24">
        <v>3</v>
      </c>
      <c r="D24">
        <v>6</v>
      </c>
      <c r="E24">
        <v>0</v>
      </c>
      <c r="F24">
        <v>9</v>
      </c>
      <c r="G24">
        <v>33.33</v>
      </c>
      <c r="H24">
        <v>66.67</v>
      </c>
    </row>
    <row r="25" spans="1:8" x14ac:dyDescent="0.35">
      <c r="A25" s="1" t="s">
        <v>54</v>
      </c>
      <c r="B25" s="1" t="s">
        <v>55</v>
      </c>
      <c r="C25">
        <v>3</v>
      </c>
      <c r="D25">
        <v>4</v>
      </c>
      <c r="E25">
        <v>6</v>
      </c>
      <c r="F25">
        <v>13</v>
      </c>
      <c r="G25">
        <v>23.08</v>
      </c>
      <c r="H25">
        <v>30.77</v>
      </c>
    </row>
    <row r="26" spans="1:8" x14ac:dyDescent="0.35">
      <c r="A26" s="1" t="s">
        <v>56</v>
      </c>
      <c r="B26" s="1" t="s">
        <v>57</v>
      </c>
      <c r="C26">
        <v>3</v>
      </c>
      <c r="D26">
        <v>4</v>
      </c>
      <c r="E26">
        <v>4</v>
      </c>
      <c r="F26">
        <v>11</v>
      </c>
      <c r="G26">
        <v>27.27</v>
      </c>
      <c r="H26">
        <v>36.36</v>
      </c>
    </row>
    <row r="27" spans="1:8" x14ac:dyDescent="0.35">
      <c r="A27" s="1" t="s">
        <v>58</v>
      </c>
      <c r="B27" s="1" t="s">
        <v>59</v>
      </c>
      <c r="C27">
        <v>3</v>
      </c>
      <c r="D27">
        <v>3</v>
      </c>
      <c r="E27">
        <v>2</v>
      </c>
      <c r="F27">
        <v>8</v>
      </c>
      <c r="G27">
        <v>37.5</v>
      </c>
      <c r="H27">
        <v>37.5</v>
      </c>
    </row>
    <row r="28" spans="1:8" x14ac:dyDescent="0.35">
      <c r="A28" s="1" t="s">
        <v>60</v>
      </c>
      <c r="B28" s="1" t="s">
        <v>61</v>
      </c>
      <c r="C28">
        <v>3</v>
      </c>
      <c r="D28">
        <v>2</v>
      </c>
      <c r="E28">
        <v>2</v>
      </c>
      <c r="F28">
        <v>7</v>
      </c>
      <c r="G28">
        <v>42.86</v>
      </c>
      <c r="H28">
        <v>28.57</v>
      </c>
    </row>
    <row r="29" spans="1:8" x14ac:dyDescent="0.35">
      <c r="A29" s="1" t="s">
        <v>62</v>
      </c>
      <c r="B29" s="1" t="s">
        <v>63</v>
      </c>
      <c r="C29">
        <v>3</v>
      </c>
      <c r="D29">
        <v>1</v>
      </c>
      <c r="E29">
        <v>5</v>
      </c>
      <c r="F29">
        <v>9</v>
      </c>
      <c r="G29">
        <v>33.33</v>
      </c>
      <c r="H29">
        <v>11.11</v>
      </c>
    </row>
    <row r="30" spans="1:8" x14ac:dyDescent="0.35">
      <c r="A30" s="1" t="s">
        <v>64</v>
      </c>
      <c r="B30" s="1" t="s">
        <v>65</v>
      </c>
      <c r="C30">
        <v>3</v>
      </c>
      <c r="D30">
        <v>1</v>
      </c>
      <c r="E30">
        <v>3</v>
      </c>
      <c r="F30">
        <v>7</v>
      </c>
      <c r="G30">
        <v>42.86</v>
      </c>
      <c r="H30">
        <v>14.29</v>
      </c>
    </row>
    <row r="31" spans="1:8" x14ac:dyDescent="0.35">
      <c r="A31" s="1" t="s">
        <v>66</v>
      </c>
      <c r="B31" s="1" t="s">
        <v>67</v>
      </c>
      <c r="C31">
        <v>3</v>
      </c>
      <c r="D31">
        <v>1</v>
      </c>
      <c r="E31">
        <v>2</v>
      </c>
      <c r="F31">
        <v>6</v>
      </c>
      <c r="G31">
        <v>50</v>
      </c>
      <c r="H31">
        <v>16.670000000000002</v>
      </c>
    </row>
    <row r="32" spans="1:8" x14ac:dyDescent="0.35">
      <c r="A32" s="1" t="s">
        <v>68</v>
      </c>
      <c r="B32" s="1" t="s">
        <v>69</v>
      </c>
      <c r="C32">
        <v>3</v>
      </c>
      <c r="D32">
        <v>1</v>
      </c>
      <c r="E32">
        <v>1</v>
      </c>
      <c r="F32">
        <v>5</v>
      </c>
      <c r="G32">
        <v>60</v>
      </c>
      <c r="H32">
        <v>20</v>
      </c>
    </row>
    <row r="33" spans="1:8" x14ac:dyDescent="0.35">
      <c r="A33" s="1" t="s">
        <v>70</v>
      </c>
      <c r="B33" s="1" t="s">
        <v>71</v>
      </c>
      <c r="C33">
        <v>3</v>
      </c>
      <c r="D33">
        <v>0</v>
      </c>
      <c r="E33">
        <v>2</v>
      </c>
      <c r="F33">
        <v>5</v>
      </c>
      <c r="G33">
        <v>60</v>
      </c>
      <c r="H33">
        <v>0</v>
      </c>
    </row>
    <row r="34" spans="1:8" x14ac:dyDescent="0.35">
      <c r="A34" s="1" t="s">
        <v>72</v>
      </c>
      <c r="B34" s="1" t="s">
        <v>73</v>
      </c>
      <c r="C34">
        <v>2</v>
      </c>
      <c r="D34">
        <v>5</v>
      </c>
      <c r="E34">
        <v>1</v>
      </c>
      <c r="F34">
        <v>8</v>
      </c>
      <c r="G34">
        <v>25</v>
      </c>
      <c r="H34">
        <v>62.5</v>
      </c>
    </row>
    <row r="35" spans="1:8" x14ac:dyDescent="0.35">
      <c r="A35" s="1" t="s">
        <v>74</v>
      </c>
      <c r="B35" s="1" t="s">
        <v>75</v>
      </c>
      <c r="C35">
        <v>2</v>
      </c>
      <c r="D35">
        <v>4</v>
      </c>
      <c r="E35">
        <v>6</v>
      </c>
      <c r="F35">
        <v>12</v>
      </c>
      <c r="G35">
        <v>16.670000000000002</v>
      </c>
      <c r="H35">
        <v>33.33</v>
      </c>
    </row>
    <row r="36" spans="1:8" x14ac:dyDescent="0.35">
      <c r="A36" s="1" t="s">
        <v>76</v>
      </c>
      <c r="B36" s="1" t="s">
        <v>77</v>
      </c>
      <c r="C36">
        <v>2</v>
      </c>
      <c r="D36">
        <v>2</v>
      </c>
      <c r="E36">
        <v>9</v>
      </c>
      <c r="F36">
        <v>13</v>
      </c>
      <c r="G36">
        <v>15.38</v>
      </c>
      <c r="H36">
        <v>15.38</v>
      </c>
    </row>
    <row r="37" spans="1:8" x14ac:dyDescent="0.35">
      <c r="A37" s="1" t="s">
        <v>78</v>
      </c>
      <c r="B37" s="1" t="s">
        <v>79</v>
      </c>
      <c r="C37">
        <v>2</v>
      </c>
      <c r="D37">
        <v>1</v>
      </c>
      <c r="E37">
        <v>1</v>
      </c>
      <c r="F37">
        <v>4</v>
      </c>
      <c r="G37">
        <v>50</v>
      </c>
      <c r="H37">
        <v>25</v>
      </c>
    </row>
    <row r="38" spans="1:8" x14ac:dyDescent="0.35">
      <c r="A38" s="1" t="s">
        <v>78</v>
      </c>
      <c r="B38" s="1" t="s">
        <v>80</v>
      </c>
      <c r="C38">
        <v>2</v>
      </c>
      <c r="D38">
        <v>1</v>
      </c>
      <c r="E38">
        <v>1</v>
      </c>
      <c r="F38">
        <v>4</v>
      </c>
      <c r="G38">
        <v>50</v>
      </c>
      <c r="H38">
        <v>25</v>
      </c>
    </row>
    <row r="39" spans="1:8" x14ac:dyDescent="0.35">
      <c r="A39" s="1" t="s">
        <v>81</v>
      </c>
      <c r="B39" s="1" t="s">
        <v>82</v>
      </c>
      <c r="C39">
        <v>2</v>
      </c>
      <c r="D39">
        <v>1</v>
      </c>
      <c r="E39">
        <v>0</v>
      </c>
      <c r="F39">
        <v>3</v>
      </c>
      <c r="G39">
        <v>66.67</v>
      </c>
      <c r="H39">
        <v>33.33</v>
      </c>
    </row>
    <row r="40" spans="1:8" x14ac:dyDescent="0.35">
      <c r="A40" s="1" t="s">
        <v>83</v>
      </c>
      <c r="B40" s="1" t="s">
        <v>84</v>
      </c>
      <c r="C40">
        <v>2</v>
      </c>
      <c r="D40">
        <v>0</v>
      </c>
      <c r="E40">
        <v>2</v>
      </c>
      <c r="F40">
        <v>4</v>
      </c>
      <c r="G40">
        <v>50</v>
      </c>
      <c r="H40">
        <v>0</v>
      </c>
    </row>
    <row r="41" spans="1:8" x14ac:dyDescent="0.35">
      <c r="A41" s="1" t="s">
        <v>83</v>
      </c>
      <c r="B41" s="1" t="s">
        <v>85</v>
      </c>
      <c r="C41">
        <v>2</v>
      </c>
      <c r="D41">
        <v>0</v>
      </c>
      <c r="E41">
        <v>2</v>
      </c>
      <c r="F41">
        <v>4</v>
      </c>
      <c r="G41">
        <v>50</v>
      </c>
      <c r="H41">
        <v>0</v>
      </c>
    </row>
    <row r="42" spans="1:8" x14ac:dyDescent="0.35">
      <c r="A42" s="1" t="s">
        <v>86</v>
      </c>
      <c r="B42" s="1" t="s">
        <v>87</v>
      </c>
      <c r="C42">
        <v>2</v>
      </c>
      <c r="D42">
        <v>0</v>
      </c>
      <c r="E42">
        <v>1</v>
      </c>
      <c r="F42">
        <v>3</v>
      </c>
      <c r="G42">
        <v>66.67</v>
      </c>
      <c r="H42">
        <v>0</v>
      </c>
    </row>
    <row r="43" spans="1:8" x14ac:dyDescent="0.35">
      <c r="A43" s="1" t="s">
        <v>88</v>
      </c>
      <c r="B43" s="1" t="s">
        <v>89</v>
      </c>
      <c r="C43">
        <v>2</v>
      </c>
      <c r="D43">
        <v>0</v>
      </c>
      <c r="E43">
        <v>0</v>
      </c>
      <c r="F43">
        <v>2</v>
      </c>
      <c r="G43">
        <v>100</v>
      </c>
      <c r="H43">
        <v>0</v>
      </c>
    </row>
    <row r="44" spans="1:8" x14ac:dyDescent="0.35">
      <c r="A44" s="1" t="s">
        <v>88</v>
      </c>
      <c r="B44" s="1" t="s">
        <v>90</v>
      </c>
      <c r="C44">
        <v>2</v>
      </c>
      <c r="D44">
        <v>0</v>
      </c>
      <c r="E44">
        <v>0</v>
      </c>
      <c r="F44">
        <v>2</v>
      </c>
      <c r="G44">
        <v>100</v>
      </c>
      <c r="H44">
        <v>0</v>
      </c>
    </row>
    <row r="45" spans="1:8" x14ac:dyDescent="0.35">
      <c r="A45" s="1" t="s">
        <v>91</v>
      </c>
      <c r="B45" s="1" t="s">
        <v>92</v>
      </c>
      <c r="C45">
        <v>1</v>
      </c>
      <c r="D45">
        <v>6</v>
      </c>
      <c r="E45">
        <v>12</v>
      </c>
      <c r="F45">
        <v>19</v>
      </c>
      <c r="G45">
        <v>5.26</v>
      </c>
      <c r="H45">
        <v>31.58</v>
      </c>
    </row>
    <row r="46" spans="1:8" x14ac:dyDescent="0.35">
      <c r="A46" s="1" t="s">
        <v>93</v>
      </c>
      <c r="B46" s="1" t="s">
        <v>94</v>
      </c>
      <c r="C46">
        <v>1</v>
      </c>
      <c r="D46">
        <v>3</v>
      </c>
      <c r="E46">
        <v>3</v>
      </c>
      <c r="F46">
        <v>7</v>
      </c>
      <c r="G46">
        <v>14.29</v>
      </c>
      <c r="H46">
        <v>42.86</v>
      </c>
    </row>
    <row r="47" spans="1:8" x14ac:dyDescent="0.35">
      <c r="A47" s="1" t="s">
        <v>95</v>
      </c>
      <c r="B47" s="1" t="s">
        <v>96</v>
      </c>
      <c r="C47">
        <v>1</v>
      </c>
      <c r="D47">
        <v>3</v>
      </c>
      <c r="E47">
        <v>0</v>
      </c>
      <c r="F47">
        <v>4</v>
      </c>
      <c r="G47">
        <v>25</v>
      </c>
      <c r="H47">
        <v>75</v>
      </c>
    </row>
    <row r="48" spans="1:8" x14ac:dyDescent="0.35">
      <c r="A48" s="1" t="s">
        <v>95</v>
      </c>
      <c r="B48" s="1" t="s">
        <v>97</v>
      </c>
      <c r="C48">
        <v>1</v>
      </c>
      <c r="D48">
        <v>3</v>
      </c>
      <c r="E48">
        <v>0</v>
      </c>
      <c r="F48">
        <v>4</v>
      </c>
      <c r="G48">
        <v>25</v>
      </c>
      <c r="H48">
        <v>75</v>
      </c>
    </row>
    <row r="49" spans="1:8" x14ac:dyDescent="0.35">
      <c r="A49" s="1" t="s">
        <v>98</v>
      </c>
      <c r="B49" s="1" t="s">
        <v>99</v>
      </c>
      <c r="C49">
        <v>1</v>
      </c>
      <c r="D49">
        <v>2</v>
      </c>
      <c r="E49">
        <v>4</v>
      </c>
      <c r="F49">
        <v>7</v>
      </c>
      <c r="G49">
        <v>14.29</v>
      </c>
      <c r="H49">
        <v>28.57</v>
      </c>
    </row>
    <row r="50" spans="1:8" x14ac:dyDescent="0.35">
      <c r="A50" s="1" t="s">
        <v>100</v>
      </c>
      <c r="B50" s="1" t="s">
        <v>101</v>
      </c>
      <c r="C50">
        <v>1</v>
      </c>
      <c r="D50">
        <v>2</v>
      </c>
      <c r="E50">
        <v>3</v>
      </c>
      <c r="F50">
        <v>6</v>
      </c>
      <c r="G50">
        <v>16.670000000000002</v>
      </c>
      <c r="H50">
        <v>33.33</v>
      </c>
    </row>
    <row r="51" spans="1:8" x14ac:dyDescent="0.35">
      <c r="A51" s="1" t="s">
        <v>102</v>
      </c>
      <c r="B51" s="1" t="s">
        <v>103</v>
      </c>
      <c r="C51">
        <v>1</v>
      </c>
      <c r="D51">
        <v>2</v>
      </c>
      <c r="E51">
        <v>1</v>
      </c>
      <c r="F51">
        <v>4</v>
      </c>
      <c r="G51">
        <v>25</v>
      </c>
      <c r="H51">
        <v>50</v>
      </c>
    </row>
    <row r="52" spans="1:8" x14ac:dyDescent="0.35">
      <c r="A52" s="1" t="s">
        <v>102</v>
      </c>
      <c r="B52" s="1" t="s">
        <v>104</v>
      </c>
      <c r="C52">
        <v>1</v>
      </c>
      <c r="D52">
        <v>2</v>
      </c>
      <c r="E52">
        <v>1</v>
      </c>
      <c r="F52">
        <v>4</v>
      </c>
      <c r="G52">
        <v>25</v>
      </c>
      <c r="H52">
        <v>50</v>
      </c>
    </row>
    <row r="53" spans="1:8" x14ac:dyDescent="0.35">
      <c r="A53" s="1" t="s">
        <v>105</v>
      </c>
      <c r="B53" s="1" t="s">
        <v>106</v>
      </c>
      <c r="C53">
        <v>1</v>
      </c>
      <c r="D53">
        <v>2</v>
      </c>
      <c r="E53">
        <v>0</v>
      </c>
      <c r="F53">
        <v>3</v>
      </c>
      <c r="G53">
        <v>33.33</v>
      </c>
      <c r="H53">
        <v>66.67</v>
      </c>
    </row>
    <row r="54" spans="1:8" x14ac:dyDescent="0.35">
      <c r="A54" s="1" t="s">
        <v>107</v>
      </c>
      <c r="B54" s="1" t="s">
        <v>108</v>
      </c>
      <c r="C54">
        <v>1</v>
      </c>
      <c r="D54">
        <v>1</v>
      </c>
      <c r="E54">
        <v>5</v>
      </c>
      <c r="F54">
        <v>7</v>
      </c>
      <c r="G54">
        <v>14.29</v>
      </c>
      <c r="H54">
        <v>14.29</v>
      </c>
    </row>
    <row r="55" spans="1:8" x14ac:dyDescent="0.35">
      <c r="A55" s="1" t="s">
        <v>109</v>
      </c>
      <c r="B55" s="1" t="s">
        <v>110</v>
      </c>
      <c r="C55">
        <v>1</v>
      </c>
      <c r="D55">
        <v>1</v>
      </c>
      <c r="E55">
        <v>4</v>
      </c>
      <c r="F55">
        <v>6</v>
      </c>
      <c r="G55">
        <v>16.670000000000002</v>
      </c>
      <c r="H55">
        <v>16.670000000000002</v>
      </c>
    </row>
    <row r="56" spans="1:8" x14ac:dyDescent="0.35">
      <c r="A56" s="1" t="s">
        <v>111</v>
      </c>
      <c r="B56" s="1" t="s">
        <v>112</v>
      </c>
      <c r="C56">
        <v>1</v>
      </c>
      <c r="D56">
        <v>1</v>
      </c>
      <c r="E56">
        <v>3</v>
      </c>
      <c r="F56">
        <v>5</v>
      </c>
      <c r="G56">
        <v>20</v>
      </c>
      <c r="H56">
        <v>20</v>
      </c>
    </row>
    <row r="57" spans="1:8" x14ac:dyDescent="0.35">
      <c r="A57" s="1" t="s">
        <v>113</v>
      </c>
      <c r="B57" s="1" t="s">
        <v>114</v>
      </c>
      <c r="C57">
        <v>1</v>
      </c>
      <c r="D57">
        <v>1</v>
      </c>
      <c r="E57">
        <v>2</v>
      </c>
      <c r="F57">
        <v>4</v>
      </c>
      <c r="G57">
        <v>25</v>
      </c>
      <c r="H57">
        <v>25</v>
      </c>
    </row>
    <row r="58" spans="1:8" x14ac:dyDescent="0.35">
      <c r="A58" s="1" t="s">
        <v>113</v>
      </c>
      <c r="B58" s="1" t="s">
        <v>115</v>
      </c>
      <c r="C58">
        <v>1</v>
      </c>
      <c r="D58">
        <v>1</v>
      </c>
      <c r="E58">
        <v>2</v>
      </c>
      <c r="F58">
        <v>4</v>
      </c>
      <c r="G58">
        <v>25</v>
      </c>
      <c r="H58">
        <v>25</v>
      </c>
    </row>
    <row r="59" spans="1:8" x14ac:dyDescent="0.35">
      <c r="A59" s="1" t="s">
        <v>116</v>
      </c>
      <c r="B59" s="1" t="s">
        <v>117</v>
      </c>
      <c r="C59">
        <v>1</v>
      </c>
      <c r="D59">
        <v>1</v>
      </c>
      <c r="E59">
        <v>0</v>
      </c>
      <c r="F59">
        <v>2</v>
      </c>
      <c r="G59">
        <v>50</v>
      </c>
      <c r="H59">
        <v>50</v>
      </c>
    </row>
    <row r="60" spans="1:8" x14ac:dyDescent="0.35">
      <c r="A60" s="1" t="s">
        <v>118</v>
      </c>
      <c r="B60" s="1" t="s">
        <v>119</v>
      </c>
      <c r="C60">
        <v>1</v>
      </c>
      <c r="D60">
        <v>0</v>
      </c>
      <c r="E60">
        <v>1</v>
      </c>
      <c r="F60">
        <v>2</v>
      </c>
      <c r="G60">
        <v>50</v>
      </c>
      <c r="H60">
        <v>0</v>
      </c>
    </row>
    <row r="61" spans="1:8" x14ac:dyDescent="0.35">
      <c r="A61" s="1" t="s">
        <v>118</v>
      </c>
      <c r="B61" s="1" t="s">
        <v>120</v>
      </c>
      <c r="C61">
        <v>1</v>
      </c>
      <c r="D61">
        <v>0</v>
      </c>
      <c r="E61">
        <v>1</v>
      </c>
      <c r="F61">
        <v>2</v>
      </c>
      <c r="G61">
        <v>50</v>
      </c>
      <c r="H61">
        <v>0</v>
      </c>
    </row>
    <row r="62" spans="1:8" x14ac:dyDescent="0.35">
      <c r="A62" s="1" t="s">
        <v>118</v>
      </c>
      <c r="B62" s="1" t="s">
        <v>121</v>
      </c>
      <c r="C62">
        <v>1</v>
      </c>
      <c r="D62">
        <v>0</v>
      </c>
      <c r="E62">
        <v>1</v>
      </c>
      <c r="F62">
        <v>2</v>
      </c>
      <c r="G62">
        <v>50</v>
      </c>
      <c r="H62">
        <v>0</v>
      </c>
    </row>
    <row r="63" spans="1:8" x14ac:dyDescent="0.35">
      <c r="A63" s="1" t="s">
        <v>118</v>
      </c>
      <c r="B63" s="1" t="s">
        <v>122</v>
      </c>
      <c r="C63">
        <v>1</v>
      </c>
      <c r="D63">
        <v>0</v>
      </c>
      <c r="E63">
        <v>1</v>
      </c>
      <c r="F63">
        <v>2</v>
      </c>
      <c r="G63">
        <v>50</v>
      </c>
      <c r="H63">
        <v>0</v>
      </c>
    </row>
    <row r="64" spans="1:8" x14ac:dyDescent="0.35">
      <c r="A64" s="1" t="s">
        <v>123</v>
      </c>
      <c r="B64" s="1" t="s">
        <v>124</v>
      </c>
      <c r="C64">
        <v>1</v>
      </c>
      <c r="D64">
        <v>0</v>
      </c>
      <c r="E64">
        <v>0</v>
      </c>
      <c r="F64">
        <v>1</v>
      </c>
      <c r="G64">
        <v>100</v>
      </c>
      <c r="H64">
        <v>0</v>
      </c>
    </row>
    <row r="65" spans="1:8" x14ac:dyDescent="0.35">
      <c r="A65" s="1" t="s">
        <v>123</v>
      </c>
      <c r="B65" s="1" t="s">
        <v>125</v>
      </c>
      <c r="C65">
        <v>1</v>
      </c>
      <c r="D65">
        <v>0</v>
      </c>
      <c r="E65">
        <v>0</v>
      </c>
      <c r="F65">
        <v>1</v>
      </c>
      <c r="G65">
        <v>100</v>
      </c>
      <c r="H65">
        <v>0</v>
      </c>
    </row>
    <row r="66" spans="1:8" x14ac:dyDescent="0.35">
      <c r="A66" s="1" t="s">
        <v>123</v>
      </c>
      <c r="B66" s="1" t="s">
        <v>126</v>
      </c>
      <c r="C66">
        <v>1</v>
      </c>
      <c r="D66">
        <v>0</v>
      </c>
      <c r="E66">
        <v>0</v>
      </c>
      <c r="F66">
        <v>1</v>
      </c>
      <c r="G66">
        <v>100</v>
      </c>
      <c r="H66">
        <v>0</v>
      </c>
    </row>
    <row r="67" spans="1:8" x14ac:dyDescent="0.35">
      <c r="A67" s="1" t="s">
        <v>127</v>
      </c>
      <c r="B67" s="1" t="s">
        <v>128</v>
      </c>
      <c r="C67">
        <v>0</v>
      </c>
      <c r="D67">
        <v>4</v>
      </c>
      <c r="E67">
        <v>1</v>
      </c>
      <c r="F67">
        <v>5</v>
      </c>
      <c r="G67">
        <v>0</v>
      </c>
      <c r="H67">
        <v>80</v>
      </c>
    </row>
    <row r="68" spans="1:8" x14ac:dyDescent="0.35">
      <c r="A68" s="1" t="s">
        <v>129</v>
      </c>
      <c r="B68" s="1" t="s">
        <v>130</v>
      </c>
      <c r="C68">
        <v>0</v>
      </c>
      <c r="D68">
        <v>3</v>
      </c>
      <c r="E68">
        <v>4</v>
      </c>
      <c r="F68">
        <v>7</v>
      </c>
      <c r="G68">
        <v>0</v>
      </c>
      <c r="H68">
        <v>42.86</v>
      </c>
    </row>
    <row r="69" spans="1:8" x14ac:dyDescent="0.35">
      <c r="A69" s="1" t="s">
        <v>131</v>
      </c>
      <c r="B69" s="1" t="s">
        <v>132</v>
      </c>
      <c r="C69">
        <v>0</v>
      </c>
      <c r="D69">
        <v>3</v>
      </c>
      <c r="E69">
        <v>2</v>
      </c>
      <c r="F69">
        <v>5</v>
      </c>
      <c r="G69">
        <v>0</v>
      </c>
      <c r="H69">
        <v>60</v>
      </c>
    </row>
    <row r="70" spans="1:8" x14ac:dyDescent="0.35">
      <c r="A70" s="1" t="s">
        <v>133</v>
      </c>
      <c r="B70" s="1" t="s">
        <v>134</v>
      </c>
      <c r="C70">
        <v>0</v>
      </c>
      <c r="D70">
        <v>2</v>
      </c>
      <c r="E70">
        <v>2</v>
      </c>
      <c r="F70">
        <v>4</v>
      </c>
      <c r="G70">
        <v>0</v>
      </c>
      <c r="H70">
        <v>50</v>
      </c>
    </row>
    <row r="71" spans="1:8" x14ac:dyDescent="0.35">
      <c r="A71" s="1" t="s">
        <v>135</v>
      </c>
      <c r="B71" s="1" t="s">
        <v>136</v>
      </c>
      <c r="C71">
        <v>0</v>
      </c>
      <c r="D71">
        <v>2</v>
      </c>
      <c r="E71">
        <v>1</v>
      </c>
      <c r="F71">
        <v>3</v>
      </c>
      <c r="G71">
        <v>0</v>
      </c>
      <c r="H71">
        <v>66.67</v>
      </c>
    </row>
    <row r="72" spans="1:8" x14ac:dyDescent="0.35">
      <c r="A72" s="1" t="s">
        <v>137</v>
      </c>
      <c r="B72" s="1" t="s">
        <v>138</v>
      </c>
      <c r="C72">
        <v>0</v>
      </c>
      <c r="D72">
        <v>1</v>
      </c>
      <c r="E72">
        <v>3</v>
      </c>
      <c r="F72">
        <v>4</v>
      </c>
      <c r="G72">
        <v>0</v>
      </c>
      <c r="H72">
        <v>25</v>
      </c>
    </row>
    <row r="73" spans="1:8" x14ac:dyDescent="0.35">
      <c r="A73" s="1" t="s">
        <v>139</v>
      </c>
      <c r="B73" s="1" t="s">
        <v>140</v>
      </c>
      <c r="C73">
        <v>0</v>
      </c>
      <c r="D73">
        <v>1</v>
      </c>
      <c r="E73">
        <v>2</v>
      </c>
      <c r="F73">
        <v>3</v>
      </c>
      <c r="G73">
        <v>0</v>
      </c>
      <c r="H73">
        <v>33.33</v>
      </c>
    </row>
    <row r="74" spans="1:8" x14ac:dyDescent="0.35">
      <c r="A74" s="1" t="s">
        <v>139</v>
      </c>
      <c r="B74" s="1" t="s">
        <v>141</v>
      </c>
      <c r="C74">
        <v>0</v>
      </c>
      <c r="D74">
        <v>1</v>
      </c>
      <c r="E74">
        <v>2</v>
      </c>
      <c r="F74">
        <v>3</v>
      </c>
      <c r="G74">
        <v>0</v>
      </c>
      <c r="H74">
        <v>33.33</v>
      </c>
    </row>
    <row r="75" spans="1:8" x14ac:dyDescent="0.35">
      <c r="A75" s="1" t="s">
        <v>142</v>
      </c>
      <c r="B75" s="1" t="s">
        <v>143</v>
      </c>
      <c r="C75">
        <v>0</v>
      </c>
      <c r="D75">
        <v>1</v>
      </c>
      <c r="E75">
        <v>1</v>
      </c>
      <c r="F75">
        <v>2</v>
      </c>
      <c r="G75">
        <v>0</v>
      </c>
      <c r="H75">
        <v>50</v>
      </c>
    </row>
    <row r="76" spans="1:8" x14ac:dyDescent="0.35">
      <c r="A76" s="1" t="s">
        <v>142</v>
      </c>
      <c r="B76" s="1" t="s">
        <v>144</v>
      </c>
      <c r="C76">
        <v>0</v>
      </c>
      <c r="D76">
        <v>1</v>
      </c>
      <c r="E76">
        <v>1</v>
      </c>
      <c r="F76">
        <v>2</v>
      </c>
      <c r="G76">
        <v>0</v>
      </c>
      <c r="H76">
        <v>50</v>
      </c>
    </row>
    <row r="77" spans="1:8" x14ac:dyDescent="0.35">
      <c r="A77" s="1" t="s">
        <v>142</v>
      </c>
      <c r="B77" s="1" t="s">
        <v>145</v>
      </c>
      <c r="C77">
        <v>0</v>
      </c>
      <c r="D77">
        <v>1</v>
      </c>
      <c r="E77">
        <v>1</v>
      </c>
      <c r="F77">
        <v>2</v>
      </c>
      <c r="G77">
        <v>0</v>
      </c>
      <c r="H77">
        <v>50</v>
      </c>
    </row>
    <row r="78" spans="1:8" x14ac:dyDescent="0.35">
      <c r="A78" s="1" t="s">
        <v>146</v>
      </c>
      <c r="B78" s="1" t="s">
        <v>147</v>
      </c>
      <c r="C78">
        <v>0</v>
      </c>
      <c r="D78">
        <v>1</v>
      </c>
      <c r="E78">
        <v>0</v>
      </c>
      <c r="F78">
        <v>1</v>
      </c>
      <c r="G78">
        <v>0</v>
      </c>
      <c r="H78">
        <v>100</v>
      </c>
    </row>
    <row r="79" spans="1:8" x14ac:dyDescent="0.35">
      <c r="A79" s="1" t="s">
        <v>146</v>
      </c>
      <c r="B79" s="1" t="s">
        <v>148</v>
      </c>
      <c r="C79">
        <v>0</v>
      </c>
      <c r="D79">
        <v>1</v>
      </c>
      <c r="E79">
        <v>0</v>
      </c>
      <c r="F79">
        <v>1</v>
      </c>
      <c r="G79">
        <v>0</v>
      </c>
      <c r="H79">
        <v>100</v>
      </c>
    </row>
    <row r="80" spans="1:8" x14ac:dyDescent="0.35">
      <c r="A80" s="1" t="s">
        <v>146</v>
      </c>
      <c r="B80" s="1" t="s">
        <v>149</v>
      </c>
      <c r="C80">
        <v>0</v>
      </c>
      <c r="D80">
        <v>1</v>
      </c>
      <c r="E80">
        <v>0</v>
      </c>
      <c r="F80">
        <v>1</v>
      </c>
      <c r="G80">
        <v>0</v>
      </c>
      <c r="H80">
        <v>100</v>
      </c>
    </row>
    <row r="81" spans="1:8" x14ac:dyDescent="0.35">
      <c r="A81" s="1" t="s">
        <v>146</v>
      </c>
      <c r="B81" s="1" t="s">
        <v>150</v>
      </c>
      <c r="C81">
        <v>0</v>
      </c>
      <c r="D81">
        <v>1</v>
      </c>
      <c r="E81">
        <v>0</v>
      </c>
      <c r="F81">
        <v>1</v>
      </c>
      <c r="G81">
        <v>0</v>
      </c>
      <c r="H81">
        <v>100</v>
      </c>
    </row>
    <row r="82" spans="1:8" x14ac:dyDescent="0.35">
      <c r="A82" s="1" t="s">
        <v>146</v>
      </c>
      <c r="B82" s="1" t="s">
        <v>151</v>
      </c>
      <c r="C82">
        <v>0</v>
      </c>
      <c r="D82">
        <v>1</v>
      </c>
      <c r="E82">
        <v>0</v>
      </c>
      <c r="F82">
        <v>1</v>
      </c>
      <c r="G82">
        <v>0</v>
      </c>
      <c r="H82">
        <v>100</v>
      </c>
    </row>
    <row r="83" spans="1:8" x14ac:dyDescent="0.35">
      <c r="A83" s="1" t="s">
        <v>146</v>
      </c>
      <c r="B83" s="1" t="s">
        <v>152</v>
      </c>
      <c r="C83">
        <v>0</v>
      </c>
      <c r="D83">
        <v>1</v>
      </c>
      <c r="E83">
        <v>0</v>
      </c>
      <c r="F83">
        <v>1</v>
      </c>
      <c r="G83">
        <v>0</v>
      </c>
      <c r="H83">
        <v>100</v>
      </c>
    </row>
    <row r="84" spans="1:8" x14ac:dyDescent="0.35">
      <c r="A84" s="1" t="s">
        <v>153</v>
      </c>
      <c r="B84" s="1" t="s">
        <v>154</v>
      </c>
      <c r="C84">
        <v>0</v>
      </c>
      <c r="D84">
        <v>0</v>
      </c>
      <c r="E84">
        <v>8</v>
      </c>
      <c r="F84">
        <v>8</v>
      </c>
      <c r="G84">
        <v>0</v>
      </c>
      <c r="H84">
        <v>0</v>
      </c>
    </row>
    <row r="85" spans="1:8" x14ac:dyDescent="0.35">
      <c r="A85" s="1" t="s">
        <v>155</v>
      </c>
      <c r="B85" s="1" t="s">
        <v>156</v>
      </c>
      <c r="C85">
        <v>0</v>
      </c>
      <c r="D85">
        <v>0</v>
      </c>
      <c r="E85">
        <v>4</v>
      </c>
      <c r="F85">
        <v>4</v>
      </c>
      <c r="G85">
        <v>0</v>
      </c>
      <c r="H85">
        <v>0</v>
      </c>
    </row>
    <row r="86" spans="1:8" x14ac:dyDescent="0.35">
      <c r="A86" s="1" t="s">
        <v>157</v>
      </c>
      <c r="B86" s="1" t="s">
        <v>158</v>
      </c>
      <c r="C86">
        <v>0</v>
      </c>
      <c r="D86">
        <v>0</v>
      </c>
      <c r="E86">
        <v>2</v>
      </c>
      <c r="F86">
        <v>2</v>
      </c>
      <c r="G86">
        <v>0</v>
      </c>
      <c r="H86">
        <v>0</v>
      </c>
    </row>
    <row r="87" spans="1:8" x14ac:dyDescent="0.35">
      <c r="A87" s="1" t="s">
        <v>159</v>
      </c>
      <c r="B87" s="1" t="s">
        <v>160</v>
      </c>
      <c r="C87">
        <v>0</v>
      </c>
      <c r="D87">
        <v>0</v>
      </c>
      <c r="E87">
        <v>1</v>
      </c>
      <c r="F87">
        <v>1</v>
      </c>
      <c r="G87">
        <v>0</v>
      </c>
      <c r="H87">
        <v>0</v>
      </c>
    </row>
    <row r="88" spans="1:8" x14ac:dyDescent="0.35">
      <c r="A88" s="1" t="s">
        <v>159</v>
      </c>
      <c r="B88" s="1" t="s">
        <v>161</v>
      </c>
      <c r="C88">
        <v>0</v>
      </c>
      <c r="D88">
        <v>0</v>
      </c>
      <c r="E88">
        <v>1</v>
      </c>
      <c r="F88">
        <v>1</v>
      </c>
      <c r="G88">
        <v>0</v>
      </c>
      <c r="H88">
        <v>0</v>
      </c>
    </row>
    <row r="89" spans="1:8" x14ac:dyDescent="0.35">
      <c r="A89" s="1" t="s">
        <v>159</v>
      </c>
      <c r="B89" s="1" t="s">
        <v>162</v>
      </c>
      <c r="C89">
        <v>0</v>
      </c>
      <c r="D89">
        <v>0</v>
      </c>
      <c r="E89">
        <v>1</v>
      </c>
      <c r="F89">
        <v>1</v>
      </c>
      <c r="G89">
        <v>0</v>
      </c>
      <c r="H89">
        <v>0</v>
      </c>
    </row>
    <row r="90" spans="1:8" x14ac:dyDescent="0.35">
      <c r="A90" s="1" t="s">
        <v>159</v>
      </c>
      <c r="B90" s="1" t="s">
        <v>163</v>
      </c>
      <c r="C90">
        <v>0</v>
      </c>
      <c r="D90">
        <v>0</v>
      </c>
      <c r="E90">
        <v>1</v>
      </c>
      <c r="F90">
        <v>1</v>
      </c>
      <c r="G90">
        <v>0</v>
      </c>
      <c r="H90">
        <v>0</v>
      </c>
    </row>
    <row r="91" spans="1:8" x14ac:dyDescent="0.35">
      <c r="A91" s="1" t="s">
        <v>159</v>
      </c>
      <c r="B91" s="1" t="s">
        <v>164</v>
      </c>
      <c r="C91">
        <v>0</v>
      </c>
      <c r="D91">
        <v>0</v>
      </c>
      <c r="E91">
        <v>1</v>
      </c>
      <c r="F91">
        <v>1</v>
      </c>
      <c r="G91">
        <v>0</v>
      </c>
      <c r="H91">
        <v>0</v>
      </c>
    </row>
    <row r="92" spans="1:8" x14ac:dyDescent="0.35">
      <c r="A92" s="1" t="s">
        <v>159</v>
      </c>
      <c r="B92" s="1" t="s">
        <v>165</v>
      </c>
      <c r="C92">
        <v>0</v>
      </c>
      <c r="D92">
        <v>0</v>
      </c>
      <c r="E92">
        <v>1</v>
      </c>
      <c r="F92">
        <v>1</v>
      </c>
      <c r="G92">
        <v>0</v>
      </c>
      <c r="H92">
        <v>0</v>
      </c>
    </row>
    <row r="93" spans="1:8" x14ac:dyDescent="0.35">
      <c r="A93" s="1" t="s">
        <v>159</v>
      </c>
      <c r="B93" s="1" t="s">
        <v>166</v>
      </c>
      <c r="C93">
        <v>0</v>
      </c>
      <c r="D93">
        <v>0</v>
      </c>
      <c r="E93">
        <v>1</v>
      </c>
      <c r="F93">
        <v>1</v>
      </c>
      <c r="G93">
        <v>0</v>
      </c>
      <c r="H93">
        <v>0</v>
      </c>
    </row>
    <row r="94" spans="1:8" x14ac:dyDescent="0.35">
      <c r="A94" s="1" t="s">
        <v>159</v>
      </c>
      <c r="B94" s="1" t="s">
        <v>167</v>
      </c>
      <c r="C94">
        <v>0</v>
      </c>
      <c r="D94">
        <v>0</v>
      </c>
      <c r="E94">
        <v>1</v>
      </c>
      <c r="F94">
        <v>1</v>
      </c>
      <c r="G94">
        <v>0</v>
      </c>
      <c r="H9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53DE-4771-4D02-8244-4173675027DD}">
  <dimension ref="A1:O266"/>
  <sheetViews>
    <sheetView topLeftCell="E1" workbookViewId="0">
      <selection activeCell="O12" sqref="O12"/>
    </sheetView>
  </sheetViews>
  <sheetFormatPr defaultRowHeight="14.5" x14ac:dyDescent="0.35"/>
  <cols>
    <col min="1" max="1" width="9.08984375" bestFit="1" customWidth="1"/>
    <col min="2" max="2" width="13.1796875" bestFit="1" customWidth="1"/>
    <col min="3" max="3" width="14.08984375" bestFit="1" customWidth="1"/>
    <col min="4" max="4" width="9.26953125" bestFit="1" customWidth="1"/>
    <col min="5" max="5" width="23.90625" bestFit="1" customWidth="1"/>
    <col min="6" max="6" width="9.81640625" bestFit="1" customWidth="1"/>
    <col min="7" max="7" width="25.26953125" bestFit="1" customWidth="1"/>
    <col min="8" max="8" width="11.6328125" bestFit="1" customWidth="1"/>
    <col min="9" max="9" width="6" bestFit="1" customWidth="1"/>
    <col min="10" max="10" width="15.54296875" bestFit="1" customWidth="1"/>
    <col min="11" max="11" width="21.7265625" bestFit="1" customWidth="1"/>
    <col min="12" max="12" width="12.36328125" bestFit="1" customWidth="1"/>
    <col min="13" max="13" width="12.1796875" bestFit="1" customWidth="1"/>
    <col min="14" max="14" width="12.36328125" bestFit="1" customWidth="1"/>
    <col min="15" max="15" width="12.1796875" bestFit="1" customWidth="1"/>
  </cols>
  <sheetData>
    <row r="1" spans="1:15" x14ac:dyDescent="0.35">
      <c r="A1" t="s">
        <v>168</v>
      </c>
      <c r="B1" t="s">
        <v>923</v>
      </c>
      <c r="C1" t="s">
        <v>924</v>
      </c>
      <c r="D1" t="s">
        <v>169</v>
      </c>
      <c r="E1" t="s">
        <v>170</v>
      </c>
      <c r="F1" t="s">
        <v>171</v>
      </c>
      <c r="G1" t="s">
        <v>172</v>
      </c>
      <c r="H1" t="s">
        <v>173</v>
      </c>
      <c r="I1" t="s">
        <v>174</v>
      </c>
      <c r="J1" t="s">
        <v>175</v>
      </c>
      <c r="K1" t="s">
        <v>176</v>
      </c>
      <c r="L1" t="s">
        <v>177</v>
      </c>
      <c r="M1" t="s">
        <v>178</v>
      </c>
    </row>
    <row r="2" spans="1:15" x14ac:dyDescent="0.35">
      <c r="A2" s="1" t="s">
        <v>179</v>
      </c>
      <c r="B2" s="1" t="s">
        <v>180</v>
      </c>
      <c r="C2" s="1" t="s">
        <v>181</v>
      </c>
      <c r="D2" s="1" t="s">
        <v>182</v>
      </c>
      <c r="E2" s="1" t="s">
        <v>183</v>
      </c>
      <c r="F2">
        <v>120000</v>
      </c>
      <c r="G2" t="s">
        <v>184</v>
      </c>
      <c r="H2" s="2">
        <v>43416</v>
      </c>
      <c r="I2">
        <v>1</v>
      </c>
      <c r="J2" s="1" t="s">
        <v>185</v>
      </c>
      <c r="K2" s="1" t="s">
        <v>186</v>
      </c>
      <c r="L2">
        <v>6.44</v>
      </c>
      <c r="M2" t="s">
        <v>187</v>
      </c>
    </row>
    <row r="3" spans="1:15" x14ac:dyDescent="0.35">
      <c r="A3" s="1" t="s">
        <v>188</v>
      </c>
      <c r="B3" s="1" t="s">
        <v>189</v>
      </c>
      <c r="C3" s="1" t="s">
        <v>190</v>
      </c>
      <c r="D3" s="1" t="s">
        <v>191</v>
      </c>
      <c r="E3" s="1" t="s">
        <v>192</v>
      </c>
      <c r="F3">
        <v>98000</v>
      </c>
      <c r="G3" t="s">
        <v>193</v>
      </c>
      <c r="H3" s="2">
        <v>43710</v>
      </c>
      <c r="I3">
        <v>0.9</v>
      </c>
      <c r="J3" s="1" t="s">
        <v>185</v>
      </c>
      <c r="K3" s="1" t="s">
        <v>194</v>
      </c>
      <c r="L3">
        <v>5.63</v>
      </c>
      <c r="M3" t="s">
        <v>195</v>
      </c>
    </row>
    <row r="4" spans="1:15" x14ac:dyDescent="0.35">
      <c r="A4" s="1" t="s">
        <v>196</v>
      </c>
      <c r="B4" s="1" t="s">
        <v>197</v>
      </c>
      <c r="C4" s="1" t="s">
        <v>198</v>
      </c>
      <c r="D4" s="1" t="s">
        <v>191</v>
      </c>
      <c r="E4" s="1" t="s">
        <v>199</v>
      </c>
      <c r="F4">
        <v>120000</v>
      </c>
      <c r="G4" t="s">
        <v>184</v>
      </c>
      <c r="H4" s="2">
        <v>43902</v>
      </c>
      <c r="I4">
        <v>0.9</v>
      </c>
      <c r="J4" s="1" t="s">
        <v>185</v>
      </c>
      <c r="K4" s="1" t="s">
        <v>186</v>
      </c>
      <c r="L4">
        <v>5.1100000000000003</v>
      </c>
      <c r="M4" t="s">
        <v>195</v>
      </c>
    </row>
    <row r="5" spans="1:15" x14ac:dyDescent="0.35">
      <c r="A5" s="1" t="s">
        <v>200</v>
      </c>
      <c r="B5" s="1" t="s">
        <v>201</v>
      </c>
      <c r="C5" s="1" t="s">
        <v>202</v>
      </c>
      <c r="D5" s="1" t="s">
        <v>191</v>
      </c>
      <c r="E5" s="1" t="s">
        <v>203</v>
      </c>
      <c r="F5">
        <v>93128.34</v>
      </c>
      <c r="G5" t="s">
        <v>193</v>
      </c>
      <c r="H5" s="2">
        <v>43164</v>
      </c>
      <c r="I5">
        <v>1</v>
      </c>
      <c r="J5" s="1" t="s">
        <v>204</v>
      </c>
      <c r="K5" s="1" t="s">
        <v>194</v>
      </c>
      <c r="L5">
        <v>7.13</v>
      </c>
      <c r="M5" t="s">
        <v>187</v>
      </c>
    </row>
    <row r="6" spans="1:15" x14ac:dyDescent="0.35">
      <c r="A6" s="1" t="s">
        <v>205</v>
      </c>
      <c r="B6" s="1" t="s">
        <v>206</v>
      </c>
      <c r="C6" s="1" t="s">
        <v>207</v>
      </c>
      <c r="D6" s="1" t="s">
        <v>191</v>
      </c>
      <c r="E6" s="1" t="s">
        <v>203</v>
      </c>
      <c r="F6">
        <v>57002.02</v>
      </c>
      <c r="G6" t="s">
        <v>193</v>
      </c>
      <c r="H6" s="2">
        <v>43192</v>
      </c>
      <c r="I6">
        <v>0.7</v>
      </c>
      <c r="J6" s="1" t="s">
        <v>185</v>
      </c>
      <c r="K6" s="1" t="s">
        <v>208</v>
      </c>
      <c r="L6">
        <v>7.05</v>
      </c>
      <c r="M6" t="s">
        <v>195</v>
      </c>
    </row>
    <row r="7" spans="1:15" x14ac:dyDescent="0.35">
      <c r="A7" s="1" t="s">
        <v>209</v>
      </c>
      <c r="B7" s="1" t="s">
        <v>210</v>
      </c>
      <c r="C7" s="1" t="s">
        <v>211</v>
      </c>
      <c r="D7" s="1" t="s">
        <v>182</v>
      </c>
      <c r="E7" s="1" t="s">
        <v>212</v>
      </c>
      <c r="F7">
        <v>118976.16</v>
      </c>
      <c r="G7" t="s">
        <v>184</v>
      </c>
      <c r="H7" s="2">
        <v>44120</v>
      </c>
      <c r="I7">
        <v>1</v>
      </c>
      <c r="J7" s="1" t="s">
        <v>185</v>
      </c>
      <c r="K7" s="1" t="s">
        <v>213</v>
      </c>
      <c r="L7">
        <v>4.51</v>
      </c>
      <c r="M7" t="s">
        <v>187</v>
      </c>
    </row>
    <row r="8" spans="1:15" x14ac:dyDescent="0.35">
      <c r="A8" s="1" t="s">
        <v>214</v>
      </c>
      <c r="B8" s="1" t="s">
        <v>215</v>
      </c>
      <c r="C8" s="1" t="s">
        <v>216</v>
      </c>
      <c r="D8" s="1" t="s">
        <v>217</v>
      </c>
      <c r="E8" s="1" t="s">
        <v>218</v>
      </c>
      <c r="F8">
        <v>104802.63</v>
      </c>
      <c r="G8" t="s">
        <v>184</v>
      </c>
      <c r="H8" s="2">
        <v>44502</v>
      </c>
      <c r="I8">
        <v>1</v>
      </c>
      <c r="J8" s="1" t="s">
        <v>185</v>
      </c>
      <c r="K8" s="1" t="s">
        <v>208</v>
      </c>
      <c r="L8">
        <v>3.46</v>
      </c>
      <c r="M8" t="s">
        <v>187</v>
      </c>
    </row>
    <row r="9" spans="1:15" x14ac:dyDescent="0.35">
      <c r="A9" s="1" t="s">
        <v>219</v>
      </c>
      <c r="B9" s="1" t="s">
        <v>220</v>
      </c>
      <c r="C9" s="1" t="s">
        <v>221</v>
      </c>
      <c r="D9" s="1" t="s">
        <v>191</v>
      </c>
      <c r="E9" s="1" t="s">
        <v>222</v>
      </c>
      <c r="F9">
        <v>66017.179999999993</v>
      </c>
      <c r="G9" t="s">
        <v>193</v>
      </c>
      <c r="H9" s="2">
        <v>43643</v>
      </c>
      <c r="I9">
        <v>0.9</v>
      </c>
      <c r="J9" s="1" t="s">
        <v>185</v>
      </c>
      <c r="K9" s="1" t="s">
        <v>186</v>
      </c>
      <c r="L9">
        <v>5.82</v>
      </c>
      <c r="M9" t="s">
        <v>195</v>
      </c>
    </row>
    <row r="10" spans="1:15" x14ac:dyDescent="0.35">
      <c r="A10" s="1" t="s">
        <v>223</v>
      </c>
      <c r="B10" s="1" t="s">
        <v>224</v>
      </c>
      <c r="C10" s="1" t="s">
        <v>225</v>
      </c>
      <c r="D10" s="1" t="s">
        <v>182</v>
      </c>
      <c r="E10" s="1" t="s">
        <v>226</v>
      </c>
      <c r="F10">
        <v>74279.009999999995</v>
      </c>
      <c r="G10" t="s">
        <v>193</v>
      </c>
      <c r="H10" s="2">
        <v>43466</v>
      </c>
      <c r="I10">
        <v>1</v>
      </c>
      <c r="J10" s="1" t="s">
        <v>185</v>
      </c>
      <c r="K10" s="1" t="s">
        <v>213</v>
      </c>
      <c r="L10">
        <v>6.3</v>
      </c>
      <c r="M10" t="s">
        <v>187</v>
      </c>
    </row>
    <row r="11" spans="1:15" x14ac:dyDescent="0.35">
      <c r="A11" s="1" t="s">
        <v>227</v>
      </c>
      <c r="B11" s="1" t="s">
        <v>228</v>
      </c>
      <c r="C11" s="1" t="s">
        <v>229</v>
      </c>
      <c r="D11" s="1" t="s">
        <v>191</v>
      </c>
      <c r="E11" s="1" t="s">
        <v>192</v>
      </c>
      <c r="F11">
        <v>68980.52</v>
      </c>
      <c r="G11" t="s">
        <v>193</v>
      </c>
      <c r="H11" s="2">
        <v>43494</v>
      </c>
      <c r="I11">
        <v>0.8</v>
      </c>
      <c r="J11" s="1" t="s">
        <v>185</v>
      </c>
      <c r="K11" s="1" t="s">
        <v>186</v>
      </c>
      <c r="L11">
        <v>6.22</v>
      </c>
      <c r="M11" t="s">
        <v>195</v>
      </c>
      <c r="O11" t="str">
        <f>TEXT(H8,"DDDD")</f>
        <v>Tuesday</v>
      </c>
    </row>
    <row r="12" spans="1:15" x14ac:dyDescent="0.35">
      <c r="A12" s="1" t="s">
        <v>230</v>
      </c>
      <c r="B12" s="1" t="s">
        <v>231</v>
      </c>
      <c r="C12" s="1" t="s">
        <v>232</v>
      </c>
      <c r="D12" s="1" t="s">
        <v>191</v>
      </c>
      <c r="E12" s="1" t="s">
        <v>199</v>
      </c>
      <c r="F12">
        <v>42314.39</v>
      </c>
      <c r="G12" t="s">
        <v>233</v>
      </c>
      <c r="H12" s="2">
        <v>44487</v>
      </c>
      <c r="I12">
        <v>1</v>
      </c>
      <c r="J12" s="1" t="s">
        <v>204</v>
      </c>
      <c r="K12" s="1" t="s">
        <v>186</v>
      </c>
      <c r="L12">
        <v>3.5</v>
      </c>
      <c r="M12" t="s">
        <v>187</v>
      </c>
    </row>
    <row r="13" spans="1:15" x14ac:dyDescent="0.35">
      <c r="A13" s="1" t="s">
        <v>234</v>
      </c>
      <c r="B13" s="1" t="s">
        <v>235</v>
      </c>
      <c r="C13" s="1" t="s">
        <v>236</v>
      </c>
      <c r="D13" s="1" t="s">
        <v>191</v>
      </c>
      <c r="E13" s="1" t="s">
        <v>212</v>
      </c>
      <c r="F13">
        <v>114425.19</v>
      </c>
      <c r="G13" t="s">
        <v>184</v>
      </c>
      <c r="H13" s="2">
        <v>43857</v>
      </c>
      <c r="I13">
        <v>1</v>
      </c>
      <c r="J13" s="1" t="s">
        <v>185</v>
      </c>
      <c r="K13" s="1" t="s">
        <v>213</v>
      </c>
      <c r="L13">
        <v>5.23</v>
      </c>
      <c r="M13" t="s">
        <v>187</v>
      </c>
    </row>
    <row r="14" spans="1:15" x14ac:dyDescent="0.35">
      <c r="A14" s="1" t="s">
        <v>237</v>
      </c>
      <c r="B14" s="1" t="s">
        <v>238</v>
      </c>
      <c r="C14" s="1" t="s">
        <v>239</v>
      </c>
      <c r="D14" s="1" t="s">
        <v>191</v>
      </c>
      <c r="E14" s="1" t="s">
        <v>192</v>
      </c>
      <c r="F14">
        <v>69192.850000000006</v>
      </c>
      <c r="G14" t="s">
        <v>193</v>
      </c>
      <c r="H14" s="2">
        <v>44305</v>
      </c>
      <c r="I14">
        <v>1</v>
      </c>
      <c r="J14" s="1" t="s">
        <v>185</v>
      </c>
      <c r="K14" s="1" t="s">
        <v>240</v>
      </c>
      <c r="L14">
        <v>4</v>
      </c>
      <c r="M14" t="s">
        <v>187</v>
      </c>
    </row>
    <row r="15" spans="1:15" x14ac:dyDescent="0.35">
      <c r="A15" s="1" t="s">
        <v>241</v>
      </c>
      <c r="B15" s="1" t="s">
        <v>242</v>
      </c>
      <c r="C15" s="1" t="s">
        <v>243</v>
      </c>
      <c r="D15" s="1" t="s">
        <v>182</v>
      </c>
      <c r="E15" s="1" t="s">
        <v>218</v>
      </c>
      <c r="F15">
        <v>61214.26</v>
      </c>
      <c r="G15" t="s">
        <v>193</v>
      </c>
      <c r="H15" s="2">
        <v>43171</v>
      </c>
      <c r="I15">
        <v>1</v>
      </c>
      <c r="J15" s="1" t="s">
        <v>244</v>
      </c>
      <c r="K15" s="1" t="s">
        <v>245</v>
      </c>
      <c r="L15">
        <v>7.11</v>
      </c>
      <c r="M15" t="s">
        <v>187</v>
      </c>
    </row>
    <row r="16" spans="1:15" x14ac:dyDescent="0.35">
      <c r="A16" s="1" t="s">
        <v>246</v>
      </c>
      <c r="B16" s="1" t="s">
        <v>247</v>
      </c>
      <c r="C16" s="1" t="s">
        <v>248</v>
      </c>
      <c r="D16" s="1" t="s">
        <v>182</v>
      </c>
      <c r="E16" s="1" t="s">
        <v>218</v>
      </c>
      <c r="F16">
        <v>54137.05</v>
      </c>
      <c r="G16" t="s">
        <v>193</v>
      </c>
      <c r="H16" s="2">
        <v>43763</v>
      </c>
      <c r="I16">
        <v>1</v>
      </c>
      <c r="J16" s="1" t="s">
        <v>185</v>
      </c>
      <c r="K16" s="1" t="s">
        <v>186</v>
      </c>
      <c r="L16">
        <v>5.49</v>
      </c>
      <c r="M16" t="s">
        <v>187</v>
      </c>
    </row>
    <row r="17" spans="1:13" x14ac:dyDescent="0.35">
      <c r="A17" s="1" t="s">
        <v>249</v>
      </c>
      <c r="B17" s="1" t="s">
        <v>250</v>
      </c>
      <c r="C17" s="1" t="s">
        <v>251</v>
      </c>
      <c r="D17" s="1" t="s">
        <v>191</v>
      </c>
      <c r="E17" s="1" t="s">
        <v>203</v>
      </c>
      <c r="F17">
        <v>37902.35</v>
      </c>
      <c r="G17" t="s">
        <v>233</v>
      </c>
      <c r="H17" s="2">
        <v>43823</v>
      </c>
      <c r="I17">
        <v>1</v>
      </c>
      <c r="J17" s="1" t="s">
        <v>185</v>
      </c>
      <c r="K17" s="1" t="s">
        <v>252</v>
      </c>
      <c r="L17">
        <v>5.32</v>
      </c>
      <c r="M17" t="s">
        <v>187</v>
      </c>
    </row>
    <row r="18" spans="1:13" x14ac:dyDescent="0.35">
      <c r="A18" s="1" t="s">
        <v>253</v>
      </c>
      <c r="B18" s="1" t="s">
        <v>254</v>
      </c>
      <c r="C18" s="1" t="s">
        <v>255</v>
      </c>
      <c r="D18" s="1" t="s">
        <v>182</v>
      </c>
      <c r="E18" s="1" t="s">
        <v>212</v>
      </c>
      <c r="F18">
        <v>39969.72</v>
      </c>
      <c r="G18" t="s">
        <v>233</v>
      </c>
      <c r="H18" s="2">
        <v>43444</v>
      </c>
      <c r="I18">
        <v>1</v>
      </c>
      <c r="J18" s="1" t="s">
        <v>244</v>
      </c>
      <c r="K18" s="1" t="s">
        <v>240</v>
      </c>
      <c r="L18">
        <v>6.36</v>
      </c>
      <c r="M18" t="s">
        <v>187</v>
      </c>
    </row>
    <row r="19" spans="1:13" x14ac:dyDescent="0.35">
      <c r="A19" s="1" t="s">
        <v>256</v>
      </c>
      <c r="B19" s="1" t="s">
        <v>257</v>
      </c>
      <c r="C19" s="1" t="s">
        <v>258</v>
      </c>
      <c r="D19" s="1" t="s">
        <v>182</v>
      </c>
      <c r="E19" s="1" t="s">
        <v>199</v>
      </c>
      <c r="F19">
        <v>69913.39</v>
      </c>
      <c r="G19" t="s">
        <v>193</v>
      </c>
      <c r="H19" s="2">
        <v>43584</v>
      </c>
      <c r="I19">
        <v>1</v>
      </c>
      <c r="J19" s="1" t="s">
        <v>185</v>
      </c>
      <c r="K19" s="1" t="s">
        <v>186</v>
      </c>
      <c r="L19">
        <v>5.98</v>
      </c>
      <c r="M19" t="s">
        <v>187</v>
      </c>
    </row>
    <row r="20" spans="1:13" x14ac:dyDescent="0.35">
      <c r="A20" s="1" t="s">
        <v>259</v>
      </c>
      <c r="B20" s="1" t="s">
        <v>260</v>
      </c>
      <c r="C20" s="1" t="s">
        <v>261</v>
      </c>
      <c r="D20" s="1" t="s">
        <v>182</v>
      </c>
      <c r="E20" s="1" t="s">
        <v>226</v>
      </c>
      <c r="F20">
        <v>52748.63</v>
      </c>
      <c r="G20" t="s">
        <v>193</v>
      </c>
      <c r="H20" s="2">
        <v>43857</v>
      </c>
      <c r="I20">
        <v>1</v>
      </c>
      <c r="J20" s="1" t="s">
        <v>185</v>
      </c>
      <c r="K20" s="1" t="s">
        <v>252</v>
      </c>
      <c r="L20">
        <v>5.23</v>
      </c>
      <c r="M20" t="s">
        <v>187</v>
      </c>
    </row>
    <row r="21" spans="1:13" x14ac:dyDescent="0.35">
      <c r="A21" s="1" t="s">
        <v>262</v>
      </c>
      <c r="B21" s="1" t="s">
        <v>263</v>
      </c>
      <c r="C21" s="1" t="s">
        <v>264</v>
      </c>
      <c r="D21" s="1" t="s">
        <v>182</v>
      </c>
      <c r="E21" s="1" t="s">
        <v>265</v>
      </c>
      <c r="F21">
        <v>50310.09</v>
      </c>
      <c r="G21" t="s">
        <v>193</v>
      </c>
      <c r="H21" s="2">
        <v>44285</v>
      </c>
      <c r="I21">
        <v>0.4</v>
      </c>
      <c r="J21" s="1" t="s">
        <v>185</v>
      </c>
      <c r="K21" s="1" t="s">
        <v>208</v>
      </c>
      <c r="L21">
        <v>4.0599999999999996</v>
      </c>
      <c r="M21" t="s">
        <v>195</v>
      </c>
    </row>
    <row r="22" spans="1:13" x14ac:dyDescent="0.35">
      <c r="A22" s="1" t="s">
        <v>266</v>
      </c>
      <c r="B22" s="1" t="s">
        <v>267</v>
      </c>
      <c r="C22" s="1" t="s">
        <v>268</v>
      </c>
      <c r="D22" s="1" t="s">
        <v>182</v>
      </c>
      <c r="E22" s="1" t="s">
        <v>269</v>
      </c>
      <c r="F22">
        <v>52963.65</v>
      </c>
      <c r="G22" t="s">
        <v>193</v>
      </c>
      <c r="H22" s="2">
        <v>44288</v>
      </c>
      <c r="I22">
        <v>0.3</v>
      </c>
      <c r="J22" s="1" t="s">
        <v>185</v>
      </c>
      <c r="K22" s="1" t="s">
        <v>240</v>
      </c>
      <c r="L22">
        <v>4.05</v>
      </c>
      <c r="M22" t="s">
        <v>195</v>
      </c>
    </row>
    <row r="23" spans="1:13" x14ac:dyDescent="0.35">
      <c r="A23" s="1" t="s">
        <v>270</v>
      </c>
      <c r="B23" s="1" t="s">
        <v>271</v>
      </c>
      <c r="C23" s="1" t="s">
        <v>272</v>
      </c>
      <c r="D23" s="1" t="s">
        <v>182</v>
      </c>
      <c r="E23" s="1" t="s">
        <v>273</v>
      </c>
      <c r="F23">
        <v>62195.47</v>
      </c>
      <c r="G23" t="s">
        <v>193</v>
      </c>
      <c r="H23" s="2">
        <v>44434</v>
      </c>
      <c r="I23">
        <v>1</v>
      </c>
      <c r="J23" s="1" t="s">
        <v>185</v>
      </c>
      <c r="K23" s="1" t="s">
        <v>186</v>
      </c>
      <c r="L23">
        <v>3.65</v>
      </c>
      <c r="M23" t="s">
        <v>187</v>
      </c>
    </row>
    <row r="24" spans="1:13" x14ac:dyDescent="0.35">
      <c r="A24" s="1" t="s">
        <v>274</v>
      </c>
      <c r="B24" s="1" t="s">
        <v>275</v>
      </c>
      <c r="C24" s="1" t="s">
        <v>276</v>
      </c>
      <c r="D24" s="1" t="s">
        <v>182</v>
      </c>
      <c r="E24" s="1" t="s">
        <v>212</v>
      </c>
      <c r="F24">
        <v>43329.22</v>
      </c>
      <c r="G24" t="s">
        <v>233</v>
      </c>
      <c r="H24" s="2">
        <v>43809</v>
      </c>
      <c r="I24">
        <v>0.5</v>
      </c>
      <c r="J24" s="1" t="s">
        <v>204</v>
      </c>
      <c r="K24" s="1" t="s">
        <v>186</v>
      </c>
      <c r="L24">
        <v>5.36</v>
      </c>
      <c r="M24" t="s">
        <v>195</v>
      </c>
    </row>
    <row r="25" spans="1:13" x14ac:dyDescent="0.35">
      <c r="A25" s="1" t="s">
        <v>277</v>
      </c>
      <c r="B25" s="1" t="s">
        <v>278</v>
      </c>
      <c r="C25" s="1" t="s">
        <v>279</v>
      </c>
      <c r="D25" s="1" t="s">
        <v>191</v>
      </c>
      <c r="E25" s="1" t="s">
        <v>203</v>
      </c>
      <c r="F25">
        <v>71570.990000000005</v>
      </c>
      <c r="G25" t="s">
        <v>193</v>
      </c>
      <c r="H25" s="2">
        <v>44249</v>
      </c>
      <c r="I25">
        <v>0.5</v>
      </c>
      <c r="J25" s="1" t="s">
        <v>185</v>
      </c>
      <c r="K25" s="1" t="s">
        <v>208</v>
      </c>
      <c r="L25">
        <v>4.16</v>
      </c>
      <c r="M25" t="s">
        <v>195</v>
      </c>
    </row>
    <row r="26" spans="1:13" x14ac:dyDescent="0.35">
      <c r="A26" s="1" t="s">
        <v>280</v>
      </c>
      <c r="B26" s="1" t="s">
        <v>281</v>
      </c>
      <c r="C26" s="1" t="s">
        <v>282</v>
      </c>
      <c r="D26" s="1" t="s">
        <v>217</v>
      </c>
      <c r="E26" s="1" t="s">
        <v>203</v>
      </c>
      <c r="F26">
        <v>78840.23</v>
      </c>
      <c r="G26" t="s">
        <v>193</v>
      </c>
      <c r="H26" s="2">
        <v>43633</v>
      </c>
      <c r="I26">
        <v>1</v>
      </c>
      <c r="J26" s="1" t="s">
        <v>244</v>
      </c>
      <c r="K26" s="1" t="s">
        <v>186</v>
      </c>
      <c r="L26">
        <v>5.84</v>
      </c>
      <c r="M26" t="s">
        <v>187</v>
      </c>
    </row>
    <row r="27" spans="1:13" x14ac:dyDescent="0.35">
      <c r="A27" s="1" t="s">
        <v>283</v>
      </c>
      <c r="B27" s="1" t="s">
        <v>284</v>
      </c>
      <c r="C27" s="1" t="s">
        <v>285</v>
      </c>
      <c r="D27" s="1" t="s">
        <v>191</v>
      </c>
      <c r="E27" s="1" t="s">
        <v>265</v>
      </c>
      <c r="F27">
        <v>61994.76</v>
      </c>
      <c r="G27" t="s">
        <v>193</v>
      </c>
      <c r="H27" s="2">
        <v>43794</v>
      </c>
      <c r="I27">
        <v>0.3</v>
      </c>
      <c r="J27" s="1" t="s">
        <v>185</v>
      </c>
      <c r="K27" s="1" t="s">
        <v>208</v>
      </c>
      <c r="L27">
        <v>5.4</v>
      </c>
      <c r="M27" t="s">
        <v>195</v>
      </c>
    </row>
    <row r="28" spans="1:13" x14ac:dyDescent="0.35">
      <c r="A28" s="1" t="s">
        <v>286</v>
      </c>
      <c r="B28" s="1" t="s">
        <v>287</v>
      </c>
      <c r="C28" s="1" t="s">
        <v>288</v>
      </c>
      <c r="D28" s="1" t="s">
        <v>191</v>
      </c>
      <c r="E28" s="1" t="s">
        <v>199</v>
      </c>
      <c r="F28">
        <v>89690.38</v>
      </c>
      <c r="G28" t="s">
        <v>193</v>
      </c>
      <c r="H28" s="2">
        <v>43206</v>
      </c>
      <c r="I28">
        <v>1</v>
      </c>
      <c r="J28" s="1" t="s">
        <v>185</v>
      </c>
      <c r="K28" s="1" t="s">
        <v>213</v>
      </c>
      <c r="L28">
        <v>7.01</v>
      </c>
      <c r="M28" t="s">
        <v>187</v>
      </c>
    </row>
    <row r="29" spans="1:13" x14ac:dyDescent="0.35">
      <c r="A29" s="1" t="s">
        <v>289</v>
      </c>
      <c r="B29" s="1" t="s">
        <v>290</v>
      </c>
      <c r="C29" s="1" t="s">
        <v>291</v>
      </c>
      <c r="D29" s="1" t="s">
        <v>182</v>
      </c>
      <c r="E29" s="1" t="s">
        <v>292</v>
      </c>
      <c r="F29">
        <v>104335.03999999999</v>
      </c>
      <c r="G29" t="s">
        <v>184</v>
      </c>
      <c r="H29" s="2">
        <v>43874</v>
      </c>
      <c r="I29">
        <v>1</v>
      </c>
      <c r="J29" s="1" t="s">
        <v>185</v>
      </c>
      <c r="K29" s="1" t="s">
        <v>240</v>
      </c>
      <c r="L29">
        <v>5.18</v>
      </c>
      <c r="M29" t="s">
        <v>187</v>
      </c>
    </row>
    <row r="30" spans="1:13" x14ac:dyDescent="0.35">
      <c r="A30" s="1" t="s">
        <v>293</v>
      </c>
      <c r="B30" s="1" t="s">
        <v>294</v>
      </c>
      <c r="C30" s="1" t="s">
        <v>295</v>
      </c>
      <c r="D30" s="1" t="s">
        <v>182</v>
      </c>
      <c r="E30" s="1" t="s">
        <v>269</v>
      </c>
      <c r="F30">
        <v>52246.29</v>
      </c>
      <c r="G30" t="s">
        <v>193</v>
      </c>
      <c r="H30" s="2">
        <v>43573</v>
      </c>
      <c r="I30">
        <v>1</v>
      </c>
      <c r="J30" s="1" t="s">
        <v>244</v>
      </c>
      <c r="K30" s="1" t="s">
        <v>213</v>
      </c>
      <c r="L30">
        <v>6.01</v>
      </c>
      <c r="M30" t="s">
        <v>187</v>
      </c>
    </row>
    <row r="31" spans="1:13" x14ac:dyDescent="0.35">
      <c r="A31" s="1" t="s">
        <v>296</v>
      </c>
      <c r="B31" s="1" t="s">
        <v>297</v>
      </c>
      <c r="C31" s="1" t="s">
        <v>298</v>
      </c>
      <c r="D31" s="1" t="s">
        <v>182</v>
      </c>
      <c r="E31" s="1" t="s">
        <v>299</v>
      </c>
      <c r="F31">
        <v>90697.67</v>
      </c>
      <c r="G31" t="s">
        <v>193</v>
      </c>
      <c r="H31" s="2">
        <v>44221</v>
      </c>
      <c r="I31">
        <v>0.8</v>
      </c>
      <c r="J31" s="1" t="s">
        <v>185</v>
      </c>
      <c r="K31" s="1" t="s">
        <v>194</v>
      </c>
      <c r="L31">
        <v>4.2300000000000004</v>
      </c>
      <c r="M31" t="s">
        <v>195</v>
      </c>
    </row>
    <row r="32" spans="1:13" x14ac:dyDescent="0.35">
      <c r="A32" s="1" t="s">
        <v>300</v>
      </c>
      <c r="B32" s="1" t="s">
        <v>301</v>
      </c>
      <c r="C32" s="1" t="s">
        <v>302</v>
      </c>
      <c r="D32" s="1" t="s">
        <v>182</v>
      </c>
      <c r="E32" s="1" t="s">
        <v>192</v>
      </c>
      <c r="F32">
        <v>90884.32</v>
      </c>
      <c r="G32" t="s">
        <v>193</v>
      </c>
      <c r="H32" s="2">
        <v>43826</v>
      </c>
      <c r="I32">
        <v>1</v>
      </c>
      <c r="J32" s="1" t="s">
        <v>185</v>
      </c>
      <c r="K32" s="1" t="s">
        <v>240</v>
      </c>
      <c r="L32">
        <v>5.32</v>
      </c>
      <c r="M32" t="s">
        <v>187</v>
      </c>
    </row>
    <row r="33" spans="1:13" x14ac:dyDescent="0.35">
      <c r="A33" s="1" t="s">
        <v>303</v>
      </c>
      <c r="B33" s="1" t="s">
        <v>304</v>
      </c>
      <c r="C33" s="1" t="s">
        <v>305</v>
      </c>
      <c r="D33" s="1" t="s">
        <v>182</v>
      </c>
      <c r="E33" s="1" t="s">
        <v>265</v>
      </c>
      <c r="F33">
        <v>76320.44</v>
      </c>
      <c r="G33" t="s">
        <v>193</v>
      </c>
      <c r="H33" s="2">
        <v>44383</v>
      </c>
      <c r="I33">
        <v>0.8</v>
      </c>
      <c r="J33" s="1" t="s">
        <v>244</v>
      </c>
      <c r="K33" s="1" t="s">
        <v>186</v>
      </c>
      <c r="L33">
        <v>3.79</v>
      </c>
      <c r="M33" t="s">
        <v>195</v>
      </c>
    </row>
    <row r="34" spans="1:13" x14ac:dyDescent="0.35">
      <c r="A34" s="1" t="s">
        <v>306</v>
      </c>
      <c r="B34" s="1" t="s">
        <v>307</v>
      </c>
      <c r="C34" s="1" t="s">
        <v>308</v>
      </c>
      <c r="D34" s="1" t="s">
        <v>182</v>
      </c>
      <c r="E34" s="1" t="s">
        <v>192</v>
      </c>
      <c r="F34">
        <v>73360.38</v>
      </c>
      <c r="G34" t="s">
        <v>193</v>
      </c>
      <c r="H34" s="2">
        <v>43972</v>
      </c>
      <c r="I34">
        <v>1</v>
      </c>
      <c r="J34" s="1" t="s">
        <v>244</v>
      </c>
      <c r="K34" s="1" t="s">
        <v>186</v>
      </c>
      <c r="L34">
        <v>4.92</v>
      </c>
      <c r="M34" t="s">
        <v>187</v>
      </c>
    </row>
    <row r="35" spans="1:13" x14ac:dyDescent="0.35">
      <c r="A35" s="1" t="s">
        <v>309</v>
      </c>
      <c r="B35" s="1" t="s">
        <v>310</v>
      </c>
      <c r="C35" s="1" t="s">
        <v>311</v>
      </c>
      <c r="D35" s="1" t="s">
        <v>191</v>
      </c>
      <c r="E35" s="1" t="s">
        <v>226</v>
      </c>
      <c r="F35">
        <v>50449.46</v>
      </c>
      <c r="G35" t="s">
        <v>193</v>
      </c>
      <c r="H35" s="2">
        <v>43418</v>
      </c>
      <c r="I35">
        <v>0.8</v>
      </c>
      <c r="J35" s="1" t="s">
        <v>185</v>
      </c>
      <c r="K35" s="1" t="s">
        <v>245</v>
      </c>
      <c r="L35">
        <v>6.43</v>
      </c>
      <c r="M35" t="s">
        <v>195</v>
      </c>
    </row>
    <row r="36" spans="1:13" x14ac:dyDescent="0.35">
      <c r="A36" s="1" t="s">
        <v>312</v>
      </c>
      <c r="B36" s="1" t="s">
        <v>313</v>
      </c>
      <c r="C36" s="1" t="s">
        <v>314</v>
      </c>
      <c r="D36" s="1" t="s">
        <v>182</v>
      </c>
      <c r="E36" s="1" t="s">
        <v>203</v>
      </c>
      <c r="F36">
        <v>53949.26</v>
      </c>
      <c r="G36" t="s">
        <v>193</v>
      </c>
      <c r="H36" s="2">
        <v>43808</v>
      </c>
      <c r="I36">
        <v>1</v>
      </c>
      <c r="J36" s="1" t="s">
        <v>244</v>
      </c>
      <c r="K36" s="1" t="s">
        <v>240</v>
      </c>
      <c r="L36">
        <v>5.36</v>
      </c>
      <c r="M36" t="s">
        <v>187</v>
      </c>
    </row>
    <row r="37" spans="1:13" x14ac:dyDescent="0.35">
      <c r="A37" s="1" t="s">
        <v>315</v>
      </c>
      <c r="B37" s="1" t="s">
        <v>316</v>
      </c>
      <c r="C37" s="1" t="s">
        <v>317</v>
      </c>
      <c r="D37" s="1" t="s">
        <v>182</v>
      </c>
      <c r="E37" s="1" t="s">
        <v>299</v>
      </c>
      <c r="F37">
        <v>113616.23</v>
      </c>
      <c r="G37" t="s">
        <v>184</v>
      </c>
      <c r="H37" s="2">
        <v>43255</v>
      </c>
      <c r="I37">
        <v>1</v>
      </c>
      <c r="J37" s="1" t="s">
        <v>185</v>
      </c>
      <c r="K37" s="1" t="s">
        <v>186</v>
      </c>
      <c r="L37">
        <v>6.88</v>
      </c>
      <c r="M37" t="s">
        <v>187</v>
      </c>
    </row>
    <row r="38" spans="1:13" x14ac:dyDescent="0.35">
      <c r="A38" s="1" t="s">
        <v>318</v>
      </c>
      <c r="B38" s="1" t="s">
        <v>319</v>
      </c>
      <c r="C38" s="1" t="s">
        <v>320</v>
      </c>
      <c r="D38" s="1" t="s">
        <v>191</v>
      </c>
      <c r="E38" s="1" t="s">
        <v>292</v>
      </c>
      <c r="F38">
        <v>110906.35</v>
      </c>
      <c r="G38" t="s">
        <v>184</v>
      </c>
      <c r="H38" s="2">
        <v>43434</v>
      </c>
      <c r="I38">
        <v>1</v>
      </c>
      <c r="J38" s="1" t="s">
        <v>244</v>
      </c>
      <c r="K38" s="1" t="s">
        <v>213</v>
      </c>
      <c r="L38">
        <v>6.39</v>
      </c>
      <c r="M38" t="s">
        <v>187</v>
      </c>
    </row>
    <row r="39" spans="1:13" x14ac:dyDescent="0.35">
      <c r="A39" s="1" t="s">
        <v>321</v>
      </c>
      <c r="B39" s="1" t="s">
        <v>322</v>
      </c>
      <c r="C39" s="1" t="s">
        <v>323</v>
      </c>
      <c r="D39" s="1" t="s">
        <v>191</v>
      </c>
      <c r="E39" s="1" t="s">
        <v>218</v>
      </c>
      <c r="F39">
        <v>100371.31</v>
      </c>
      <c r="G39" t="s">
        <v>184</v>
      </c>
      <c r="H39" s="2">
        <v>44067</v>
      </c>
      <c r="I39">
        <v>0.8</v>
      </c>
      <c r="J39" s="1" t="s">
        <v>204</v>
      </c>
      <c r="K39" s="1" t="s">
        <v>245</v>
      </c>
      <c r="L39">
        <v>4.6500000000000004</v>
      </c>
      <c r="M39" t="s">
        <v>195</v>
      </c>
    </row>
    <row r="40" spans="1:13" x14ac:dyDescent="0.35">
      <c r="A40" s="1" t="s">
        <v>324</v>
      </c>
      <c r="B40" s="1" t="s">
        <v>325</v>
      </c>
      <c r="C40" s="1" t="s">
        <v>326</v>
      </c>
      <c r="D40" s="1" t="s">
        <v>191</v>
      </c>
      <c r="E40" s="1" t="s">
        <v>269</v>
      </c>
      <c r="F40">
        <v>69163.39</v>
      </c>
      <c r="G40" t="s">
        <v>193</v>
      </c>
      <c r="H40" s="2">
        <v>43397</v>
      </c>
      <c r="I40">
        <v>1</v>
      </c>
      <c r="J40" s="1" t="s">
        <v>185</v>
      </c>
      <c r="K40" s="1" t="s">
        <v>186</v>
      </c>
      <c r="L40">
        <v>6.49</v>
      </c>
      <c r="M40" t="s">
        <v>187</v>
      </c>
    </row>
    <row r="41" spans="1:13" x14ac:dyDescent="0.35">
      <c r="A41" s="1" t="s">
        <v>327</v>
      </c>
      <c r="B41" s="1" t="s">
        <v>328</v>
      </c>
      <c r="C41" s="1" t="s">
        <v>329</v>
      </c>
      <c r="D41" s="1" t="s">
        <v>182</v>
      </c>
      <c r="E41" s="1" t="s">
        <v>203</v>
      </c>
      <c r="F41">
        <v>114691.03</v>
      </c>
      <c r="G41" t="s">
        <v>184</v>
      </c>
      <c r="H41" s="2">
        <v>44039</v>
      </c>
      <c r="I41">
        <v>1</v>
      </c>
      <c r="J41" s="1" t="s">
        <v>244</v>
      </c>
      <c r="K41" s="1" t="s">
        <v>213</v>
      </c>
      <c r="L41">
        <v>4.7300000000000004</v>
      </c>
      <c r="M41" t="s">
        <v>187</v>
      </c>
    </row>
    <row r="42" spans="1:13" x14ac:dyDescent="0.35">
      <c r="A42" s="1" t="s">
        <v>330</v>
      </c>
      <c r="B42" s="1" t="s">
        <v>331</v>
      </c>
      <c r="C42" s="1" t="s">
        <v>332</v>
      </c>
      <c r="D42" s="1" t="s">
        <v>182</v>
      </c>
      <c r="E42" s="1" t="s">
        <v>265</v>
      </c>
      <c r="F42">
        <v>86556.96</v>
      </c>
      <c r="G42" t="s">
        <v>193</v>
      </c>
      <c r="H42" s="2">
        <v>44104</v>
      </c>
      <c r="I42">
        <v>1</v>
      </c>
      <c r="J42" s="1" t="s">
        <v>185</v>
      </c>
      <c r="K42" s="1" t="s">
        <v>208</v>
      </c>
      <c r="L42">
        <v>4.55</v>
      </c>
      <c r="M42" t="s">
        <v>187</v>
      </c>
    </row>
    <row r="43" spans="1:13" x14ac:dyDescent="0.35">
      <c r="A43" s="1" t="s">
        <v>333</v>
      </c>
      <c r="B43" s="1" t="s">
        <v>334</v>
      </c>
      <c r="C43" s="1" t="s">
        <v>335</v>
      </c>
      <c r="D43" s="1" t="s">
        <v>191</v>
      </c>
      <c r="E43" s="1" t="s">
        <v>199</v>
      </c>
      <c r="F43">
        <v>31172.77</v>
      </c>
      <c r="G43" t="s">
        <v>233</v>
      </c>
      <c r="H43" s="2">
        <v>43665</v>
      </c>
      <c r="I43">
        <v>1</v>
      </c>
      <c r="J43" s="1" t="s">
        <v>204</v>
      </c>
      <c r="K43" s="1" t="s">
        <v>186</v>
      </c>
      <c r="L43">
        <v>5.76</v>
      </c>
      <c r="M43" t="s">
        <v>187</v>
      </c>
    </row>
    <row r="44" spans="1:13" x14ac:dyDescent="0.35">
      <c r="A44" s="1" t="s">
        <v>336</v>
      </c>
      <c r="B44" s="1" t="s">
        <v>337</v>
      </c>
      <c r="C44" s="1" t="s">
        <v>338</v>
      </c>
      <c r="D44" s="1" t="s">
        <v>182</v>
      </c>
      <c r="E44" s="1" t="s">
        <v>192</v>
      </c>
      <c r="F44">
        <v>80169.42</v>
      </c>
      <c r="G44" t="s">
        <v>193</v>
      </c>
      <c r="H44" s="2">
        <v>44053</v>
      </c>
      <c r="I44">
        <v>1</v>
      </c>
      <c r="J44" s="1" t="s">
        <v>185</v>
      </c>
      <c r="K44" s="1" t="s">
        <v>245</v>
      </c>
      <c r="L44">
        <v>4.6900000000000004</v>
      </c>
      <c r="M44" t="s">
        <v>187</v>
      </c>
    </row>
    <row r="45" spans="1:13" x14ac:dyDescent="0.35">
      <c r="A45" s="1" t="s">
        <v>312</v>
      </c>
      <c r="B45" s="1" t="s">
        <v>313</v>
      </c>
      <c r="C45" s="1" t="s">
        <v>314</v>
      </c>
      <c r="D45" s="1" t="s">
        <v>182</v>
      </c>
      <c r="E45" s="1" t="s">
        <v>203</v>
      </c>
      <c r="F45">
        <v>53949.26</v>
      </c>
      <c r="G45" t="s">
        <v>193</v>
      </c>
      <c r="H45" s="2">
        <v>43808</v>
      </c>
      <c r="I45">
        <v>1</v>
      </c>
      <c r="J45" s="1" t="s">
        <v>244</v>
      </c>
      <c r="K45" s="1" t="s">
        <v>240</v>
      </c>
      <c r="L45">
        <v>5.36</v>
      </c>
      <c r="M45" t="s">
        <v>187</v>
      </c>
    </row>
    <row r="46" spans="1:13" x14ac:dyDescent="0.35">
      <c r="A46" s="1" t="s">
        <v>339</v>
      </c>
      <c r="B46" s="1" t="s">
        <v>340</v>
      </c>
      <c r="C46" s="1" t="s">
        <v>341</v>
      </c>
      <c r="D46" s="1" t="s">
        <v>191</v>
      </c>
      <c r="E46" s="1" t="s">
        <v>218</v>
      </c>
      <c r="F46">
        <v>58935.92</v>
      </c>
      <c r="G46" t="s">
        <v>193</v>
      </c>
      <c r="H46" s="2">
        <v>43717</v>
      </c>
      <c r="I46">
        <v>1</v>
      </c>
      <c r="J46" s="1" t="s">
        <v>244</v>
      </c>
      <c r="K46" s="1" t="s">
        <v>208</v>
      </c>
      <c r="L46">
        <v>5.61</v>
      </c>
      <c r="M46" t="s">
        <v>187</v>
      </c>
    </row>
    <row r="47" spans="1:13" x14ac:dyDescent="0.35">
      <c r="A47" s="1" t="s">
        <v>342</v>
      </c>
      <c r="B47" s="1" t="s">
        <v>343</v>
      </c>
      <c r="C47" s="1" t="s">
        <v>344</v>
      </c>
      <c r="D47" s="1" t="s">
        <v>191</v>
      </c>
      <c r="E47" s="1" t="s">
        <v>218</v>
      </c>
      <c r="F47">
        <v>63555.73</v>
      </c>
      <c r="G47" t="s">
        <v>193</v>
      </c>
      <c r="H47" s="2">
        <v>44159</v>
      </c>
      <c r="I47">
        <v>1</v>
      </c>
      <c r="J47" s="1" t="s">
        <v>185</v>
      </c>
      <c r="K47" s="1" t="s">
        <v>252</v>
      </c>
      <c r="L47">
        <v>4.4000000000000004</v>
      </c>
      <c r="M47" t="s">
        <v>187</v>
      </c>
    </row>
    <row r="48" spans="1:13" x14ac:dyDescent="0.35">
      <c r="A48" s="1" t="s">
        <v>345</v>
      </c>
      <c r="B48" s="1" t="s">
        <v>346</v>
      </c>
      <c r="C48" s="1" t="s">
        <v>347</v>
      </c>
      <c r="D48" s="1" t="s">
        <v>182</v>
      </c>
      <c r="E48" s="1" t="s">
        <v>269</v>
      </c>
      <c r="F48">
        <v>57419.35</v>
      </c>
      <c r="G48" t="s">
        <v>193</v>
      </c>
      <c r="H48" s="2">
        <v>43305</v>
      </c>
      <c r="I48">
        <v>1</v>
      </c>
      <c r="J48" s="1" t="s">
        <v>204</v>
      </c>
      <c r="K48" s="1" t="s">
        <v>245</v>
      </c>
      <c r="L48">
        <v>6.74</v>
      </c>
      <c r="M48" t="s">
        <v>187</v>
      </c>
    </row>
    <row r="49" spans="1:13" x14ac:dyDescent="0.35">
      <c r="A49" s="1" t="s">
        <v>348</v>
      </c>
      <c r="B49" s="1" t="s">
        <v>349</v>
      </c>
      <c r="C49" s="1" t="s">
        <v>350</v>
      </c>
      <c r="D49" s="1" t="s">
        <v>191</v>
      </c>
      <c r="E49" s="1" t="s">
        <v>292</v>
      </c>
      <c r="F49">
        <v>67818.14</v>
      </c>
      <c r="G49" t="s">
        <v>193</v>
      </c>
      <c r="H49" s="2">
        <v>43406</v>
      </c>
      <c r="I49">
        <v>0.6</v>
      </c>
      <c r="J49" s="1" t="s">
        <v>204</v>
      </c>
      <c r="K49" s="1" t="s">
        <v>186</v>
      </c>
      <c r="L49">
        <v>6.47</v>
      </c>
      <c r="M49" t="s">
        <v>195</v>
      </c>
    </row>
    <row r="50" spans="1:13" x14ac:dyDescent="0.35">
      <c r="A50" s="1" t="s">
        <v>351</v>
      </c>
      <c r="B50" s="1" t="s">
        <v>352</v>
      </c>
      <c r="C50" s="1" t="s">
        <v>353</v>
      </c>
      <c r="D50" s="1" t="s">
        <v>191</v>
      </c>
      <c r="E50" s="1" t="s">
        <v>183</v>
      </c>
      <c r="F50">
        <v>44403.77</v>
      </c>
      <c r="G50" t="s">
        <v>233</v>
      </c>
      <c r="H50" s="2">
        <v>43416</v>
      </c>
      <c r="I50">
        <v>1</v>
      </c>
      <c r="J50" s="1" t="s">
        <v>185</v>
      </c>
      <c r="K50" s="1" t="s">
        <v>208</v>
      </c>
      <c r="L50">
        <v>6.44</v>
      </c>
      <c r="M50" t="s">
        <v>187</v>
      </c>
    </row>
    <row r="51" spans="1:13" x14ac:dyDescent="0.35">
      <c r="A51" s="1" t="s">
        <v>354</v>
      </c>
      <c r="B51" s="1" t="s">
        <v>355</v>
      </c>
      <c r="C51" s="1" t="s">
        <v>356</v>
      </c>
      <c r="D51" s="1" t="s">
        <v>182</v>
      </c>
      <c r="E51" s="1" t="s">
        <v>222</v>
      </c>
      <c r="F51">
        <v>40753.54</v>
      </c>
      <c r="G51" t="s">
        <v>233</v>
      </c>
      <c r="H51" s="2">
        <v>43152</v>
      </c>
      <c r="I51">
        <v>0.6</v>
      </c>
      <c r="J51" s="1" t="s">
        <v>185</v>
      </c>
      <c r="K51" s="1" t="s">
        <v>213</v>
      </c>
      <c r="L51">
        <v>7.16</v>
      </c>
      <c r="M51" t="s">
        <v>195</v>
      </c>
    </row>
    <row r="52" spans="1:13" x14ac:dyDescent="0.35">
      <c r="A52" s="1" t="s">
        <v>357</v>
      </c>
      <c r="B52" s="1" t="s">
        <v>358</v>
      </c>
      <c r="C52" s="1" t="s">
        <v>359</v>
      </c>
      <c r="D52" s="1" t="s">
        <v>191</v>
      </c>
      <c r="E52" s="1" t="s">
        <v>203</v>
      </c>
      <c r="F52">
        <v>102934.09</v>
      </c>
      <c r="G52" t="s">
        <v>184</v>
      </c>
      <c r="H52" s="2">
        <v>44315</v>
      </c>
      <c r="I52">
        <v>1</v>
      </c>
      <c r="J52" s="1" t="s">
        <v>185</v>
      </c>
      <c r="K52" s="1" t="s">
        <v>208</v>
      </c>
      <c r="L52">
        <v>3.98</v>
      </c>
      <c r="M52" t="s">
        <v>187</v>
      </c>
    </row>
    <row r="53" spans="1:13" x14ac:dyDescent="0.35">
      <c r="A53" s="1" t="s">
        <v>360</v>
      </c>
      <c r="B53" s="1" t="s">
        <v>361</v>
      </c>
      <c r="C53" s="1" t="s">
        <v>362</v>
      </c>
      <c r="D53" s="1" t="s">
        <v>182</v>
      </c>
      <c r="E53" s="1" t="s">
        <v>273</v>
      </c>
      <c r="F53">
        <v>68860.399999999994</v>
      </c>
      <c r="G53" t="s">
        <v>193</v>
      </c>
      <c r="H53" s="2">
        <v>43508</v>
      </c>
      <c r="I53">
        <v>0.4</v>
      </c>
      <c r="J53" s="1" t="s">
        <v>185</v>
      </c>
      <c r="K53" s="1" t="s">
        <v>240</v>
      </c>
      <c r="L53">
        <v>6.19</v>
      </c>
      <c r="M53" t="s">
        <v>195</v>
      </c>
    </row>
    <row r="54" spans="1:13" x14ac:dyDescent="0.35">
      <c r="A54" s="1" t="s">
        <v>363</v>
      </c>
      <c r="B54" s="1" t="s">
        <v>364</v>
      </c>
      <c r="C54" s="1" t="s">
        <v>365</v>
      </c>
      <c r="D54" s="1" t="s">
        <v>182</v>
      </c>
      <c r="E54" s="1" t="s">
        <v>203</v>
      </c>
      <c r="F54">
        <v>79567.69</v>
      </c>
      <c r="G54" t="s">
        <v>193</v>
      </c>
      <c r="H54" s="2">
        <v>43272</v>
      </c>
      <c r="I54">
        <v>1</v>
      </c>
      <c r="J54" s="1" t="s">
        <v>204</v>
      </c>
      <c r="K54" s="1" t="s">
        <v>252</v>
      </c>
      <c r="L54">
        <v>6.83</v>
      </c>
      <c r="M54" t="s">
        <v>187</v>
      </c>
    </row>
    <row r="55" spans="1:13" x14ac:dyDescent="0.35">
      <c r="A55" s="1" t="s">
        <v>366</v>
      </c>
      <c r="B55" s="1" t="s">
        <v>367</v>
      </c>
      <c r="C55" s="1" t="s">
        <v>368</v>
      </c>
      <c r="D55" s="1" t="s">
        <v>191</v>
      </c>
      <c r="E55" s="1" t="s">
        <v>265</v>
      </c>
      <c r="F55">
        <v>35943.620000000003</v>
      </c>
      <c r="G55" t="s">
        <v>233</v>
      </c>
      <c r="H55" s="2">
        <v>44078</v>
      </c>
      <c r="I55">
        <v>1</v>
      </c>
      <c r="J55" s="1" t="s">
        <v>185</v>
      </c>
      <c r="K55" s="1" t="s">
        <v>240</v>
      </c>
      <c r="L55">
        <v>4.62</v>
      </c>
      <c r="M55" t="s">
        <v>187</v>
      </c>
    </row>
    <row r="56" spans="1:13" x14ac:dyDescent="0.35">
      <c r="A56" s="1" t="s">
        <v>369</v>
      </c>
      <c r="B56" s="1" t="s">
        <v>370</v>
      </c>
      <c r="C56" s="1" t="s">
        <v>371</v>
      </c>
      <c r="D56" s="1" t="s">
        <v>191</v>
      </c>
      <c r="E56" s="1" t="s">
        <v>203</v>
      </c>
      <c r="F56">
        <v>116767.63</v>
      </c>
      <c r="G56" t="s">
        <v>184</v>
      </c>
      <c r="H56" s="2">
        <v>43949</v>
      </c>
      <c r="I56">
        <v>0.4</v>
      </c>
      <c r="J56" s="1" t="s">
        <v>244</v>
      </c>
      <c r="K56" s="1" t="s">
        <v>252</v>
      </c>
      <c r="L56">
        <v>4.9800000000000004</v>
      </c>
      <c r="M56" t="s">
        <v>195</v>
      </c>
    </row>
    <row r="57" spans="1:13" x14ac:dyDescent="0.35">
      <c r="A57" s="1" t="s">
        <v>372</v>
      </c>
      <c r="B57" s="1" t="s">
        <v>373</v>
      </c>
      <c r="C57" s="1" t="s">
        <v>374</v>
      </c>
      <c r="D57" s="1" t="s">
        <v>182</v>
      </c>
      <c r="E57" s="1" t="s">
        <v>226</v>
      </c>
      <c r="F57">
        <v>85455.53</v>
      </c>
      <c r="G57" t="s">
        <v>193</v>
      </c>
      <c r="H57" s="2">
        <v>43839</v>
      </c>
      <c r="I57">
        <v>1</v>
      </c>
      <c r="J57" s="1" t="s">
        <v>185</v>
      </c>
      <c r="K57" s="1" t="s">
        <v>213</v>
      </c>
      <c r="L57">
        <v>5.28</v>
      </c>
      <c r="M57" t="s">
        <v>187</v>
      </c>
    </row>
    <row r="58" spans="1:13" x14ac:dyDescent="0.35">
      <c r="A58" s="1" t="s">
        <v>375</v>
      </c>
      <c r="B58" s="1" t="s">
        <v>376</v>
      </c>
      <c r="C58" s="1" t="s">
        <v>377</v>
      </c>
      <c r="D58" s="1" t="s">
        <v>191</v>
      </c>
      <c r="E58" s="1" t="s">
        <v>226</v>
      </c>
      <c r="F58">
        <v>39700.82</v>
      </c>
      <c r="G58" t="s">
        <v>233</v>
      </c>
      <c r="H58" s="2">
        <v>44203</v>
      </c>
      <c r="I58">
        <v>0.8</v>
      </c>
      <c r="J58" s="1" t="s">
        <v>185</v>
      </c>
      <c r="K58" s="1" t="s">
        <v>252</v>
      </c>
      <c r="L58">
        <v>4.28</v>
      </c>
      <c r="M58" t="s">
        <v>195</v>
      </c>
    </row>
    <row r="59" spans="1:13" x14ac:dyDescent="0.35">
      <c r="A59" s="1" t="s">
        <v>378</v>
      </c>
      <c r="B59" s="1" t="s">
        <v>379</v>
      </c>
      <c r="C59" s="1" t="s">
        <v>380</v>
      </c>
      <c r="D59" s="1" t="s">
        <v>191</v>
      </c>
      <c r="E59" s="1" t="s">
        <v>292</v>
      </c>
      <c r="F59">
        <v>38438.239999999998</v>
      </c>
      <c r="G59" t="s">
        <v>233</v>
      </c>
      <c r="H59" s="2">
        <v>43962</v>
      </c>
      <c r="I59">
        <v>1</v>
      </c>
      <c r="J59" s="1" t="s">
        <v>185</v>
      </c>
      <c r="K59" s="1" t="s">
        <v>252</v>
      </c>
      <c r="L59">
        <v>4.9400000000000004</v>
      </c>
      <c r="M59" t="s">
        <v>187</v>
      </c>
    </row>
    <row r="60" spans="1:13" x14ac:dyDescent="0.35">
      <c r="A60" s="1" t="s">
        <v>381</v>
      </c>
      <c r="B60" s="1" t="s">
        <v>382</v>
      </c>
      <c r="C60" s="1" t="s">
        <v>383</v>
      </c>
      <c r="D60" s="1" t="s">
        <v>182</v>
      </c>
      <c r="E60" s="1" t="s">
        <v>212</v>
      </c>
      <c r="F60">
        <v>50855.53</v>
      </c>
      <c r="G60" t="s">
        <v>193</v>
      </c>
      <c r="H60" s="2">
        <v>44221</v>
      </c>
      <c r="I60">
        <v>1</v>
      </c>
      <c r="J60" s="1" t="s">
        <v>185</v>
      </c>
      <c r="K60" s="1" t="s">
        <v>213</v>
      </c>
      <c r="L60">
        <v>4.2300000000000004</v>
      </c>
      <c r="M60" t="s">
        <v>187</v>
      </c>
    </row>
    <row r="61" spans="1:13" x14ac:dyDescent="0.35">
      <c r="A61" s="1" t="s">
        <v>384</v>
      </c>
      <c r="B61" s="1" t="s">
        <v>385</v>
      </c>
      <c r="C61" s="1" t="s">
        <v>386</v>
      </c>
      <c r="D61" s="1" t="s">
        <v>182</v>
      </c>
      <c r="E61" s="1" t="s">
        <v>218</v>
      </c>
      <c r="F61">
        <v>0</v>
      </c>
      <c r="G61" t="s">
        <v>233</v>
      </c>
      <c r="H61" s="2">
        <v>43724</v>
      </c>
      <c r="I61">
        <v>0.2</v>
      </c>
      <c r="J61" s="1" t="s">
        <v>185</v>
      </c>
      <c r="K61" s="1" t="s">
        <v>245</v>
      </c>
      <c r="L61">
        <v>5.59</v>
      </c>
      <c r="M61" t="s">
        <v>195</v>
      </c>
    </row>
    <row r="62" spans="1:13" x14ac:dyDescent="0.35">
      <c r="A62" s="1" t="s">
        <v>387</v>
      </c>
      <c r="B62" s="1" t="s">
        <v>388</v>
      </c>
      <c r="C62" s="1" t="s">
        <v>389</v>
      </c>
      <c r="D62" s="1" t="s">
        <v>182</v>
      </c>
      <c r="E62" s="1" t="s">
        <v>222</v>
      </c>
      <c r="F62">
        <v>37362.300000000003</v>
      </c>
      <c r="G62" t="s">
        <v>233</v>
      </c>
      <c r="H62" s="2">
        <v>43642</v>
      </c>
      <c r="I62">
        <v>1</v>
      </c>
      <c r="J62" s="1" t="s">
        <v>185</v>
      </c>
      <c r="K62" s="1" t="s">
        <v>245</v>
      </c>
      <c r="L62">
        <v>5.82</v>
      </c>
      <c r="M62" t="s">
        <v>187</v>
      </c>
    </row>
    <row r="63" spans="1:13" x14ac:dyDescent="0.35">
      <c r="A63" s="1" t="s">
        <v>390</v>
      </c>
      <c r="B63" s="1" t="s">
        <v>391</v>
      </c>
      <c r="C63" s="1" t="s">
        <v>392</v>
      </c>
      <c r="D63" s="1" t="s">
        <v>182</v>
      </c>
      <c r="E63" s="1" t="s">
        <v>265</v>
      </c>
      <c r="F63">
        <v>72876.91</v>
      </c>
      <c r="G63" t="s">
        <v>193</v>
      </c>
      <c r="H63" s="2">
        <v>43612</v>
      </c>
      <c r="I63">
        <v>0.4</v>
      </c>
      <c r="J63" s="1" t="s">
        <v>204</v>
      </c>
      <c r="K63" s="1" t="s">
        <v>245</v>
      </c>
      <c r="L63">
        <v>5.9</v>
      </c>
      <c r="M63" t="s">
        <v>195</v>
      </c>
    </row>
    <row r="64" spans="1:13" x14ac:dyDescent="0.35">
      <c r="A64" s="1" t="s">
        <v>393</v>
      </c>
      <c r="B64" s="1" t="s">
        <v>394</v>
      </c>
      <c r="C64" s="1" t="s">
        <v>395</v>
      </c>
      <c r="D64" s="1" t="s">
        <v>191</v>
      </c>
      <c r="E64" s="1" t="s">
        <v>299</v>
      </c>
      <c r="F64">
        <v>31042.51</v>
      </c>
      <c r="G64" t="s">
        <v>233</v>
      </c>
      <c r="H64" s="2">
        <v>44473</v>
      </c>
      <c r="I64">
        <v>0.3</v>
      </c>
      <c r="J64" s="1" t="s">
        <v>204</v>
      </c>
      <c r="K64" s="1" t="s">
        <v>186</v>
      </c>
      <c r="L64">
        <v>3.54</v>
      </c>
      <c r="M64" t="s">
        <v>195</v>
      </c>
    </row>
    <row r="65" spans="1:13" x14ac:dyDescent="0.35">
      <c r="A65" s="1" t="s">
        <v>396</v>
      </c>
      <c r="B65" s="1" t="s">
        <v>397</v>
      </c>
      <c r="C65" s="1" t="s">
        <v>398</v>
      </c>
      <c r="D65" s="1" t="s">
        <v>191</v>
      </c>
      <c r="E65" s="1" t="s">
        <v>299</v>
      </c>
      <c r="F65">
        <v>63705.4</v>
      </c>
      <c r="G65" t="s">
        <v>193</v>
      </c>
      <c r="H65" s="2">
        <v>43682</v>
      </c>
      <c r="I65">
        <v>1</v>
      </c>
      <c r="J65" s="1" t="s">
        <v>185</v>
      </c>
      <c r="K65" s="1" t="s">
        <v>208</v>
      </c>
      <c r="L65">
        <v>5.71</v>
      </c>
      <c r="M65" t="s">
        <v>187</v>
      </c>
    </row>
    <row r="66" spans="1:13" x14ac:dyDescent="0.35">
      <c r="A66" s="1" t="s">
        <v>399</v>
      </c>
      <c r="B66" s="1" t="s">
        <v>400</v>
      </c>
      <c r="C66" s="1" t="s">
        <v>401</v>
      </c>
      <c r="D66" s="1" t="s">
        <v>191</v>
      </c>
      <c r="E66" s="1" t="s">
        <v>226</v>
      </c>
      <c r="F66">
        <v>59434.18</v>
      </c>
      <c r="G66" t="s">
        <v>193</v>
      </c>
      <c r="H66" s="2">
        <v>43931</v>
      </c>
      <c r="I66">
        <v>1</v>
      </c>
      <c r="J66" s="1" t="s">
        <v>244</v>
      </c>
      <c r="K66" s="1" t="s">
        <v>194</v>
      </c>
      <c r="L66">
        <v>5.03</v>
      </c>
      <c r="M66" t="s">
        <v>187</v>
      </c>
    </row>
    <row r="67" spans="1:13" x14ac:dyDescent="0.35">
      <c r="A67" s="1" t="s">
        <v>402</v>
      </c>
      <c r="B67" s="1" t="s">
        <v>403</v>
      </c>
      <c r="C67" s="1" t="s">
        <v>404</v>
      </c>
      <c r="D67" s="1" t="s">
        <v>191</v>
      </c>
      <c r="E67" s="1" t="s">
        <v>273</v>
      </c>
      <c r="F67">
        <v>84762.76</v>
      </c>
      <c r="G67" t="s">
        <v>193</v>
      </c>
      <c r="H67" s="2">
        <v>43332</v>
      </c>
      <c r="I67">
        <v>1</v>
      </c>
      <c r="J67" s="1" t="s">
        <v>185</v>
      </c>
      <c r="K67" s="1" t="s">
        <v>208</v>
      </c>
      <c r="L67">
        <v>6.67</v>
      </c>
      <c r="M67" t="s">
        <v>187</v>
      </c>
    </row>
    <row r="68" spans="1:13" x14ac:dyDescent="0.35">
      <c r="A68" s="1" t="s">
        <v>405</v>
      </c>
      <c r="B68" s="1" t="s">
        <v>406</v>
      </c>
      <c r="C68" s="1" t="s">
        <v>407</v>
      </c>
      <c r="D68" s="1" t="s">
        <v>191</v>
      </c>
      <c r="E68" s="1" t="s">
        <v>199</v>
      </c>
      <c r="F68">
        <v>69057.320000000007</v>
      </c>
      <c r="G68" t="s">
        <v>193</v>
      </c>
      <c r="H68" s="2">
        <v>43390</v>
      </c>
      <c r="I68">
        <v>1</v>
      </c>
      <c r="J68" s="1" t="s">
        <v>185</v>
      </c>
      <c r="K68" s="1" t="s">
        <v>213</v>
      </c>
      <c r="L68">
        <v>6.51</v>
      </c>
      <c r="M68" t="s">
        <v>187</v>
      </c>
    </row>
    <row r="69" spans="1:13" x14ac:dyDescent="0.35">
      <c r="A69" s="1" t="s">
        <v>408</v>
      </c>
      <c r="B69" s="1" t="s">
        <v>409</v>
      </c>
      <c r="C69" s="1" t="s">
        <v>410</v>
      </c>
      <c r="D69" s="1" t="s">
        <v>217</v>
      </c>
      <c r="E69" s="1" t="s">
        <v>265</v>
      </c>
      <c r="F69">
        <v>99448.78</v>
      </c>
      <c r="G69" t="s">
        <v>193</v>
      </c>
      <c r="H69" s="2">
        <v>43473</v>
      </c>
      <c r="I69">
        <v>1</v>
      </c>
      <c r="J69" s="1" t="s">
        <v>204</v>
      </c>
      <c r="K69" s="1" t="s">
        <v>213</v>
      </c>
      <c r="L69">
        <v>6.28</v>
      </c>
      <c r="M69" t="s">
        <v>187</v>
      </c>
    </row>
    <row r="70" spans="1:13" x14ac:dyDescent="0.35">
      <c r="A70" s="1" t="s">
        <v>411</v>
      </c>
      <c r="B70" s="1" t="s">
        <v>412</v>
      </c>
      <c r="C70" s="1" t="s">
        <v>413</v>
      </c>
      <c r="D70" s="1" t="s">
        <v>191</v>
      </c>
      <c r="E70" s="1" t="s">
        <v>292</v>
      </c>
      <c r="F70">
        <v>66865.490000000005</v>
      </c>
      <c r="G70" t="s">
        <v>193</v>
      </c>
      <c r="H70" s="2">
        <v>43514</v>
      </c>
      <c r="I70">
        <v>1</v>
      </c>
      <c r="J70" s="1" t="s">
        <v>185</v>
      </c>
      <c r="K70" s="1" t="s">
        <v>194</v>
      </c>
      <c r="L70">
        <v>6.17</v>
      </c>
      <c r="M70" t="s">
        <v>187</v>
      </c>
    </row>
    <row r="71" spans="1:13" x14ac:dyDescent="0.35">
      <c r="A71" s="1" t="s">
        <v>414</v>
      </c>
      <c r="B71" s="1" t="s">
        <v>415</v>
      </c>
      <c r="C71" s="1" t="s">
        <v>416</v>
      </c>
      <c r="D71" s="1" t="s">
        <v>182</v>
      </c>
      <c r="E71" s="1" t="s">
        <v>299</v>
      </c>
      <c r="F71">
        <v>113747.56</v>
      </c>
      <c r="G71" t="s">
        <v>184</v>
      </c>
      <c r="H71" s="2">
        <v>44270</v>
      </c>
      <c r="I71">
        <v>0.7</v>
      </c>
      <c r="J71" s="1" t="s">
        <v>244</v>
      </c>
      <c r="K71" s="1" t="s">
        <v>240</v>
      </c>
      <c r="L71">
        <v>4.0999999999999996</v>
      </c>
      <c r="M71" t="s">
        <v>195</v>
      </c>
    </row>
    <row r="72" spans="1:13" x14ac:dyDescent="0.35">
      <c r="A72" s="1" t="s">
        <v>417</v>
      </c>
      <c r="B72" s="1" t="s">
        <v>418</v>
      </c>
      <c r="C72" s="1" t="s">
        <v>419</v>
      </c>
      <c r="D72" s="1" t="s">
        <v>182</v>
      </c>
      <c r="E72" s="1" t="s">
        <v>192</v>
      </c>
      <c r="F72">
        <v>85918.61</v>
      </c>
      <c r="G72" t="s">
        <v>193</v>
      </c>
      <c r="H72" s="2">
        <v>43136</v>
      </c>
      <c r="I72">
        <v>1</v>
      </c>
      <c r="J72" s="1" t="s">
        <v>185</v>
      </c>
      <c r="K72" s="1" t="s">
        <v>240</v>
      </c>
      <c r="L72">
        <v>7.21</v>
      </c>
      <c r="M72" t="s">
        <v>187</v>
      </c>
    </row>
    <row r="73" spans="1:13" x14ac:dyDescent="0.35">
      <c r="A73" s="1" t="s">
        <v>420</v>
      </c>
      <c r="B73" s="1" t="s">
        <v>421</v>
      </c>
      <c r="C73" s="1" t="s">
        <v>422</v>
      </c>
      <c r="D73" s="1" t="s">
        <v>191</v>
      </c>
      <c r="E73" s="1" t="s">
        <v>183</v>
      </c>
      <c r="F73">
        <v>51165.37</v>
      </c>
      <c r="G73" t="s">
        <v>193</v>
      </c>
      <c r="H73" s="2">
        <v>44237</v>
      </c>
      <c r="I73">
        <v>1</v>
      </c>
      <c r="J73" s="1" t="s">
        <v>204</v>
      </c>
      <c r="K73" s="1" t="s">
        <v>208</v>
      </c>
      <c r="L73">
        <v>4.1900000000000004</v>
      </c>
      <c r="M73" t="s">
        <v>187</v>
      </c>
    </row>
    <row r="74" spans="1:13" x14ac:dyDescent="0.35">
      <c r="A74" s="1" t="s">
        <v>423</v>
      </c>
      <c r="B74" s="1" t="s">
        <v>424</v>
      </c>
      <c r="C74" s="1" t="s">
        <v>425</v>
      </c>
      <c r="D74" s="1" t="s">
        <v>217</v>
      </c>
      <c r="E74" s="1" t="s">
        <v>265</v>
      </c>
      <c r="F74">
        <v>67957.899999999994</v>
      </c>
      <c r="G74" t="s">
        <v>193</v>
      </c>
      <c r="H74" s="2">
        <v>43430</v>
      </c>
      <c r="I74">
        <v>1</v>
      </c>
      <c r="J74" s="1" t="s">
        <v>185</v>
      </c>
      <c r="K74" s="1" t="s">
        <v>252</v>
      </c>
      <c r="L74">
        <v>6.4</v>
      </c>
      <c r="M74" t="s">
        <v>187</v>
      </c>
    </row>
    <row r="75" spans="1:13" x14ac:dyDescent="0.35">
      <c r="A75" s="1" t="s">
        <v>426</v>
      </c>
      <c r="B75" s="1" t="s">
        <v>427</v>
      </c>
      <c r="C75" s="1" t="s">
        <v>428</v>
      </c>
      <c r="D75" s="1" t="s">
        <v>182</v>
      </c>
      <c r="E75" s="1" t="s">
        <v>212</v>
      </c>
      <c r="F75">
        <v>114465.93</v>
      </c>
      <c r="G75" t="s">
        <v>184</v>
      </c>
      <c r="H75" s="2">
        <v>43291</v>
      </c>
      <c r="I75">
        <v>1</v>
      </c>
      <c r="J75" s="1" t="s">
        <v>244</v>
      </c>
      <c r="K75" s="1" t="s">
        <v>213</v>
      </c>
      <c r="L75">
        <v>6.78</v>
      </c>
      <c r="M75" t="s">
        <v>187</v>
      </c>
    </row>
    <row r="76" spans="1:13" x14ac:dyDescent="0.35">
      <c r="A76" s="1" t="s">
        <v>429</v>
      </c>
      <c r="B76" s="1" t="s">
        <v>430</v>
      </c>
      <c r="C76" s="1" t="s">
        <v>431</v>
      </c>
      <c r="D76" s="1" t="s">
        <v>182</v>
      </c>
      <c r="E76" s="1" t="s">
        <v>222</v>
      </c>
      <c r="F76">
        <v>65699.02</v>
      </c>
      <c r="G76" t="s">
        <v>193</v>
      </c>
      <c r="H76" s="2">
        <v>43951</v>
      </c>
      <c r="I76">
        <v>1</v>
      </c>
      <c r="J76" s="1" t="s">
        <v>185</v>
      </c>
      <c r="K76" s="1" t="s">
        <v>240</v>
      </c>
      <c r="L76">
        <v>4.97</v>
      </c>
      <c r="M76" t="s">
        <v>187</v>
      </c>
    </row>
    <row r="77" spans="1:13" x14ac:dyDescent="0.35">
      <c r="A77" s="1" t="s">
        <v>432</v>
      </c>
      <c r="B77" s="1" t="s">
        <v>433</v>
      </c>
      <c r="C77" s="1" t="s">
        <v>434</v>
      </c>
      <c r="D77" s="1" t="s">
        <v>182</v>
      </c>
      <c r="E77" s="1" t="s">
        <v>273</v>
      </c>
      <c r="F77">
        <v>83191.95</v>
      </c>
      <c r="G77" t="s">
        <v>193</v>
      </c>
      <c r="H77" s="2">
        <v>43700</v>
      </c>
      <c r="I77">
        <v>0.6</v>
      </c>
      <c r="J77" s="1" t="s">
        <v>244</v>
      </c>
      <c r="K77" s="1" t="s">
        <v>186</v>
      </c>
      <c r="L77">
        <v>5.66</v>
      </c>
      <c r="M77" t="s">
        <v>195</v>
      </c>
    </row>
    <row r="78" spans="1:13" x14ac:dyDescent="0.35">
      <c r="A78" s="1" t="s">
        <v>435</v>
      </c>
      <c r="B78" s="1" t="s">
        <v>436</v>
      </c>
      <c r="C78" s="1" t="s">
        <v>437</v>
      </c>
      <c r="D78" s="1" t="s">
        <v>182</v>
      </c>
      <c r="E78" s="1" t="s">
        <v>292</v>
      </c>
      <c r="F78">
        <v>106775.14</v>
      </c>
      <c r="G78" t="s">
        <v>184</v>
      </c>
      <c r="H78" s="2">
        <v>43563</v>
      </c>
      <c r="I78">
        <v>1</v>
      </c>
      <c r="J78" s="1" t="s">
        <v>204</v>
      </c>
      <c r="K78" s="1" t="s">
        <v>208</v>
      </c>
      <c r="L78">
        <v>6.04</v>
      </c>
      <c r="M78" t="s">
        <v>187</v>
      </c>
    </row>
    <row r="79" spans="1:13" x14ac:dyDescent="0.35">
      <c r="A79" s="1" t="s">
        <v>438</v>
      </c>
      <c r="B79" s="1" t="s">
        <v>439</v>
      </c>
      <c r="C79" s="1" t="s">
        <v>440</v>
      </c>
      <c r="D79" s="1" t="s">
        <v>182</v>
      </c>
      <c r="E79" s="1" t="s">
        <v>265</v>
      </c>
      <c r="F79">
        <v>83396.5</v>
      </c>
      <c r="G79" t="s">
        <v>193</v>
      </c>
      <c r="H79" s="2">
        <v>44285</v>
      </c>
      <c r="I79">
        <v>1</v>
      </c>
      <c r="J79" s="1" t="s">
        <v>244</v>
      </c>
      <c r="K79" s="1" t="s">
        <v>245</v>
      </c>
      <c r="L79">
        <v>4.0599999999999996</v>
      </c>
      <c r="M79" t="s">
        <v>187</v>
      </c>
    </row>
    <row r="80" spans="1:13" x14ac:dyDescent="0.35">
      <c r="A80" s="1" t="s">
        <v>441</v>
      </c>
      <c r="B80" s="1" t="s">
        <v>442</v>
      </c>
      <c r="C80" s="1" t="s">
        <v>443</v>
      </c>
      <c r="D80" s="1" t="s">
        <v>182</v>
      </c>
      <c r="E80" s="1" t="s">
        <v>299</v>
      </c>
      <c r="F80">
        <v>28481.16</v>
      </c>
      <c r="G80" t="s">
        <v>233</v>
      </c>
      <c r="H80" s="2">
        <v>44228</v>
      </c>
      <c r="I80">
        <v>1</v>
      </c>
      <c r="J80" s="1" t="s">
        <v>244</v>
      </c>
      <c r="K80" s="1" t="s">
        <v>252</v>
      </c>
      <c r="L80">
        <v>4.21</v>
      </c>
      <c r="M80" t="s">
        <v>187</v>
      </c>
    </row>
    <row r="81" spans="1:13" x14ac:dyDescent="0.35">
      <c r="A81" s="1" t="s">
        <v>444</v>
      </c>
      <c r="B81" s="1" t="s">
        <v>445</v>
      </c>
      <c r="C81" s="1" t="s">
        <v>446</v>
      </c>
      <c r="D81" s="1" t="s">
        <v>182</v>
      </c>
      <c r="E81" s="1" t="s">
        <v>273</v>
      </c>
      <c r="F81">
        <v>32192.15</v>
      </c>
      <c r="G81" t="s">
        <v>233</v>
      </c>
      <c r="H81" s="2">
        <v>44473</v>
      </c>
      <c r="I81">
        <v>1</v>
      </c>
      <c r="J81" s="1" t="s">
        <v>185</v>
      </c>
      <c r="K81" s="1" t="s">
        <v>208</v>
      </c>
      <c r="L81">
        <v>3.54</v>
      </c>
      <c r="M81" t="s">
        <v>187</v>
      </c>
    </row>
    <row r="82" spans="1:13" x14ac:dyDescent="0.35">
      <c r="A82" s="1" t="s">
        <v>447</v>
      </c>
      <c r="B82" s="1" t="s">
        <v>448</v>
      </c>
      <c r="C82" s="1" t="s">
        <v>449</v>
      </c>
      <c r="D82" s="1" t="s">
        <v>182</v>
      </c>
      <c r="E82" s="1" t="s">
        <v>183</v>
      </c>
      <c r="F82">
        <v>112645.99</v>
      </c>
      <c r="G82" t="s">
        <v>184</v>
      </c>
      <c r="H82" s="2">
        <v>43759</v>
      </c>
      <c r="I82">
        <v>0.6</v>
      </c>
      <c r="J82" s="1" t="s">
        <v>185</v>
      </c>
      <c r="K82" s="1" t="s">
        <v>194</v>
      </c>
      <c r="L82">
        <v>5.5</v>
      </c>
      <c r="M82" t="s">
        <v>195</v>
      </c>
    </row>
    <row r="83" spans="1:13" x14ac:dyDescent="0.35">
      <c r="A83" s="1" t="s">
        <v>450</v>
      </c>
      <c r="B83" s="1" t="s">
        <v>451</v>
      </c>
      <c r="C83" s="1" t="s">
        <v>452</v>
      </c>
      <c r="D83" s="1" t="s">
        <v>217</v>
      </c>
      <c r="E83" s="1" t="s">
        <v>269</v>
      </c>
      <c r="F83">
        <v>107107.6</v>
      </c>
      <c r="G83" t="s">
        <v>184</v>
      </c>
      <c r="H83" s="2">
        <v>43325</v>
      </c>
      <c r="I83">
        <v>0.9</v>
      </c>
      <c r="J83" s="1" t="s">
        <v>185</v>
      </c>
      <c r="K83" s="1" t="s">
        <v>252</v>
      </c>
      <c r="L83">
        <v>6.69</v>
      </c>
      <c r="M83" t="s">
        <v>195</v>
      </c>
    </row>
    <row r="84" spans="1:13" x14ac:dyDescent="0.35">
      <c r="A84" s="1" t="s">
        <v>453</v>
      </c>
      <c r="B84" s="1" t="s">
        <v>454</v>
      </c>
      <c r="C84" s="1" t="s">
        <v>455</v>
      </c>
      <c r="D84" s="1" t="s">
        <v>191</v>
      </c>
      <c r="E84" s="1" t="s">
        <v>192</v>
      </c>
      <c r="F84">
        <v>80695.740000000005</v>
      </c>
      <c r="G84" t="s">
        <v>193</v>
      </c>
      <c r="H84" s="2">
        <v>43787</v>
      </c>
      <c r="I84">
        <v>0.8</v>
      </c>
      <c r="J84" s="1" t="s">
        <v>185</v>
      </c>
      <c r="K84" s="1" t="s">
        <v>240</v>
      </c>
      <c r="L84">
        <v>5.42</v>
      </c>
      <c r="M84" t="s">
        <v>195</v>
      </c>
    </row>
    <row r="85" spans="1:13" x14ac:dyDescent="0.35">
      <c r="A85" s="1" t="s">
        <v>456</v>
      </c>
      <c r="B85" s="1" t="s">
        <v>457</v>
      </c>
      <c r="C85" s="1" t="s">
        <v>458</v>
      </c>
      <c r="D85" s="1" t="s">
        <v>191</v>
      </c>
      <c r="E85" s="1" t="s">
        <v>292</v>
      </c>
      <c r="F85">
        <v>75475.929999999993</v>
      </c>
      <c r="G85" t="s">
        <v>193</v>
      </c>
      <c r="H85" s="2">
        <v>43794</v>
      </c>
      <c r="I85">
        <v>1</v>
      </c>
      <c r="J85" s="1" t="s">
        <v>185</v>
      </c>
      <c r="K85" s="1" t="s">
        <v>186</v>
      </c>
      <c r="L85">
        <v>5.4</v>
      </c>
      <c r="M85" t="s">
        <v>187</v>
      </c>
    </row>
    <row r="86" spans="1:13" x14ac:dyDescent="0.35">
      <c r="A86" s="1" t="s">
        <v>459</v>
      </c>
      <c r="B86" s="1" t="s">
        <v>460</v>
      </c>
      <c r="C86" s="1" t="s">
        <v>461</v>
      </c>
      <c r="D86" s="1" t="s">
        <v>191</v>
      </c>
      <c r="E86" s="1" t="s">
        <v>192</v>
      </c>
      <c r="F86">
        <v>86558.58</v>
      </c>
      <c r="G86" t="s">
        <v>193</v>
      </c>
      <c r="H86" s="2">
        <v>43887</v>
      </c>
      <c r="I86">
        <v>1</v>
      </c>
      <c r="J86" s="1" t="s">
        <v>204</v>
      </c>
      <c r="K86" s="1" t="s">
        <v>186</v>
      </c>
      <c r="L86">
        <v>5.15</v>
      </c>
      <c r="M86" t="s">
        <v>187</v>
      </c>
    </row>
    <row r="87" spans="1:13" x14ac:dyDescent="0.35">
      <c r="A87" s="1" t="s">
        <v>462</v>
      </c>
      <c r="B87" s="1" t="s">
        <v>463</v>
      </c>
      <c r="C87" s="1" t="s">
        <v>464</v>
      </c>
      <c r="D87" s="1" t="s">
        <v>191</v>
      </c>
      <c r="E87" s="1" t="s">
        <v>226</v>
      </c>
      <c r="F87">
        <v>84309.95</v>
      </c>
      <c r="G87" t="s">
        <v>193</v>
      </c>
      <c r="H87" s="2">
        <v>44501</v>
      </c>
      <c r="I87">
        <v>1</v>
      </c>
      <c r="J87" s="1" t="s">
        <v>185</v>
      </c>
      <c r="K87" s="1" t="s">
        <v>186</v>
      </c>
      <c r="L87">
        <v>3.47</v>
      </c>
      <c r="M87" t="s">
        <v>187</v>
      </c>
    </row>
    <row r="88" spans="1:13" x14ac:dyDescent="0.35">
      <c r="A88" s="1" t="s">
        <v>465</v>
      </c>
      <c r="B88" s="1" t="s">
        <v>466</v>
      </c>
      <c r="C88" s="1" t="s">
        <v>467</v>
      </c>
      <c r="D88" s="1" t="s">
        <v>182</v>
      </c>
      <c r="E88" s="1" t="s">
        <v>269</v>
      </c>
      <c r="F88">
        <v>91645.04</v>
      </c>
      <c r="G88" t="s">
        <v>193</v>
      </c>
      <c r="H88" s="2">
        <v>44223</v>
      </c>
      <c r="I88">
        <v>1</v>
      </c>
      <c r="J88" s="1" t="s">
        <v>185</v>
      </c>
      <c r="K88" s="1" t="s">
        <v>245</v>
      </c>
      <c r="L88">
        <v>4.2300000000000004</v>
      </c>
      <c r="M88" t="s">
        <v>187</v>
      </c>
    </row>
    <row r="89" spans="1:13" x14ac:dyDescent="0.35">
      <c r="A89" s="1" t="s">
        <v>468</v>
      </c>
      <c r="B89" s="1" t="s">
        <v>469</v>
      </c>
      <c r="C89" s="1" t="s">
        <v>470</v>
      </c>
      <c r="D89" s="1" t="s">
        <v>191</v>
      </c>
      <c r="E89" s="1" t="s">
        <v>203</v>
      </c>
      <c r="F89">
        <v>101187.36</v>
      </c>
      <c r="G89" t="s">
        <v>184</v>
      </c>
      <c r="H89" s="2">
        <v>43258</v>
      </c>
      <c r="I89">
        <v>1</v>
      </c>
      <c r="J89" s="1" t="s">
        <v>204</v>
      </c>
      <c r="K89" s="1" t="s">
        <v>240</v>
      </c>
      <c r="L89">
        <v>6.87</v>
      </c>
      <c r="M89" t="s">
        <v>187</v>
      </c>
    </row>
    <row r="90" spans="1:13" x14ac:dyDescent="0.35">
      <c r="A90" s="1" t="s">
        <v>336</v>
      </c>
      <c r="B90" s="1" t="s">
        <v>337</v>
      </c>
      <c r="C90" s="1" t="s">
        <v>338</v>
      </c>
      <c r="D90" s="1" t="s">
        <v>182</v>
      </c>
      <c r="E90" s="1" t="s">
        <v>192</v>
      </c>
      <c r="F90">
        <v>80169.42</v>
      </c>
      <c r="G90" t="s">
        <v>193</v>
      </c>
      <c r="H90" s="2">
        <v>44053</v>
      </c>
      <c r="I90">
        <v>1</v>
      </c>
      <c r="J90" s="1" t="s">
        <v>185</v>
      </c>
      <c r="K90" s="1" t="s">
        <v>245</v>
      </c>
      <c r="L90">
        <v>4.6900000000000004</v>
      </c>
      <c r="M90" t="s">
        <v>187</v>
      </c>
    </row>
    <row r="91" spans="1:13" x14ac:dyDescent="0.35">
      <c r="A91" s="1" t="s">
        <v>471</v>
      </c>
      <c r="B91" s="1" t="s">
        <v>472</v>
      </c>
      <c r="C91" s="1" t="s">
        <v>473</v>
      </c>
      <c r="D91" s="1" t="s">
        <v>191</v>
      </c>
      <c r="E91" s="1" t="s">
        <v>218</v>
      </c>
      <c r="F91">
        <v>104038.9</v>
      </c>
      <c r="G91" t="s">
        <v>184</v>
      </c>
      <c r="H91" s="2">
        <v>43815</v>
      </c>
      <c r="I91">
        <v>1</v>
      </c>
      <c r="J91" s="1" t="s">
        <v>204</v>
      </c>
      <c r="K91" s="1" t="s">
        <v>186</v>
      </c>
      <c r="L91">
        <v>5.35</v>
      </c>
      <c r="M91" t="s">
        <v>187</v>
      </c>
    </row>
    <row r="92" spans="1:13" x14ac:dyDescent="0.35">
      <c r="A92" s="1" t="s">
        <v>474</v>
      </c>
      <c r="B92" s="1" t="s">
        <v>475</v>
      </c>
      <c r="C92" s="1" t="s">
        <v>476</v>
      </c>
      <c r="D92" s="1" t="s">
        <v>191</v>
      </c>
      <c r="E92" s="1" t="s">
        <v>226</v>
      </c>
      <c r="F92">
        <v>99683.67</v>
      </c>
      <c r="G92" t="s">
        <v>193</v>
      </c>
      <c r="H92" s="2">
        <v>43500</v>
      </c>
      <c r="I92">
        <v>1</v>
      </c>
      <c r="J92" s="1" t="s">
        <v>204</v>
      </c>
      <c r="K92" s="1" t="s">
        <v>194</v>
      </c>
      <c r="L92">
        <v>6.21</v>
      </c>
      <c r="M92" t="s">
        <v>187</v>
      </c>
    </row>
    <row r="93" spans="1:13" x14ac:dyDescent="0.35">
      <c r="A93" s="1" t="s">
        <v>477</v>
      </c>
      <c r="B93" s="1" t="s">
        <v>478</v>
      </c>
      <c r="C93" s="1" t="s">
        <v>479</v>
      </c>
      <c r="D93" s="1" t="s">
        <v>182</v>
      </c>
      <c r="E93" s="1" t="s">
        <v>212</v>
      </c>
      <c r="F93">
        <v>47362.62</v>
      </c>
      <c r="G93" t="s">
        <v>233</v>
      </c>
      <c r="H93" s="2">
        <v>43973</v>
      </c>
      <c r="I93">
        <v>1</v>
      </c>
      <c r="J93" s="1" t="s">
        <v>244</v>
      </c>
      <c r="K93" s="1" t="s">
        <v>186</v>
      </c>
      <c r="L93">
        <v>4.91</v>
      </c>
      <c r="M93" t="s">
        <v>187</v>
      </c>
    </row>
    <row r="94" spans="1:13" x14ac:dyDescent="0.35">
      <c r="A94" s="1" t="s">
        <v>480</v>
      </c>
      <c r="B94" s="1" t="s">
        <v>481</v>
      </c>
      <c r="C94" s="1" t="s">
        <v>482</v>
      </c>
      <c r="D94" s="1" t="s">
        <v>191</v>
      </c>
      <c r="E94" s="1" t="s">
        <v>192</v>
      </c>
      <c r="F94">
        <v>70649.460000000006</v>
      </c>
      <c r="G94" t="s">
        <v>193</v>
      </c>
      <c r="H94" s="2">
        <v>43843</v>
      </c>
      <c r="I94">
        <v>1</v>
      </c>
      <c r="J94" s="1" t="s">
        <v>185</v>
      </c>
      <c r="K94" s="1" t="s">
        <v>208</v>
      </c>
      <c r="L94">
        <v>5.27</v>
      </c>
      <c r="M94" t="s">
        <v>187</v>
      </c>
    </row>
    <row r="95" spans="1:13" x14ac:dyDescent="0.35">
      <c r="A95" s="1" t="s">
        <v>483</v>
      </c>
      <c r="B95" s="1" t="s">
        <v>484</v>
      </c>
      <c r="C95" s="1" t="s">
        <v>485</v>
      </c>
      <c r="D95" s="1" t="s">
        <v>191</v>
      </c>
      <c r="E95" s="1" t="s">
        <v>299</v>
      </c>
      <c r="F95">
        <v>75733.740000000005</v>
      </c>
      <c r="G95" t="s">
        <v>193</v>
      </c>
      <c r="H95" s="2">
        <v>44382</v>
      </c>
      <c r="I95">
        <v>1</v>
      </c>
      <c r="J95" s="1" t="s">
        <v>185</v>
      </c>
      <c r="K95" s="1" t="s">
        <v>208</v>
      </c>
      <c r="L95">
        <v>3.79</v>
      </c>
      <c r="M95" t="s">
        <v>187</v>
      </c>
    </row>
    <row r="96" spans="1:13" x14ac:dyDescent="0.35">
      <c r="A96" s="1" t="s">
        <v>486</v>
      </c>
      <c r="B96" s="1" t="s">
        <v>487</v>
      </c>
      <c r="C96" s="1" t="s">
        <v>488</v>
      </c>
      <c r="D96" s="1" t="s">
        <v>191</v>
      </c>
      <c r="E96" s="1" t="s">
        <v>269</v>
      </c>
      <c r="F96">
        <v>71823.56</v>
      </c>
      <c r="G96" t="s">
        <v>193</v>
      </c>
      <c r="H96" s="2">
        <v>43374</v>
      </c>
      <c r="I96">
        <v>0.3</v>
      </c>
      <c r="J96" s="1" t="s">
        <v>244</v>
      </c>
      <c r="K96" s="1" t="s">
        <v>186</v>
      </c>
      <c r="L96">
        <v>6.55</v>
      </c>
      <c r="M96" t="s">
        <v>195</v>
      </c>
    </row>
    <row r="97" spans="1:13" x14ac:dyDescent="0.35">
      <c r="A97" s="1" t="s">
        <v>489</v>
      </c>
      <c r="B97" s="1" t="s">
        <v>490</v>
      </c>
      <c r="C97" s="1" t="s">
        <v>491</v>
      </c>
      <c r="D97" s="1" t="s">
        <v>191</v>
      </c>
      <c r="E97" s="1" t="s">
        <v>273</v>
      </c>
      <c r="F97">
        <v>41934.71</v>
      </c>
      <c r="G97" t="s">
        <v>233</v>
      </c>
      <c r="H97" s="2">
        <v>43943</v>
      </c>
      <c r="I97">
        <v>1</v>
      </c>
      <c r="J97" s="1" t="s">
        <v>185</v>
      </c>
      <c r="K97" s="1" t="s">
        <v>186</v>
      </c>
      <c r="L97">
        <v>4.99</v>
      </c>
      <c r="M97" t="s">
        <v>187</v>
      </c>
    </row>
    <row r="98" spans="1:13" x14ac:dyDescent="0.35">
      <c r="A98" s="1" t="s">
        <v>492</v>
      </c>
      <c r="B98" s="1" t="s">
        <v>493</v>
      </c>
      <c r="C98" s="1" t="s">
        <v>494</v>
      </c>
      <c r="D98" s="1" t="s">
        <v>182</v>
      </c>
      <c r="E98" s="1" t="s">
        <v>299</v>
      </c>
      <c r="F98">
        <v>66572.58</v>
      </c>
      <c r="G98" t="s">
        <v>193</v>
      </c>
      <c r="H98" s="2">
        <v>44193</v>
      </c>
      <c r="I98">
        <v>1</v>
      </c>
      <c r="J98" s="1" t="s">
        <v>185</v>
      </c>
      <c r="K98" s="1" t="s">
        <v>252</v>
      </c>
      <c r="L98">
        <v>4.3099999999999996</v>
      </c>
      <c r="M98" t="s">
        <v>187</v>
      </c>
    </row>
    <row r="99" spans="1:13" x14ac:dyDescent="0.35">
      <c r="A99" s="1" t="s">
        <v>495</v>
      </c>
      <c r="B99" s="1" t="s">
        <v>496</v>
      </c>
      <c r="C99" s="1" t="s">
        <v>497</v>
      </c>
      <c r="D99" s="1" t="s">
        <v>182</v>
      </c>
      <c r="E99" s="1" t="s">
        <v>222</v>
      </c>
      <c r="F99">
        <v>76932.600000000006</v>
      </c>
      <c r="G99" t="s">
        <v>193</v>
      </c>
      <c r="H99" s="2">
        <v>43493</v>
      </c>
      <c r="I99">
        <v>1</v>
      </c>
      <c r="J99" s="1" t="s">
        <v>185</v>
      </c>
      <c r="K99" s="1" t="s">
        <v>208</v>
      </c>
      <c r="L99">
        <v>6.23</v>
      </c>
      <c r="M99" t="s">
        <v>187</v>
      </c>
    </row>
    <row r="100" spans="1:13" x14ac:dyDescent="0.35">
      <c r="A100" s="1" t="s">
        <v>498</v>
      </c>
      <c r="B100" s="1" t="s">
        <v>499</v>
      </c>
      <c r="C100" s="1" t="s">
        <v>500</v>
      </c>
      <c r="D100" s="1" t="s">
        <v>182</v>
      </c>
      <c r="E100" s="1" t="s">
        <v>218</v>
      </c>
      <c r="F100">
        <v>59258.19</v>
      </c>
      <c r="G100" t="s">
        <v>193</v>
      </c>
      <c r="H100" s="2">
        <v>43452</v>
      </c>
      <c r="I100">
        <v>0.8</v>
      </c>
      <c r="J100" s="1" t="s">
        <v>185</v>
      </c>
      <c r="K100" s="1" t="s">
        <v>194</v>
      </c>
      <c r="L100">
        <v>6.34</v>
      </c>
      <c r="M100" t="s">
        <v>195</v>
      </c>
    </row>
    <row r="101" spans="1:13" x14ac:dyDescent="0.35">
      <c r="A101" s="1" t="s">
        <v>501</v>
      </c>
      <c r="B101" s="1" t="s">
        <v>502</v>
      </c>
      <c r="C101" s="1" t="s">
        <v>503</v>
      </c>
      <c r="D101" s="1" t="s">
        <v>182</v>
      </c>
      <c r="E101" s="1" t="s">
        <v>203</v>
      </c>
      <c r="F101">
        <v>112778.28</v>
      </c>
      <c r="G101" t="s">
        <v>184</v>
      </c>
      <c r="H101" s="2">
        <v>43250</v>
      </c>
      <c r="I101">
        <v>1</v>
      </c>
      <c r="J101" s="1" t="s">
        <v>204</v>
      </c>
      <c r="K101" s="1" t="s">
        <v>186</v>
      </c>
      <c r="L101">
        <v>6.89</v>
      </c>
      <c r="M101" t="s">
        <v>187</v>
      </c>
    </row>
    <row r="102" spans="1:13" x14ac:dyDescent="0.35">
      <c r="A102" s="1" t="s">
        <v>504</v>
      </c>
      <c r="B102" s="1" t="s">
        <v>505</v>
      </c>
      <c r="C102" s="1" t="s">
        <v>506</v>
      </c>
      <c r="D102" s="1" t="s">
        <v>191</v>
      </c>
      <c r="E102" s="1" t="s">
        <v>269</v>
      </c>
      <c r="F102">
        <v>44845.33</v>
      </c>
      <c r="G102" t="s">
        <v>233</v>
      </c>
      <c r="H102" s="2">
        <v>43277</v>
      </c>
      <c r="I102">
        <v>1</v>
      </c>
      <c r="J102" s="1" t="s">
        <v>185</v>
      </c>
      <c r="K102" s="1" t="s">
        <v>194</v>
      </c>
      <c r="L102">
        <v>6.82</v>
      </c>
      <c r="M102" t="s">
        <v>187</v>
      </c>
    </row>
    <row r="103" spans="1:13" x14ac:dyDescent="0.35">
      <c r="A103" s="1" t="s">
        <v>507</v>
      </c>
      <c r="B103" s="1" t="s">
        <v>508</v>
      </c>
      <c r="C103" s="1" t="s">
        <v>509</v>
      </c>
      <c r="D103" s="1" t="s">
        <v>182</v>
      </c>
      <c r="E103" s="1" t="s">
        <v>292</v>
      </c>
      <c r="F103">
        <v>115191.38</v>
      </c>
      <c r="G103" t="s">
        <v>184</v>
      </c>
      <c r="H103" s="2">
        <v>44004</v>
      </c>
      <c r="I103">
        <v>1</v>
      </c>
      <c r="J103" s="1" t="s">
        <v>185</v>
      </c>
      <c r="K103" s="1" t="s">
        <v>208</v>
      </c>
      <c r="L103">
        <v>4.83</v>
      </c>
      <c r="M103" t="s">
        <v>187</v>
      </c>
    </row>
    <row r="104" spans="1:13" x14ac:dyDescent="0.35">
      <c r="A104" s="1" t="s">
        <v>510</v>
      </c>
      <c r="B104" s="1" t="s">
        <v>511</v>
      </c>
      <c r="C104" s="1" t="s">
        <v>512</v>
      </c>
      <c r="D104" s="1" t="s">
        <v>191</v>
      </c>
      <c r="E104" s="1" t="s">
        <v>299</v>
      </c>
      <c r="F104">
        <v>111049.84</v>
      </c>
      <c r="G104" t="s">
        <v>184</v>
      </c>
      <c r="H104" s="2">
        <v>44393</v>
      </c>
      <c r="I104">
        <v>1</v>
      </c>
      <c r="J104" s="1" t="s">
        <v>185</v>
      </c>
      <c r="K104" s="1" t="s">
        <v>213</v>
      </c>
      <c r="L104">
        <v>3.76</v>
      </c>
      <c r="M104" t="s">
        <v>187</v>
      </c>
    </row>
    <row r="105" spans="1:13" x14ac:dyDescent="0.35">
      <c r="A105" s="1" t="s">
        <v>513</v>
      </c>
      <c r="B105" s="1" t="s">
        <v>514</v>
      </c>
      <c r="C105" s="1" t="s">
        <v>515</v>
      </c>
      <c r="D105" s="1" t="s">
        <v>191</v>
      </c>
      <c r="E105" s="1" t="s">
        <v>218</v>
      </c>
      <c r="F105">
        <v>75974.990000000005</v>
      </c>
      <c r="G105" t="s">
        <v>193</v>
      </c>
      <c r="H105" s="2">
        <v>44172</v>
      </c>
      <c r="I105">
        <v>1</v>
      </c>
      <c r="J105" s="1" t="s">
        <v>185</v>
      </c>
      <c r="K105" s="1" t="s">
        <v>186</v>
      </c>
      <c r="L105">
        <v>4.37</v>
      </c>
      <c r="M105" t="s">
        <v>187</v>
      </c>
    </row>
    <row r="106" spans="1:13" x14ac:dyDescent="0.35">
      <c r="A106" s="1" t="s">
        <v>516</v>
      </c>
      <c r="B106" s="1" t="s">
        <v>517</v>
      </c>
      <c r="C106" s="1" t="s">
        <v>518</v>
      </c>
      <c r="D106" s="1" t="s">
        <v>191</v>
      </c>
      <c r="E106" s="1" t="s">
        <v>199</v>
      </c>
      <c r="F106">
        <v>42161.77</v>
      </c>
      <c r="G106" t="s">
        <v>233</v>
      </c>
      <c r="H106" s="2">
        <v>43494</v>
      </c>
      <c r="I106">
        <v>1</v>
      </c>
      <c r="J106" s="1" t="s">
        <v>185</v>
      </c>
      <c r="K106" s="1" t="s">
        <v>245</v>
      </c>
      <c r="L106">
        <v>6.22</v>
      </c>
      <c r="M106" t="s">
        <v>187</v>
      </c>
    </row>
    <row r="107" spans="1:13" x14ac:dyDescent="0.35">
      <c r="A107" s="1" t="s">
        <v>519</v>
      </c>
      <c r="B107" s="1" t="s">
        <v>520</v>
      </c>
      <c r="C107" s="1" t="s">
        <v>521</v>
      </c>
      <c r="D107" s="1" t="s">
        <v>182</v>
      </c>
      <c r="E107" s="1" t="s">
        <v>192</v>
      </c>
      <c r="F107">
        <v>71371.37</v>
      </c>
      <c r="G107" t="s">
        <v>193</v>
      </c>
      <c r="H107" s="2">
        <v>43392</v>
      </c>
      <c r="I107">
        <v>1</v>
      </c>
      <c r="J107" s="1" t="s">
        <v>185</v>
      </c>
      <c r="K107" s="1" t="s">
        <v>208</v>
      </c>
      <c r="L107">
        <v>6.5</v>
      </c>
      <c r="M107" t="s">
        <v>187</v>
      </c>
    </row>
    <row r="108" spans="1:13" x14ac:dyDescent="0.35">
      <c r="A108" s="1" t="s">
        <v>522</v>
      </c>
      <c r="B108" s="1" t="s">
        <v>523</v>
      </c>
      <c r="C108" s="1" t="s">
        <v>524</v>
      </c>
      <c r="D108" s="1" t="s">
        <v>182</v>
      </c>
      <c r="E108" s="1" t="s">
        <v>269</v>
      </c>
      <c r="F108">
        <v>49915.14</v>
      </c>
      <c r="G108" t="s">
        <v>233</v>
      </c>
      <c r="H108" s="2">
        <v>43550</v>
      </c>
      <c r="I108">
        <v>1</v>
      </c>
      <c r="J108" s="1" t="s">
        <v>185</v>
      </c>
      <c r="K108" s="1" t="s">
        <v>186</v>
      </c>
      <c r="L108">
        <v>6.07</v>
      </c>
      <c r="M108" t="s">
        <v>187</v>
      </c>
    </row>
    <row r="109" spans="1:13" x14ac:dyDescent="0.35">
      <c r="A109" s="1" t="s">
        <v>525</v>
      </c>
      <c r="B109" s="1" t="s">
        <v>526</v>
      </c>
      <c r="C109" s="1" t="s">
        <v>527</v>
      </c>
      <c r="D109" s="1" t="s">
        <v>191</v>
      </c>
      <c r="E109" s="1" t="s">
        <v>299</v>
      </c>
      <c r="F109">
        <v>0</v>
      </c>
      <c r="G109" t="s">
        <v>233</v>
      </c>
      <c r="H109" s="2">
        <v>44011</v>
      </c>
      <c r="I109">
        <v>1</v>
      </c>
      <c r="J109" s="1" t="s">
        <v>185</v>
      </c>
      <c r="K109" s="1" t="s">
        <v>213</v>
      </c>
      <c r="L109">
        <v>4.8099999999999996</v>
      </c>
      <c r="M109" t="s">
        <v>187</v>
      </c>
    </row>
    <row r="110" spans="1:13" x14ac:dyDescent="0.35">
      <c r="A110" s="1" t="s">
        <v>528</v>
      </c>
      <c r="B110" s="1" t="s">
        <v>529</v>
      </c>
      <c r="C110" s="1" t="s">
        <v>530</v>
      </c>
      <c r="D110" s="1" t="s">
        <v>182</v>
      </c>
      <c r="E110" s="1" t="s">
        <v>218</v>
      </c>
      <c r="F110">
        <v>37062.1</v>
      </c>
      <c r="G110" t="s">
        <v>233</v>
      </c>
      <c r="H110" s="2">
        <v>44357</v>
      </c>
      <c r="I110">
        <v>1</v>
      </c>
      <c r="J110" s="1" t="s">
        <v>244</v>
      </c>
      <c r="K110" s="1" t="s">
        <v>252</v>
      </c>
      <c r="L110">
        <v>3.86</v>
      </c>
      <c r="M110" t="s">
        <v>187</v>
      </c>
    </row>
    <row r="111" spans="1:13" x14ac:dyDescent="0.35">
      <c r="A111" s="1" t="s">
        <v>531</v>
      </c>
      <c r="B111" s="1" t="s">
        <v>532</v>
      </c>
      <c r="C111" s="1" t="s">
        <v>533</v>
      </c>
      <c r="D111" s="1" t="s">
        <v>191</v>
      </c>
      <c r="E111" s="1" t="s">
        <v>226</v>
      </c>
      <c r="F111">
        <v>0</v>
      </c>
      <c r="G111" t="s">
        <v>233</v>
      </c>
      <c r="H111" s="2">
        <v>43504</v>
      </c>
      <c r="I111">
        <v>1</v>
      </c>
      <c r="J111" s="1" t="s">
        <v>185</v>
      </c>
      <c r="K111" s="1" t="s">
        <v>186</v>
      </c>
      <c r="L111">
        <v>6.2</v>
      </c>
      <c r="M111" t="s">
        <v>187</v>
      </c>
    </row>
    <row r="112" spans="1:13" x14ac:dyDescent="0.35">
      <c r="A112" s="1" t="s">
        <v>300</v>
      </c>
      <c r="B112" s="1" t="s">
        <v>301</v>
      </c>
      <c r="C112" s="1" t="s">
        <v>302</v>
      </c>
      <c r="D112" s="1" t="s">
        <v>182</v>
      </c>
      <c r="E112" s="1" t="s">
        <v>192</v>
      </c>
      <c r="F112">
        <v>90884.32</v>
      </c>
      <c r="G112" t="s">
        <v>193</v>
      </c>
      <c r="H112" s="2">
        <v>43826</v>
      </c>
      <c r="I112">
        <v>1</v>
      </c>
      <c r="J112" s="1" t="s">
        <v>185</v>
      </c>
      <c r="K112" s="1" t="s">
        <v>240</v>
      </c>
      <c r="L112">
        <v>5.32</v>
      </c>
      <c r="M112" t="s">
        <v>187</v>
      </c>
    </row>
    <row r="113" spans="1:13" x14ac:dyDescent="0.35">
      <c r="A113" s="1" t="s">
        <v>534</v>
      </c>
      <c r="B113" s="1" t="s">
        <v>535</v>
      </c>
      <c r="C113" s="1" t="s">
        <v>536</v>
      </c>
      <c r="D113" s="1" t="s">
        <v>182</v>
      </c>
      <c r="E113" s="1" t="s">
        <v>299</v>
      </c>
      <c r="F113">
        <v>89838.77</v>
      </c>
      <c r="G113" t="s">
        <v>193</v>
      </c>
      <c r="H113" s="2">
        <v>43602</v>
      </c>
      <c r="I113">
        <v>1</v>
      </c>
      <c r="J113" s="1" t="s">
        <v>185</v>
      </c>
      <c r="K113" s="1" t="s">
        <v>186</v>
      </c>
      <c r="L113">
        <v>5.93</v>
      </c>
      <c r="M113" t="s">
        <v>187</v>
      </c>
    </row>
    <row r="114" spans="1:13" x14ac:dyDescent="0.35">
      <c r="A114" s="1" t="s">
        <v>537</v>
      </c>
      <c r="B114" s="1" t="s">
        <v>538</v>
      </c>
      <c r="C114" s="1" t="s">
        <v>539</v>
      </c>
      <c r="D114" s="1" t="s">
        <v>182</v>
      </c>
      <c r="E114" s="1" t="s">
        <v>299</v>
      </c>
      <c r="F114">
        <v>0</v>
      </c>
      <c r="G114" t="s">
        <v>233</v>
      </c>
      <c r="H114" s="2">
        <v>44462</v>
      </c>
      <c r="I114">
        <v>1</v>
      </c>
      <c r="J114" s="1" t="s">
        <v>185</v>
      </c>
      <c r="K114" s="1" t="s">
        <v>252</v>
      </c>
      <c r="L114">
        <v>3.57</v>
      </c>
      <c r="M114" t="s">
        <v>187</v>
      </c>
    </row>
    <row r="115" spans="1:13" x14ac:dyDescent="0.35">
      <c r="A115" s="1" t="s">
        <v>540</v>
      </c>
      <c r="B115" s="1" t="s">
        <v>541</v>
      </c>
      <c r="C115" s="1" t="s">
        <v>542</v>
      </c>
      <c r="D115" s="1" t="s">
        <v>191</v>
      </c>
      <c r="E115" s="1" t="s">
        <v>269</v>
      </c>
      <c r="F115">
        <v>68887.839999999997</v>
      </c>
      <c r="G115" t="s">
        <v>193</v>
      </c>
      <c r="H115" s="2">
        <v>43297</v>
      </c>
      <c r="I115">
        <v>1</v>
      </c>
      <c r="J115" s="1" t="s">
        <v>185</v>
      </c>
      <c r="K115" s="1" t="s">
        <v>186</v>
      </c>
      <c r="L115">
        <v>6.76</v>
      </c>
      <c r="M115" t="s">
        <v>187</v>
      </c>
    </row>
    <row r="116" spans="1:13" x14ac:dyDescent="0.35">
      <c r="A116" s="1" t="s">
        <v>435</v>
      </c>
      <c r="B116" s="1" t="s">
        <v>543</v>
      </c>
      <c r="C116" s="1" t="s">
        <v>544</v>
      </c>
      <c r="D116" s="1" t="s">
        <v>182</v>
      </c>
      <c r="E116" s="1" t="s">
        <v>292</v>
      </c>
      <c r="F116">
        <v>106775.14</v>
      </c>
      <c r="G116" t="s">
        <v>184</v>
      </c>
      <c r="H116" s="2">
        <v>43563</v>
      </c>
      <c r="I116">
        <v>1</v>
      </c>
      <c r="J116" s="1" t="s">
        <v>204</v>
      </c>
      <c r="K116" s="1" t="s">
        <v>208</v>
      </c>
      <c r="L116">
        <v>6.04</v>
      </c>
      <c r="M116" t="s">
        <v>187</v>
      </c>
    </row>
    <row r="117" spans="1:13" x14ac:dyDescent="0.35">
      <c r="A117" s="1" t="s">
        <v>545</v>
      </c>
      <c r="B117" s="1" t="s">
        <v>546</v>
      </c>
      <c r="C117" s="1" t="s">
        <v>547</v>
      </c>
      <c r="D117" s="1" t="s">
        <v>191</v>
      </c>
      <c r="E117" s="1" t="s">
        <v>199</v>
      </c>
      <c r="F117">
        <v>89690.38</v>
      </c>
      <c r="G117" t="s">
        <v>193</v>
      </c>
      <c r="H117" s="2">
        <v>43213</v>
      </c>
      <c r="I117">
        <v>1</v>
      </c>
      <c r="J117" s="1" t="s">
        <v>185</v>
      </c>
      <c r="K117" s="1" t="s">
        <v>208</v>
      </c>
      <c r="L117">
        <v>6.99</v>
      </c>
      <c r="M117" t="s">
        <v>187</v>
      </c>
    </row>
    <row r="118" spans="1:13" x14ac:dyDescent="0.35">
      <c r="A118" s="1" t="s">
        <v>548</v>
      </c>
      <c r="B118" s="1" t="s">
        <v>549</v>
      </c>
      <c r="C118" s="1" t="s">
        <v>550</v>
      </c>
      <c r="D118" s="1" t="s">
        <v>182</v>
      </c>
      <c r="E118" s="1" t="s">
        <v>292</v>
      </c>
      <c r="F118">
        <v>111229.47</v>
      </c>
      <c r="G118" t="s">
        <v>184</v>
      </c>
      <c r="H118" s="2">
        <v>43402</v>
      </c>
      <c r="I118">
        <v>1</v>
      </c>
      <c r="J118" s="1" t="s">
        <v>185</v>
      </c>
      <c r="K118" s="1" t="s">
        <v>186</v>
      </c>
      <c r="L118">
        <v>6.48</v>
      </c>
      <c r="M118" t="s">
        <v>187</v>
      </c>
    </row>
    <row r="119" spans="1:13" x14ac:dyDescent="0.35">
      <c r="A119" s="1" t="s">
        <v>551</v>
      </c>
      <c r="B119" s="1" t="s">
        <v>552</v>
      </c>
      <c r="C119" s="1" t="s">
        <v>553</v>
      </c>
      <c r="D119" s="1" t="s">
        <v>182</v>
      </c>
      <c r="E119" s="1" t="s">
        <v>269</v>
      </c>
      <c r="F119">
        <v>67633.850000000006</v>
      </c>
      <c r="G119" t="s">
        <v>193</v>
      </c>
      <c r="H119" s="2">
        <v>43340</v>
      </c>
      <c r="I119">
        <v>1</v>
      </c>
      <c r="J119" s="1" t="s">
        <v>185</v>
      </c>
      <c r="K119" s="1" t="s">
        <v>240</v>
      </c>
      <c r="L119">
        <v>6.65</v>
      </c>
      <c r="M119" t="s">
        <v>187</v>
      </c>
    </row>
    <row r="120" spans="1:13" x14ac:dyDescent="0.35">
      <c r="A120" s="1" t="s">
        <v>554</v>
      </c>
      <c r="B120" s="1" t="s">
        <v>555</v>
      </c>
      <c r="C120" s="1" t="s">
        <v>556</v>
      </c>
      <c r="D120" s="1" t="s">
        <v>182</v>
      </c>
      <c r="E120" s="1" t="s">
        <v>199</v>
      </c>
      <c r="F120">
        <v>111815.49</v>
      </c>
      <c r="G120" t="s">
        <v>184</v>
      </c>
      <c r="H120" s="2">
        <v>43895</v>
      </c>
      <c r="I120">
        <v>0.7</v>
      </c>
      <c r="J120" s="1" t="s">
        <v>244</v>
      </c>
      <c r="K120" s="1" t="s">
        <v>186</v>
      </c>
      <c r="L120">
        <v>5.13</v>
      </c>
      <c r="M120" t="s">
        <v>195</v>
      </c>
    </row>
    <row r="121" spans="1:13" x14ac:dyDescent="0.35">
      <c r="A121" s="1" t="s">
        <v>557</v>
      </c>
      <c r="B121" s="1" t="s">
        <v>558</v>
      </c>
      <c r="C121" s="1" t="s">
        <v>559</v>
      </c>
      <c r="D121" s="1" t="s">
        <v>182</v>
      </c>
      <c r="E121" s="1" t="s">
        <v>192</v>
      </c>
      <c r="F121">
        <v>39784.239999999998</v>
      </c>
      <c r="G121" t="s">
        <v>233</v>
      </c>
      <c r="H121" s="2">
        <v>43465</v>
      </c>
      <c r="I121">
        <v>1</v>
      </c>
      <c r="J121" s="1" t="s">
        <v>204</v>
      </c>
      <c r="K121" s="1" t="s">
        <v>252</v>
      </c>
      <c r="L121">
        <v>6.3</v>
      </c>
      <c r="M121" t="s">
        <v>187</v>
      </c>
    </row>
    <row r="122" spans="1:13" x14ac:dyDescent="0.35">
      <c r="A122" s="1" t="s">
        <v>560</v>
      </c>
      <c r="B122" s="1" t="s">
        <v>561</v>
      </c>
      <c r="C122" s="1" t="s">
        <v>562</v>
      </c>
      <c r="D122" s="1" t="s">
        <v>191</v>
      </c>
      <c r="E122" s="1" t="s">
        <v>292</v>
      </c>
      <c r="F122">
        <v>89829.33</v>
      </c>
      <c r="G122" t="s">
        <v>193</v>
      </c>
      <c r="H122" s="2">
        <v>43794</v>
      </c>
      <c r="I122">
        <v>1</v>
      </c>
      <c r="J122" s="1" t="s">
        <v>244</v>
      </c>
      <c r="K122" s="1" t="s">
        <v>252</v>
      </c>
      <c r="L122">
        <v>5.4</v>
      </c>
      <c r="M122" t="s">
        <v>187</v>
      </c>
    </row>
    <row r="123" spans="1:13" x14ac:dyDescent="0.35">
      <c r="A123" s="1" t="s">
        <v>554</v>
      </c>
      <c r="B123" s="1" t="s">
        <v>555</v>
      </c>
      <c r="C123" s="1" t="s">
        <v>556</v>
      </c>
      <c r="D123" s="1" t="s">
        <v>182</v>
      </c>
      <c r="E123" s="1" t="s">
        <v>199</v>
      </c>
      <c r="F123">
        <v>111815.49</v>
      </c>
      <c r="G123" t="s">
        <v>184</v>
      </c>
      <c r="H123" s="2">
        <v>43895</v>
      </c>
      <c r="I123">
        <v>0.7</v>
      </c>
      <c r="J123" s="1" t="s">
        <v>244</v>
      </c>
      <c r="K123" s="1" t="s">
        <v>186</v>
      </c>
      <c r="L123">
        <v>5.13</v>
      </c>
      <c r="M123" t="s">
        <v>195</v>
      </c>
    </row>
    <row r="124" spans="1:13" x14ac:dyDescent="0.35">
      <c r="A124" s="1" t="s">
        <v>563</v>
      </c>
      <c r="B124" s="1" t="s">
        <v>564</v>
      </c>
      <c r="C124" s="1" t="s">
        <v>565</v>
      </c>
      <c r="D124" s="1" t="s">
        <v>182</v>
      </c>
      <c r="E124" s="1" t="s">
        <v>299</v>
      </c>
      <c r="F124">
        <v>72843.23</v>
      </c>
      <c r="G124" t="s">
        <v>193</v>
      </c>
      <c r="H124" s="2">
        <v>43280</v>
      </c>
      <c r="I124">
        <v>1</v>
      </c>
      <c r="J124" s="1" t="s">
        <v>204</v>
      </c>
      <c r="K124" s="1" t="s">
        <v>213</v>
      </c>
      <c r="L124">
        <v>6.81</v>
      </c>
      <c r="M124" t="s">
        <v>187</v>
      </c>
    </row>
    <row r="125" spans="1:13" x14ac:dyDescent="0.35">
      <c r="A125" s="1" t="s">
        <v>486</v>
      </c>
      <c r="B125" s="1" t="s">
        <v>487</v>
      </c>
      <c r="C125" s="1" t="s">
        <v>488</v>
      </c>
      <c r="D125" s="1" t="s">
        <v>191</v>
      </c>
      <c r="E125" s="1" t="s">
        <v>269</v>
      </c>
      <c r="F125">
        <v>71823.56</v>
      </c>
      <c r="G125" t="s">
        <v>193</v>
      </c>
      <c r="H125" s="2">
        <v>43374</v>
      </c>
      <c r="I125">
        <v>0.3</v>
      </c>
      <c r="J125" s="1" t="s">
        <v>244</v>
      </c>
      <c r="K125" s="1" t="s">
        <v>186</v>
      </c>
      <c r="L125">
        <v>6.55</v>
      </c>
      <c r="M125" t="s">
        <v>195</v>
      </c>
    </row>
    <row r="126" spans="1:13" x14ac:dyDescent="0.35">
      <c r="A126" s="1" t="s">
        <v>566</v>
      </c>
      <c r="B126" s="1" t="s">
        <v>567</v>
      </c>
      <c r="C126" s="1" t="s">
        <v>568</v>
      </c>
      <c r="D126" s="1" t="s">
        <v>182</v>
      </c>
      <c r="E126" s="1" t="s">
        <v>192</v>
      </c>
      <c r="F126">
        <v>88511.17</v>
      </c>
      <c r="G126" t="s">
        <v>193</v>
      </c>
      <c r="H126" s="2">
        <v>43950</v>
      </c>
      <c r="I126">
        <v>1</v>
      </c>
      <c r="J126" s="1" t="s">
        <v>185</v>
      </c>
      <c r="K126" s="1" t="s">
        <v>240</v>
      </c>
      <c r="L126">
        <v>4.9800000000000004</v>
      </c>
      <c r="M126" t="s">
        <v>187</v>
      </c>
    </row>
    <row r="127" spans="1:13" x14ac:dyDescent="0.35">
      <c r="A127" s="1" t="s">
        <v>569</v>
      </c>
      <c r="B127" s="1" t="s">
        <v>570</v>
      </c>
      <c r="C127" s="1" t="s">
        <v>571</v>
      </c>
      <c r="D127" s="1" t="s">
        <v>182</v>
      </c>
      <c r="E127" s="1" t="s">
        <v>269</v>
      </c>
      <c r="F127">
        <v>36547.58</v>
      </c>
      <c r="G127" t="s">
        <v>233</v>
      </c>
      <c r="H127" s="2">
        <v>43416</v>
      </c>
      <c r="I127">
        <v>1</v>
      </c>
      <c r="J127" s="1" t="s">
        <v>185</v>
      </c>
      <c r="K127" s="1" t="s">
        <v>186</v>
      </c>
      <c r="L127">
        <v>6.44</v>
      </c>
      <c r="M127" t="s">
        <v>187</v>
      </c>
    </row>
    <row r="128" spans="1:13" x14ac:dyDescent="0.35">
      <c r="A128" s="1" t="s">
        <v>572</v>
      </c>
      <c r="B128" s="1" t="s">
        <v>573</v>
      </c>
      <c r="C128" s="1" t="s">
        <v>574</v>
      </c>
      <c r="D128" s="1" t="s">
        <v>182</v>
      </c>
      <c r="E128" s="1" t="s">
        <v>269</v>
      </c>
      <c r="F128">
        <v>95954.02</v>
      </c>
      <c r="G128" t="s">
        <v>193</v>
      </c>
      <c r="H128" s="2">
        <v>43567</v>
      </c>
      <c r="I128">
        <v>0.3</v>
      </c>
      <c r="J128" s="1" t="s">
        <v>185</v>
      </c>
      <c r="K128" s="1" t="s">
        <v>208</v>
      </c>
      <c r="L128">
        <v>6.02</v>
      </c>
      <c r="M128" t="s">
        <v>195</v>
      </c>
    </row>
    <row r="129" spans="1:13" x14ac:dyDescent="0.35">
      <c r="A129" s="1" t="s">
        <v>575</v>
      </c>
      <c r="B129" s="1" t="s">
        <v>576</v>
      </c>
      <c r="C129" s="1" t="s">
        <v>577</v>
      </c>
      <c r="D129" s="1" t="s">
        <v>191</v>
      </c>
      <c r="E129" s="1" t="s">
        <v>203</v>
      </c>
      <c r="F129">
        <v>95677.9</v>
      </c>
      <c r="G129" t="s">
        <v>193</v>
      </c>
      <c r="H129" s="2">
        <v>44396</v>
      </c>
      <c r="I129">
        <v>0.3</v>
      </c>
      <c r="J129" s="1" t="s">
        <v>185</v>
      </c>
      <c r="K129" s="1" t="s">
        <v>252</v>
      </c>
      <c r="L129">
        <v>3.75</v>
      </c>
      <c r="M129" t="s">
        <v>195</v>
      </c>
    </row>
    <row r="130" spans="1:13" x14ac:dyDescent="0.35">
      <c r="A130" s="1" t="s">
        <v>578</v>
      </c>
      <c r="B130" s="1" t="s">
        <v>579</v>
      </c>
      <c r="C130" s="1" t="s">
        <v>580</v>
      </c>
      <c r="D130" s="1" t="s">
        <v>191</v>
      </c>
      <c r="E130" s="1" t="s">
        <v>269</v>
      </c>
      <c r="F130">
        <v>76303.820000000007</v>
      </c>
      <c r="G130" t="s">
        <v>193</v>
      </c>
      <c r="H130" s="2">
        <v>43458</v>
      </c>
      <c r="I130">
        <v>1</v>
      </c>
      <c r="J130" s="1" t="s">
        <v>204</v>
      </c>
      <c r="K130" s="1" t="s">
        <v>208</v>
      </c>
      <c r="L130">
        <v>6.32</v>
      </c>
      <c r="M130" t="s">
        <v>187</v>
      </c>
    </row>
    <row r="131" spans="1:13" x14ac:dyDescent="0.35">
      <c r="A131" s="1" t="s">
        <v>581</v>
      </c>
      <c r="B131" s="1" t="s">
        <v>582</v>
      </c>
      <c r="C131" s="1" t="s">
        <v>583</v>
      </c>
      <c r="D131" s="1" t="s">
        <v>182</v>
      </c>
      <c r="E131" s="1" t="s">
        <v>299</v>
      </c>
      <c r="F131">
        <v>99460.78</v>
      </c>
      <c r="G131" t="s">
        <v>193</v>
      </c>
      <c r="H131" s="2">
        <v>43956</v>
      </c>
      <c r="I131">
        <v>1</v>
      </c>
      <c r="J131" s="1" t="s">
        <v>185</v>
      </c>
      <c r="K131" s="1" t="s">
        <v>186</v>
      </c>
      <c r="L131">
        <v>4.96</v>
      </c>
      <c r="M131" t="s">
        <v>187</v>
      </c>
    </row>
    <row r="132" spans="1:13" x14ac:dyDescent="0.35">
      <c r="A132" s="1" t="s">
        <v>584</v>
      </c>
      <c r="B132" s="1" t="s">
        <v>585</v>
      </c>
      <c r="C132" s="1" t="s">
        <v>586</v>
      </c>
      <c r="D132" s="1" t="s">
        <v>191</v>
      </c>
      <c r="E132" s="1" t="s">
        <v>218</v>
      </c>
      <c r="F132">
        <v>88034.67</v>
      </c>
      <c r="G132" t="s">
        <v>193</v>
      </c>
      <c r="H132" s="2">
        <v>43669</v>
      </c>
      <c r="I132">
        <v>1</v>
      </c>
      <c r="J132" s="1" t="s">
        <v>185</v>
      </c>
      <c r="K132" s="1" t="s">
        <v>186</v>
      </c>
      <c r="L132">
        <v>5.75</v>
      </c>
      <c r="M132" t="s">
        <v>187</v>
      </c>
    </row>
    <row r="133" spans="1:13" x14ac:dyDescent="0.35">
      <c r="A133" s="1" t="s">
        <v>587</v>
      </c>
      <c r="B133" s="1" t="s">
        <v>588</v>
      </c>
      <c r="C133" s="1" t="s">
        <v>589</v>
      </c>
      <c r="D133" s="1" t="s">
        <v>191</v>
      </c>
      <c r="E133" s="1" t="s">
        <v>226</v>
      </c>
      <c r="F133">
        <v>44447.26</v>
      </c>
      <c r="G133" t="s">
        <v>233</v>
      </c>
      <c r="H133" s="2">
        <v>43846</v>
      </c>
      <c r="I133">
        <v>0.4</v>
      </c>
      <c r="J133" s="1" t="s">
        <v>185</v>
      </c>
      <c r="K133" s="1" t="s">
        <v>194</v>
      </c>
      <c r="L133">
        <v>5.26</v>
      </c>
      <c r="M133" t="s">
        <v>195</v>
      </c>
    </row>
    <row r="134" spans="1:13" x14ac:dyDescent="0.35">
      <c r="A134" s="1" t="s">
        <v>590</v>
      </c>
      <c r="B134" s="1" t="s">
        <v>591</v>
      </c>
      <c r="C134" s="1" t="s">
        <v>592</v>
      </c>
      <c r="D134" s="1" t="s">
        <v>182</v>
      </c>
      <c r="E134" s="1" t="s">
        <v>292</v>
      </c>
      <c r="F134">
        <v>40445.29</v>
      </c>
      <c r="G134" t="s">
        <v>233</v>
      </c>
      <c r="H134" s="2">
        <v>44393</v>
      </c>
      <c r="I134">
        <v>1</v>
      </c>
      <c r="J134" s="1" t="s">
        <v>185</v>
      </c>
      <c r="K134" s="1" t="s">
        <v>252</v>
      </c>
      <c r="L134">
        <v>3.76</v>
      </c>
      <c r="M134" t="s">
        <v>187</v>
      </c>
    </row>
    <row r="135" spans="1:13" x14ac:dyDescent="0.35">
      <c r="A135" s="1" t="s">
        <v>593</v>
      </c>
      <c r="B135" s="1" t="s">
        <v>594</v>
      </c>
      <c r="C135" s="1" t="s">
        <v>595</v>
      </c>
      <c r="D135" s="1" t="s">
        <v>191</v>
      </c>
      <c r="E135" s="1" t="s">
        <v>226</v>
      </c>
      <c r="F135">
        <v>92336.08</v>
      </c>
      <c r="G135" t="s">
        <v>193</v>
      </c>
      <c r="H135" s="2">
        <v>44431</v>
      </c>
      <c r="I135">
        <v>1</v>
      </c>
      <c r="J135" s="1" t="s">
        <v>185</v>
      </c>
      <c r="K135" s="1" t="s">
        <v>208</v>
      </c>
      <c r="L135">
        <v>3.66</v>
      </c>
      <c r="M135" t="s">
        <v>187</v>
      </c>
    </row>
    <row r="136" spans="1:13" x14ac:dyDescent="0.35">
      <c r="A136" s="1" t="s">
        <v>596</v>
      </c>
      <c r="B136" s="1" t="s">
        <v>597</v>
      </c>
      <c r="C136" s="1" t="s">
        <v>598</v>
      </c>
      <c r="D136" s="1" t="s">
        <v>191</v>
      </c>
      <c r="E136" s="1" t="s">
        <v>222</v>
      </c>
      <c r="F136">
        <v>68008.55</v>
      </c>
      <c r="G136" t="s">
        <v>193</v>
      </c>
      <c r="H136" s="2">
        <v>44062</v>
      </c>
      <c r="I136">
        <v>1</v>
      </c>
      <c r="J136" s="1" t="s">
        <v>185</v>
      </c>
      <c r="K136" s="1" t="s">
        <v>245</v>
      </c>
      <c r="L136">
        <v>4.67</v>
      </c>
      <c r="M136" t="s">
        <v>187</v>
      </c>
    </row>
    <row r="137" spans="1:13" x14ac:dyDescent="0.35">
      <c r="A137" s="1" t="s">
        <v>599</v>
      </c>
      <c r="B137" s="1" t="s">
        <v>600</v>
      </c>
      <c r="C137" s="1" t="s">
        <v>601</v>
      </c>
      <c r="D137" s="1" t="s">
        <v>182</v>
      </c>
      <c r="E137" s="1" t="s">
        <v>292</v>
      </c>
      <c r="F137">
        <v>74924.649999999994</v>
      </c>
      <c r="G137" t="s">
        <v>193</v>
      </c>
      <c r="H137" s="2">
        <v>44239</v>
      </c>
      <c r="I137">
        <v>1</v>
      </c>
      <c r="J137" s="1" t="s">
        <v>185</v>
      </c>
      <c r="K137" s="1" t="s">
        <v>208</v>
      </c>
      <c r="L137">
        <v>4.18</v>
      </c>
      <c r="M137" t="s">
        <v>187</v>
      </c>
    </row>
    <row r="138" spans="1:13" x14ac:dyDescent="0.35">
      <c r="A138" s="1" t="s">
        <v>602</v>
      </c>
      <c r="B138" s="1" t="s">
        <v>603</v>
      </c>
      <c r="C138" s="1" t="s">
        <v>604</v>
      </c>
      <c r="D138" s="1" t="s">
        <v>182</v>
      </c>
      <c r="E138" s="1" t="s">
        <v>199</v>
      </c>
      <c r="F138">
        <v>88689.09</v>
      </c>
      <c r="G138" t="s">
        <v>193</v>
      </c>
      <c r="H138" s="2">
        <v>43740</v>
      </c>
      <c r="I138">
        <v>1</v>
      </c>
      <c r="J138" s="1" t="s">
        <v>185</v>
      </c>
      <c r="K138" s="1" t="s">
        <v>194</v>
      </c>
      <c r="L138">
        <v>5.55</v>
      </c>
      <c r="M138" t="s">
        <v>187</v>
      </c>
    </row>
    <row r="139" spans="1:13" x14ac:dyDescent="0.35">
      <c r="A139" s="1" t="s">
        <v>605</v>
      </c>
      <c r="B139" s="1" t="s">
        <v>606</v>
      </c>
      <c r="C139" s="1" t="s">
        <v>607</v>
      </c>
      <c r="D139" s="1" t="s">
        <v>191</v>
      </c>
      <c r="E139" s="1" t="s">
        <v>226</v>
      </c>
      <c r="F139">
        <v>96555.53</v>
      </c>
      <c r="G139" t="s">
        <v>193</v>
      </c>
      <c r="H139" s="2">
        <v>43489</v>
      </c>
      <c r="I139">
        <v>0.2</v>
      </c>
      <c r="J139" s="1" t="s">
        <v>244</v>
      </c>
      <c r="K139" s="1" t="s">
        <v>208</v>
      </c>
      <c r="L139">
        <v>6.24</v>
      </c>
      <c r="M139" t="s">
        <v>195</v>
      </c>
    </row>
    <row r="140" spans="1:13" x14ac:dyDescent="0.35">
      <c r="A140" s="1" t="s">
        <v>608</v>
      </c>
      <c r="B140" s="1" t="s">
        <v>609</v>
      </c>
      <c r="C140" s="1" t="s">
        <v>610</v>
      </c>
      <c r="D140" s="1" t="s">
        <v>191</v>
      </c>
      <c r="E140" s="1" t="s">
        <v>218</v>
      </c>
      <c r="F140">
        <v>71924.850000000006</v>
      </c>
      <c r="G140" t="s">
        <v>193</v>
      </c>
      <c r="H140" s="2">
        <v>43822</v>
      </c>
      <c r="I140">
        <v>1</v>
      </c>
      <c r="J140" s="1" t="s">
        <v>185</v>
      </c>
      <c r="K140" s="1" t="s">
        <v>252</v>
      </c>
      <c r="L140">
        <v>5.33</v>
      </c>
      <c r="M140" t="s">
        <v>187</v>
      </c>
    </row>
    <row r="141" spans="1:13" x14ac:dyDescent="0.35">
      <c r="A141" s="1" t="s">
        <v>611</v>
      </c>
      <c r="B141" s="1" t="s">
        <v>612</v>
      </c>
      <c r="C141" s="1" t="s">
        <v>613</v>
      </c>
      <c r="D141" s="1" t="s">
        <v>182</v>
      </c>
      <c r="E141" s="1" t="s">
        <v>292</v>
      </c>
      <c r="F141">
        <v>31241.24</v>
      </c>
      <c r="G141" t="s">
        <v>233</v>
      </c>
      <c r="H141" s="2">
        <v>43725</v>
      </c>
      <c r="I141">
        <v>1</v>
      </c>
      <c r="J141" s="1" t="s">
        <v>185</v>
      </c>
      <c r="K141" s="1" t="s">
        <v>186</v>
      </c>
      <c r="L141">
        <v>5.59</v>
      </c>
      <c r="M141" t="s">
        <v>187</v>
      </c>
    </row>
    <row r="142" spans="1:13" x14ac:dyDescent="0.35">
      <c r="A142" s="1" t="s">
        <v>614</v>
      </c>
      <c r="B142" s="1" t="s">
        <v>615</v>
      </c>
      <c r="C142" s="1" t="s">
        <v>616</v>
      </c>
      <c r="D142" s="1" t="s">
        <v>182</v>
      </c>
      <c r="E142" s="1" t="s">
        <v>192</v>
      </c>
      <c r="F142">
        <v>110042.37</v>
      </c>
      <c r="G142" t="s">
        <v>184</v>
      </c>
      <c r="H142" s="2">
        <v>43914</v>
      </c>
      <c r="I142">
        <v>1</v>
      </c>
      <c r="J142" s="1" t="s">
        <v>185</v>
      </c>
      <c r="K142" s="1" t="s">
        <v>240</v>
      </c>
      <c r="L142">
        <v>5.07</v>
      </c>
      <c r="M142" t="s">
        <v>187</v>
      </c>
    </row>
    <row r="143" spans="1:13" x14ac:dyDescent="0.35">
      <c r="A143" s="1" t="s">
        <v>249</v>
      </c>
      <c r="B143" s="1" t="s">
        <v>617</v>
      </c>
      <c r="C143" s="1" t="s">
        <v>618</v>
      </c>
      <c r="D143" s="1" t="s">
        <v>191</v>
      </c>
      <c r="E143" s="1" t="s">
        <v>203</v>
      </c>
      <c r="F143">
        <v>37902.35</v>
      </c>
      <c r="G143" t="s">
        <v>233</v>
      </c>
      <c r="H143" s="2">
        <v>43823</v>
      </c>
      <c r="I143">
        <v>1</v>
      </c>
      <c r="J143" s="1" t="s">
        <v>185</v>
      </c>
      <c r="K143" s="1" t="s">
        <v>252</v>
      </c>
      <c r="L143">
        <v>5.32</v>
      </c>
      <c r="M143" t="s">
        <v>187</v>
      </c>
    </row>
    <row r="144" spans="1:13" x14ac:dyDescent="0.35">
      <c r="A144" s="1" t="s">
        <v>619</v>
      </c>
      <c r="B144" s="1" t="s">
        <v>620</v>
      </c>
      <c r="C144" s="1" t="s">
        <v>621</v>
      </c>
      <c r="D144" s="1" t="s">
        <v>191</v>
      </c>
      <c r="E144" s="1" t="s">
        <v>192</v>
      </c>
      <c r="F144">
        <v>33031.26</v>
      </c>
      <c r="G144" t="s">
        <v>233</v>
      </c>
      <c r="H144" s="2">
        <v>43468</v>
      </c>
      <c r="I144">
        <v>0.4</v>
      </c>
      <c r="J144" s="1" t="s">
        <v>185</v>
      </c>
      <c r="K144" s="1" t="s">
        <v>208</v>
      </c>
      <c r="L144">
        <v>6.3</v>
      </c>
      <c r="M144" t="s">
        <v>195</v>
      </c>
    </row>
    <row r="145" spans="1:13" x14ac:dyDescent="0.35">
      <c r="A145" s="1" t="s">
        <v>622</v>
      </c>
      <c r="B145" s="1" t="s">
        <v>623</v>
      </c>
      <c r="C145" s="1" t="s">
        <v>624</v>
      </c>
      <c r="D145" s="1" t="s">
        <v>191</v>
      </c>
      <c r="E145" s="1" t="s">
        <v>299</v>
      </c>
      <c r="F145">
        <v>32496.880000000001</v>
      </c>
      <c r="G145" t="s">
        <v>233</v>
      </c>
      <c r="H145" s="2">
        <v>43234</v>
      </c>
      <c r="I145">
        <v>1</v>
      </c>
      <c r="J145" s="1" t="s">
        <v>244</v>
      </c>
      <c r="K145" s="1" t="s">
        <v>186</v>
      </c>
      <c r="L145">
        <v>6.94</v>
      </c>
      <c r="M145" t="s">
        <v>187</v>
      </c>
    </row>
    <row r="146" spans="1:13" x14ac:dyDescent="0.35">
      <c r="A146" s="1" t="s">
        <v>625</v>
      </c>
      <c r="B146" s="1" t="s">
        <v>626</v>
      </c>
      <c r="C146" s="1" t="s">
        <v>627</v>
      </c>
      <c r="D146" s="1" t="s">
        <v>191</v>
      </c>
      <c r="E146" s="1" t="s">
        <v>199</v>
      </c>
      <c r="F146">
        <v>81897.789999999994</v>
      </c>
      <c r="G146" t="s">
        <v>193</v>
      </c>
      <c r="H146" s="2">
        <v>43146</v>
      </c>
      <c r="I146">
        <v>1</v>
      </c>
      <c r="J146" s="1" t="s">
        <v>185</v>
      </c>
      <c r="K146" s="1" t="s">
        <v>245</v>
      </c>
      <c r="L146">
        <v>7.18</v>
      </c>
      <c r="M146" t="s">
        <v>187</v>
      </c>
    </row>
    <row r="147" spans="1:13" x14ac:dyDescent="0.35">
      <c r="A147" s="1" t="s">
        <v>628</v>
      </c>
      <c r="B147" s="1" t="s">
        <v>629</v>
      </c>
      <c r="C147" s="1" t="s">
        <v>630</v>
      </c>
      <c r="D147" s="1" t="s">
        <v>182</v>
      </c>
      <c r="E147" s="1" t="s">
        <v>212</v>
      </c>
      <c r="F147">
        <v>108872.77</v>
      </c>
      <c r="G147" t="s">
        <v>184</v>
      </c>
      <c r="H147" s="2">
        <v>43521</v>
      </c>
      <c r="I147">
        <v>1</v>
      </c>
      <c r="J147" s="1" t="s">
        <v>185</v>
      </c>
      <c r="K147" s="1" t="s">
        <v>186</v>
      </c>
      <c r="L147">
        <v>6.15</v>
      </c>
      <c r="M147" t="s">
        <v>187</v>
      </c>
    </row>
    <row r="148" spans="1:13" x14ac:dyDescent="0.35">
      <c r="A148" s="1" t="s">
        <v>631</v>
      </c>
      <c r="B148" s="1" t="s">
        <v>632</v>
      </c>
      <c r="C148" s="1" t="s">
        <v>633</v>
      </c>
      <c r="D148" s="1" t="s">
        <v>182</v>
      </c>
      <c r="E148" s="1" t="s">
        <v>222</v>
      </c>
      <c r="F148">
        <v>89605.13</v>
      </c>
      <c r="G148" t="s">
        <v>193</v>
      </c>
      <c r="H148" s="2">
        <v>43258</v>
      </c>
      <c r="I148">
        <v>1</v>
      </c>
      <c r="J148" s="1" t="s">
        <v>185</v>
      </c>
      <c r="K148" s="1" t="s">
        <v>194</v>
      </c>
      <c r="L148">
        <v>6.87</v>
      </c>
      <c r="M148" t="s">
        <v>187</v>
      </c>
    </row>
    <row r="149" spans="1:13" x14ac:dyDescent="0.35">
      <c r="A149" s="1" t="s">
        <v>634</v>
      </c>
      <c r="B149" s="1" t="s">
        <v>635</v>
      </c>
      <c r="C149" s="1" t="s">
        <v>636</v>
      </c>
      <c r="D149" s="1" t="s">
        <v>217</v>
      </c>
      <c r="E149" s="1" t="s">
        <v>299</v>
      </c>
      <c r="F149">
        <v>63447.07</v>
      </c>
      <c r="G149" t="s">
        <v>193</v>
      </c>
      <c r="H149" s="2">
        <v>44148</v>
      </c>
      <c r="I149">
        <v>1</v>
      </c>
      <c r="J149" s="1" t="s">
        <v>244</v>
      </c>
      <c r="K149" s="1" t="s">
        <v>213</v>
      </c>
      <c r="L149">
        <v>4.43</v>
      </c>
      <c r="M149" t="s">
        <v>187</v>
      </c>
    </row>
    <row r="150" spans="1:13" x14ac:dyDescent="0.35">
      <c r="A150" s="1" t="s">
        <v>637</v>
      </c>
      <c r="B150" s="1" t="s">
        <v>638</v>
      </c>
      <c r="C150" s="1" t="s">
        <v>639</v>
      </c>
      <c r="D150" s="1" t="s">
        <v>191</v>
      </c>
      <c r="E150" s="1" t="s">
        <v>292</v>
      </c>
      <c r="F150">
        <v>106665.67</v>
      </c>
      <c r="G150" t="s">
        <v>184</v>
      </c>
      <c r="H150" s="2">
        <v>43311</v>
      </c>
      <c r="I150">
        <v>1</v>
      </c>
      <c r="J150" s="1" t="s">
        <v>244</v>
      </c>
      <c r="K150" s="1" t="s">
        <v>240</v>
      </c>
      <c r="L150">
        <v>6.73</v>
      </c>
      <c r="M150" t="s">
        <v>187</v>
      </c>
    </row>
    <row r="151" spans="1:13" x14ac:dyDescent="0.35">
      <c r="A151" s="1" t="s">
        <v>640</v>
      </c>
      <c r="B151" s="1" t="s">
        <v>641</v>
      </c>
      <c r="C151" s="1" t="s">
        <v>642</v>
      </c>
      <c r="D151" s="1" t="s">
        <v>182</v>
      </c>
      <c r="E151" s="1" t="s">
        <v>199</v>
      </c>
      <c r="F151">
        <v>100424.23</v>
      </c>
      <c r="G151" t="s">
        <v>184</v>
      </c>
      <c r="H151" s="2">
        <v>43801</v>
      </c>
      <c r="I151">
        <v>1</v>
      </c>
      <c r="J151" s="1" t="s">
        <v>185</v>
      </c>
      <c r="K151" s="1" t="s">
        <v>245</v>
      </c>
      <c r="L151">
        <v>5.38</v>
      </c>
      <c r="M151" t="s">
        <v>187</v>
      </c>
    </row>
    <row r="152" spans="1:13" x14ac:dyDescent="0.35">
      <c r="A152" s="1" t="s">
        <v>643</v>
      </c>
      <c r="B152" s="1" t="s">
        <v>644</v>
      </c>
      <c r="C152" s="1" t="s">
        <v>645</v>
      </c>
      <c r="D152" s="1" t="s">
        <v>182</v>
      </c>
      <c r="E152" s="1" t="s">
        <v>199</v>
      </c>
      <c r="F152">
        <v>47646.95</v>
      </c>
      <c r="G152" t="s">
        <v>233</v>
      </c>
      <c r="H152" s="2">
        <v>43791</v>
      </c>
      <c r="I152">
        <v>0.3</v>
      </c>
      <c r="J152" s="1" t="s">
        <v>204</v>
      </c>
      <c r="K152" s="1" t="s">
        <v>252</v>
      </c>
      <c r="L152">
        <v>5.41</v>
      </c>
      <c r="M152" t="s">
        <v>195</v>
      </c>
    </row>
    <row r="153" spans="1:13" x14ac:dyDescent="0.35">
      <c r="A153" s="1" t="s">
        <v>646</v>
      </c>
      <c r="B153" s="1" t="s">
        <v>647</v>
      </c>
      <c r="C153" s="1" t="s">
        <v>648</v>
      </c>
      <c r="D153" s="1" t="s">
        <v>182</v>
      </c>
      <c r="E153" s="1" t="s">
        <v>299</v>
      </c>
      <c r="F153">
        <v>28481.16</v>
      </c>
      <c r="G153" t="s">
        <v>233</v>
      </c>
      <c r="H153" s="2">
        <v>43916</v>
      </c>
      <c r="I153">
        <v>1</v>
      </c>
      <c r="J153" s="1" t="s">
        <v>185</v>
      </c>
      <c r="K153" s="1" t="s">
        <v>208</v>
      </c>
      <c r="L153">
        <v>5.07</v>
      </c>
      <c r="M153" t="s">
        <v>187</v>
      </c>
    </row>
    <row r="154" spans="1:13" x14ac:dyDescent="0.35">
      <c r="A154" s="1" t="s">
        <v>649</v>
      </c>
      <c r="B154" s="1" t="s">
        <v>650</v>
      </c>
      <c r="C154" s="1" t="s">
        <v>651</v>
      </c>
      <c r="D154" s="1" t="s">
        <v>191</v>
      </c>
      <c r="E154" s="1" t="s">
        <v>273</v>
      </c>
      <c r="F154">
        <v>39535.49</v>
      </c>
      <c r="G154" t="s">
        <v>233</v>
      </c>
      <c r="H154" s="2">
        <v>43397</v>
      </c>
      <c r="I154">
        <v>0.3</v>
      </c>
      <c r="J154" s="1" t="s">
        <v>185</v>
      </c>
      <c r="K154" s="1" t="s">
        <v>186</v>
      </c>
      <c r="L154">
        <v>6.49</v>
      </c>
      <c r="M154" t="s">
        <v>195</v>
      </c>
    </row>
    <row r="155" spans="1:13" x14ac:dyDescent="0.35">
      <c r="A155" s="1" t="s">
        <v>652</v>
      </c>
      <c r="B155" s="1" t="s">
        <v>653</v>
      </c>
      <c r="C155" s="1" t="s">
        <v>654</v>
      </c>
      <c r="D155" s="1" t="s">
        <v>182</v>
      </c>
      <c r="E155" s="1" t="s">
        <v>218</v>
      </c>
      <c r="F155">
        <v>95017.1</v>
      </c>
      <c r="G155" t="s">
        <v>193</v>
      </c>
      <c r="H155" s="2">
        <v>43283</v>
      </c>
      <c r="I155">
        <v>1</v>
      </c>
      <c r="J155" s="1" t="s">
        <v>204</v>
      </c>
      <c r="K155" s="1" t="s">
        <v>194</v>
      </c>
      <c r="L155">
        <v>6.8</v>
      </c>
      <c r="M155" t="s">
        <v>187</v>
      </c>
    </row>
    <row r="156" spans="1:13" x14ac:dyDescent="0.35">
      <c r="A156" s="1" t="s">
        <v>655</v>
      </c>
      <c r="B156" s="1" t="s">
        <v>656</v>
      </c>
      <c r="C156" s="1" t="s">
        <v>657</v>
      </c>
      <c r="D156" s="1" t="s">
        <v>182</v>
      </c>
      <c r="E156" s="1" t="s">
        <v>192</v>
      </c>
      <c r="F156">
        <v>69764.100000000006</v>
      </c>
      <c r="G156" t="s">
        <v>193</v>
      </c>
      <c r="H156" s="2">
        <v>44195</v>
      </c>
      <c r="I156">
        <v>1</v>
      </c>
      <c r="J156" s="1" t="s">
        <v>204</v>
      </c>
      <c r="K156" s="1" t="s">
        <v>194</v>
      </c>
      <c r="L156">
        <v>4.3</v>
      </c>
      <c r="M156" t="s">
        <v>187</v>
      </c>
    </row>
    <row r="157" spans="1:13" x14ac:dyDescent="0.35">
      <c r="A157" s="1" t="s">
        <v>658</v>
      </c>
      <c r="B157" s="1" t="s">
        <v>659</v>
      </c>
      <c r="C157" s="1" t="s">
        <v>660</v>
      </c>
      <c r="D157" s="1" t="s">
        <v>191</v>
      </c>
      <c r="E157" s="1" t="s">
        <v>273</v>
      </c>
      <c r="F157">
        <v>84598.88</v>
      </c>
      <c r="G157" t="s">
        <v>193</v>
      </c>
      <c r="H157" s="2">
        <v>44116</v>
      </c>
      <c r="I157">
        <v>1</v>
      </c>
      <c r="J157" s="1" t="s">
        <v>204</v>
      </c>
      <c r="K157" s="1" t="s">
        <v>194</v>
      </c>
      <c r="L157">
        <v>4.5199999999999996</v>
      </c>
      <c r="M157" t="s">
        <v>187</v>
      </c>
    </row>
    <row r="158" spans="1:13" x14ac:dyDescent="0.35">
      <c r="A158" s="1" t="s">
        <v>661</v>
      </c>
      <c r="B158" s="1" t="s">
        <v>662</v>
      </c>
      <c r="C158" s="1" t="s">
        <v>663</v>
      </c>
      <c r="D158" s="1" t="s">
        <v>182</v>
      </c>
      <c r="E158" s="1" t="s">
        <v>212</v>
      </c>
      <c r="F158">
        <v>36536.26</v>
      </c>
      <c r="G158" t="s">
        <v>233</v>
      </c>
      <c r="H158" s="2">
        <v>44358</v>
      </c>
      <c r="I158">
        <v>1</v>
      </c>
      <c r="J158" s="1" t="s">
        <v>244</v>
      </c>
      <c r="K158" s="1" t="s">
        <v>208</v>
      </c>
      <c r="L158">
        <v>3.86</v>
      </c>
      <c r="M158" t="s">
        <v>187</v>
      </c>
    </row>
    <row r="159" spans="1:13" x14ac:dyDescent="0.35">
      <c r="A159" s="1" t="s">
        <v>664</v>
      </c>
      <c r="B159" s="1" t="s">
        <v>665</v>
      </c>
      <c r="C159" s="1" t="s">
        <v>666</v>
      </c>
      <c r="D159" s="1" t="s">
        <v>191</v>
      </c>
      <c r="E159" s="1" t="s">
        <v>192</v>
      </c>
      <c r="F159">
        <v>61688.77</v>
      </c>
      <c r="G159" t="s">
        <v>193</v>
      </c>
      <c r="H159" s="2">
        <v>43346</v>
      </c>
      <c r="I159">
        <v>0.9</v>
      </c>
      <c r="J159" s="1" t="s">
        <v>185</v>
      </c>
      <c r="K159" s="1" t="s">
        <v>252</v>
      </c>
      <c r="L159">
        <v>6.63</v>
      </c>
      <c r="M159" t="s">
        <v>195</v>
      </c>
    </row>
    <row r="160" spans="1:13" x14ac:dyDescent="0.35">
      <c r="A160" s="1" t="s">
        <v>667</v>
      </c>
      <c r="B160" s="1" t="s">
        <v>668</v>
      </c>
      <c r="C160" s="1" t="s">
        <v>669</v>
      </c>
      <c r="D160" s="1" t="s">
        <v>191</v>
      </c>
      <c r="E160" s="1" t="s">
        <v>212</v>
      </c>
      <c r="F160">
        <v>88425.08</v>
      </c>
      <c r="G160" t="s">
        <v>193</v>
      </c>
      <c r="H160" s="2">
        <v>43662</v>
      </c>
      <c r="I160">
        <v>1</v>
      </c>
      <c r="J160" s="1" t="s">
        <v>185</v>
      </c>
      <c r="K160" s="1" t="s">
        <v>208</v>
      </c>
      <c r="L160">
        <v>5.76</v>
      </c>
      <c r="M160" t="s">
        <v>187</v>
      </c>
    </row>
    <row r="161" spans="1:13" x14ac:dyDescent="0.35">
      <c r="A161" s="1" t="s">
        <v>378</v>
      </c>
      <c r="B161" s="1" t="s">
        <v>670</v>
      </c>
      <c r="C161" s="1" t="s">
        <v>671</v>
      </c>
      <c r="D161" s="1" t="s">
        <v>191</v>
      </c>
      <c r="E161" s="1" t="s">
        <v>292</v>
      </c>
      <c r="F161">
        <v>38438.239999999998</v>
      </c>
      <c r="G161" t="s">
        <v>233</v>
      </c>
      <c r="H161" s="2">
        <v>43962</v>
      </c>
      <c r="I161">
        <v>1</v>
      </c>
      <c r="J161" s="1" t="s">
        <v>185</v>
      </c>
      <c r="K161" s="1" t="s">
        <v>252</v>
      </c>
      <c r="L161">
        <v>4.9400000000000004</v>
      </c>
      <c r="M161" t="s">
        <v>187</v>
      </c>
    </row>
    <row r="162" spans="1:13" x14ac:dyDescent="0.35">
      <c r="A162" s="1" t="s">
        <v>672</v>
      </c>
      <c r="B162" s="1" t="s">
        <v>673</v>
      </c>
      <c r="C162" s="1" t="s">
        <v>674</v>
      </c>
      <c r="D162" s="1" t="s">
        <v>182</v>
      </c>
      <c r="E162" s="1" t="s">
        <v>273</v>
      </c>
      <c r="F162">
        <v>96753.78</v>
      </c>
      <c r="G162" t="s">
        <v>193</v>
      </c>
      <c r="H162" s="2">
        <v>44494</v>
      </c>
      <c r="I162">
        <v>1</v>
      </c>
      <c r="J162" s="1" t="s">
        <v>185</v>
      </c>
      <c r="K162" s="1" t="s">
        <v>245</v>
      </c>
      <c r="L162">
        <v>3.48</v>
      </c>
      <c r="M162" t="s">
        <v>187</v>
      </c>
    </row>
    <row r="163" spans="1:13" x14ac:dyDescent="0.35">
      <c r="A163" s="1" t="s">
        <v>501</v>
      </c>
      <c r="B163" s="1" t="s">
        <v>502</v>
      </c>
      <c r="C163" s="1" t="s">
        <v>503</v>
      </c>
      <c r="D163" s="1" t="s">
        <v>182</v>
      </c>
      <c r="E163" s="1" t="s">
        <v>203</v>
      </c>
      <c r="F163">
        <v>112778.28</v>
      </c>
      <c r="G163" t="s">
        <v>184</v>
      </c>
      <c r="H163" s="2">
        <v>43250</v>
      </c>
      <c r="I163">
        <v>1</v>
      </c>
      <c r="J163" s="1" t="s">
        <v>204</v>
      </c>
      <c r="K163" s="1" t="s">
        <v>186</v>
      </c>
      <c r="L163">
        <v>6.89</v>
      </c>
      <c r="M163" t="s">
        <v>187</v>
      </c>
    </row>
    <row r="164" spans="1:13" x14ac:dyDescent="0.35">
      <c r="A164" s="1" t="s">
        <v>675</v>
      </c>
      <c r="B164" s="1" t="s">
        <v>676</v>
      </c>
      <c r="C164" s="1" t="s">
        <v>677</v>
      </c>
      <c r="D164" s="1" t="s">
        <v>191</v>
      </c>
      <c r="E164" s="1" t="s">
        <v>218</v>
      </c>
      <c r="F164">
        <v>28974.03</v>
      </c>
      <c r="G164" t="s">
        <v>233</v>
      </c>
      <c r="H164" s="2">
        <v>43733</v>
      </c>
      <c r="I164">
        <v>1</v>
      </c>
      <c r="J164" s="1" t="s">
        <v>185</v>
      </c>
      <c r="K164" s="1" t="s">
        <v>245</v>
      </c>
      <c r="L164">
        <v>5.57</v>
      </c>
      <c r="M164" t="s">
        <v>187</v>
      </c>
    </row>
    <row r="165" spans="1:13" x14ac:dyDescent="0.35">
      <c r="A165" s="1" t="s">
        <v>678</v>
      </c>
      <c r="B165" s="1" t="s">
        <v>679</v>
      </c>
      <c r="C165" s="1" t="s">
        <v>680</v>
      </c>
      <c r="D165" s="1" t="s">
        <v>191</v>
      </c>
      <c r="E165" s="1" t="s">
        <v>192</v>
      </c>
      <c r="F165">
        <v>86233.83</v>
      </c>
      <c r="G165" t="s">
        <v>193</v>
      </c>
      <c r="H165" s="2">
        <v>43706</v>
      </c>
      <c r="I165">
        <v>1</v>
      </c>
      <c r="J165" s="1" t="s">
        <v>204</v>
      </c>
      <c r="K165" s="1" t="s">
        <v>252</v>
      </c>
      <c r="L165">
        <v>5.64</v>
      </c>
      <c r="M165" t="s">
        <v>187</v>
      </c>
    </row>
    <row r="166" spans="1:13" x14ac:dyDescent="0.35">
      <c r="A166" s="1" t="s">
        <v>411</v>
      </c>
      <c r="B166" s="1" t="s">
        <v>412</v>
      </c>
      <c r="C166" s="1" t="s">
        <v>413</v>
      </c>
      <c r="D166" s="1" t="s">
        <v>191</v>
      </c>
      <c r="E166" s="1" t="s">
        <v>292</v>
      </c>
      <c r="F166">
        <v>66865.490000000005</v>
      </c>
      <c r="G166" t="s">
        <v>193</v>
      </c>
      <c r="H166" s="2">
        <v>43514</v>
      </c>
      <c r="I166">
        <v>1</v>
      </c>
      <c r="J166" s="1" t="s">
        <v>185</v>
      </c>
      <c r="K166" s="1" t="s">
        <v>194</v>
      </c>
      <c r="L166">
        <v>6.17</v>
      </c>
      <c r="M166" t="s">
        <v>187</v>
      </c>
    </row>
    <row r="167" spans="1:13" x14ac:dyDescent="0.35">
      <c r="A167" s="1" t="s">
        <v>681</v>
      </c>
      <c r="B167" s="1" t="s">
        <v>682</v>
      </c>
      <c r="C167" s="1" t="s">
        <v>683</v>
      </c>
      <c r="D167" s="1" t="s">
        <v>182</v>
      </c>
      <c r="E167" s="1" t="s">
        <v>269</v>
      </c>
      <c r="F167">
        <v>119022.49</v>
      </c>
      <c r="G167" t="s">
        <v>184</v>
      </c>
      <c r="H167" s="2">
        <v>44431</v>
      </c>
      <c r="I167">
        <v>1</v>
      </c>
      <c r="J167" s="1" t="s">
        <v>185</v>
      </c>
      <c r="K167" s="1" t="s">
        <v>245</v>
      </c>
      <c r="L167">
        <v>3.66</v>
      </c>
      <c r="M167" t="s">
        <v>187</v>
      </c>
    </row>
    <row r="168" spans="1:13" x14ac:dyDescent="0.35">
      <c r="A168" s="1" t="s">
        <v>684</v>
      </c>
      <c r="B168" s="1" t="s">
        <v>685</v>
      </c>
      <c r="C168" s="1" t="s">
        <v>686</v>
      </c>
      <c r="D168" s="1" t="s">
        <v>191</v>
      </c>
      <c r="E168" s="1" t="s">
        <v>269</v>
      </c>
      <c r="F168">
        <v>114177.23</v>
      </c>
      <c r="G168" t="s">
        <v>184</v>
      </c>
      <c r="H168" s="2">
        <v>43908</v>
      </c>
      <c r="I168">
        <v>1</v>
      </c>
      <c r="J168" s="1" t="s">
        <v>185</v>
      </c>
      <c r="K168" s="1" t="s">
        <v>213</v>
      </c>
      <c r="L168">
        <v>5.09</v>
      </c>
      <c r="M168" t="s">
        <v>187</v>
      </c>
    </row>
    <row r="169" spans="1:13" x14ac:dyDescent="0.35">
      <c r="A169" s="1" t="s">
        <v>687</v>
      </c>
      <c r="B169" s="1" t="s">
        <v>688</v>
      </c>
      <c r="C169" s="1" t="s">
        <v>689</v>
      </c>
      <c r="D169" s="1" t="s">
        <v>191</v>
      </c>
      <c r="E169" s="1" t="s">
        <v>265</v>
      </c>
      <c r="F169">
        <v>100731.95</v>
      </c>
      <c r="G169" t="s">
        <v>184</v>
      </c>
      <c r="H169" s="2">
        <v>43936</v>
      </c>
      <c r="I169">
        <v>1</v>
      </c>
      <c r="J169" s="1" t="s">
        <v>185</v>
      </c>
      <c r="K169" s="1" t="s">
        <v>245</v>
      </c>
      <c r="L169">
        <v>5.01</v>
      </c>
      <c r="M169" t="s">
        <v>187</v>
      </c>
    </row>
    <row r="170" spans="1:13" x14ac:dyDescent="0.35">
      <c r="A170" s="1" t="s">
        <v>690</v>
      </c>
      <c r="B170" s="1" t="s">
        <v>691</v>
      </c>
      <c r="C170" s="1" t="s">
        <v>692</v>
      </c>
      <c r="D170" s="1" t="s">
        <v>191</v>
      </c>
      <c r="E170" s="1" t="s">
        <v>203</v>
      </c>
      <c r="F170">
        <v>86010.54</v>
      </c>
      <c r="G170" t="s">
        <v>193</v>
      </c>
      <c r="H170" s="2">
        <v>43164</v>
      </c>
      <c r="I170">
        <v>1</v>
      </c>
      <c r="J170" s="1" t="s">
        <v>185</v>
      </c>
      <c r="K170" s="1" t="s">
        <v>252</v>
      </c>
      <c r="L170">
        <v>7.13</v>
      </c>
      <c r="M170" t="s">
        <v>187</v>
      </c>
    </row>
    <row r="171" spans="1:13" x14ac:dyDescent="0.35">
      <c r="A171" s="1" t="s">
        <v>693</v>
      </c>
      <c r="B171" s="1" t="s">
        <v>694</v>
      </c>
      <c r="C171" s="1" t="s">
        <v>695</v>
      </c>
      <c r="D171" s="1" t="s">
        <v>182</v>
      </c>
      <c r="E171" s="1" t="s">
        <v>269</v>
      </c>
      <c r="F171">
        <v>52270.22</v>
      </c>
      <c r="G171" t="s">
        <v>193</v>
      </c>
      <c r="H171" s="2">
        <v>43521</v>
      </c>
      <c r="I171">
        <v>0.3</v>
      </c>
      <c r="J171" s="1" t="s">
        <v>185</v>
      </c>
      <c r="K171" s="1" t="s">
        <v>252</v>
      </c>
      <c r="L171">
        <v>6.15</v>
      </c>
      <c r="M171" t="s">
        <v>195</v>
      </c>
    </row>
    <row r="172" spans="1:13" x14ac:dyDescent="0.35">
      <c r="A172" s="1" t="s">
        <v>696</v>
      </c>
      <c r="B172" s="1" t="s">
        <v>697</v>
      </c>
      <c r="C172" s="1" t="s">
        <v>698</v>
      </c>
      <c r="D172" s="1" t="s">
        <v>182</v>
      </c>
      <c r="E172" s="1" t="s">
        <v>212</v>
      </c>
      <c r="F172">
        <v>61624.77</v>
      </c>
      <c r="G172" t="s">
        <v>193</v>
      </c>
      <c r="H172" s="2">
        <v>43430</v>
      </c>
      <c r="I172">
        <v>0.3</v>
      </c>
      <c r="J172" s="1" t="s">
        <v>204</v>
      </c>
      <c r="K172" s="1" t="s">
        <v>208</v>
      </c>
      <c r="L172">
        <v>6.4</v>
      </c>
      <c r="M172" t="s">
        <v>195</v>
      </c>
    </row>
    <row r="173" spans="1:13" x14ac:dyDescent="0.35">
      <c r="A173" s="1" t="s">
        <v>699</v>
      </c>
      <c r="B173" s="1" t="s">
        <v>700</v>
      </c>
      <c r="C173" s="1" t="s">
        <v>701</v>
      </c>
      <c r="D173" s="1" t="s">
        <v>191</v>
      </c>
      <c r="E173" s="1" t="s">
        <v>222</v>
      </c>
      <c r="F173">
        <v>104903.79</v>
      </c>
      <c r="G173" t="s">
        <v>184</v>
      </c>
      <c r="H173" s="2">
        <v>43649</v>
      </c>
      <c r="I173">
        <v>1</v>
      </c>
      <c r="J173" s="1" t="s">
        <v>185</v>
      </c>
      <c r="K173" s="1" t="s">
        <v>252</v>
      </c>
      <c r="L173">
        <v>5.8</v>
      </c>
      <c r="M173" t="s">
        <v>187</v>
      </c>
    </row>
    <row r="174" spans="1:13" x14ac:dyDescent="0.35">
      <c r="A174" s="1" t="s">
        <v>405</v>
      </c>
      <c r="B174" s="1" t="s">
        <v>406</v>
      </c>
      <c r="C174" s="1" t="s">
        <v>407</v>
      </c>
      <c r="D174" s="1" t="s">
        <v>191</v>
      </c>
      <c r="E174" s="1" t="s">
        <v>199</v>
      </c>
      <c r="F174">
        <v>69057.320000000007</v>
      </c>
      <c r="G174" t="s">
        <v>193</v>
      </c>
      <c r="H174" s="2">
        <v>43390</v>
      </c>
      <c r="I174">
        <v>1</v>
      </c>
      <c r="J174" s="1" t="s">
        <v>185</v>
      </c>
      <c r="K174" s="1" t="s">
        <v>213</v>
      </c>
      <c r="L174">
        <v>6.51</v>
      </c>
      <c r="M174" t="s">
        <v>187</v>
      </c>
    </row>
    <row r="175" spans="1:13" x14ac:dyDescent="0.35">
      <c r="A175" s="1" t="s">
        <v>498</v>
      </c>
      <c r="B175" s="1" t="s">
        <v>499</v>
      </c>
      <c r="C175" s="1" t="s">
        <v>500</v>
      </c>
      <c r="D175" s="1" t="s">
        <v>182</v>
      </c>
      <c r="E175" s="1" t="s">
        <v>218</v>
      </c>
      <c r="F175">
        <v>59258.19</v>
      </c>
      <c r="G175" t="s">
        <v>193</v>
      </c>
      <c r="H175" s="2">
        <v>43452</v>
      </c>
      <c r="I175">
        <v>0.8</v>
      </c>
      <c r="J175" s="1" t="s">
        <v>185</v>
      </c>
      <c r="K175" s="1" t="s">
        <v>194</v>
      </c>
      <c r="L175">
        <v>6.34</v>
      </c>
      <c r="M175" t="s">
        <v>195</v>
      </c>
    </row>
    <row r="176" spans="1:13" x14ac:dyDescent="0.35">
      <c r="A176" s="1" t="s">
        <v>702</v>
      </c>
      <c r="B176" s="1" t="s">
        <v>703</v>
      </c>
      <c r="C176" s="1" t="s">
        <v>704</v>
      </c>
      <c r="D176" s="1" t="s">
        <v>182</v>
      </c>
      <c r="E176" s="1" t="s">
        <v>226</v>
      </c>
      <c r="F176">
        <v>28160.79</v>
      </c>
      <c r="G176" t="s">
        <v>233</v>
      </c>
      <c r="H176" s="2">
        <v>43129</v>
      </c>
      <c r="I176">
        <v>1</v>
      </c>
      <c r="J176" s="1" t="s">
        <v>244</v>
      </c>
      <c r="K176" s="1" t="s">
        <v>186</v>
      </c>
      <c r="L176">
        <v>7.22</v>
      </c>
      <c r="M176" t="s">
        <v>187</v>
      </c>
    </row>
    <row r="177" spans="1:13" x14ac:dyDescent="0.35">
      <c r="A177" s="1" t="s">
        <v>705</v>
      </c>
      <c r="B177" s="1" t="s">
        <v>706</v>
      </c>
      <c r="C177" s="1" t="s">
        <v>707</v>
      </c>
      <c r="D177" s="1" t="s">
        <v>182</v>
      </c>
      <c r="E177" s="1" t="s">
        <v>183</v>
      </c>
      <c r="F177">
        <v>109143.17</v>
      </c>
      <c r="G177" t="s">
        <v>184</v>
      </c>
      <c r="H177" s="2">
        <v>43945</v>
      </c>
      <c r="I177">
        <v>1</v>
      </c>
      <c r="J177" s="1" t="s">
        <v>185</v>
      </c>
      <c r="K177" s="1" t="s">
        <v>213</v>
      </c>
      <c r="L177">
        <v>4.99</v>
      </c>
      <c r="M177" t="s">
        <v>187</v>
      </c>
    </row>
    <row r="178" spans="1:13" x14ac:dyDescent="0.35">
      <c r="A178" s="1" t="s">
        <v>708</v>
      </c>
      <c r="B178" s="1" t="s">
        <v>709</v>
      </c>
      <c r="C178" s="1" t="s">
        <v>710</v>
      </c>
      <c r="D178" s="1" t="s">
        <v>191</v>
      </c>
      <c r="E178" s="1" t="s">
        <v>222</v>
      </c>
      <c r="F178">
        <v>70755.5</v>
      </c>
      <c r="G178" t="s">
        <v>193</v>
      </c>
      <c r="H178" s="2">
        <v>44090</v>
      </c>
      <c r="I178">
        <v>0.8</v>
      </c>
      <c r="J178" s="1" t="s">
        <v>244</v>
      </c>
      <c r="K178" s="1" t="s">
        <v>208</v>
      </c>
      <c r="L178">
        <v>4.59</v>
      </c>
      <c r="M178" t="s">
        <v>195</v>
      </c>
    </row>
    <row r="179" spans="1:13" x14ac:dyDescent="0.35">
      <c r="A179" s="1" t="s">
        <v>306</v>
      </c>
      <c r="B179" s="1" t="s">
        <v>307</v>
      </c>
      <c r="C179" s="1" t="s">
        <v>308</v>
      </c>
      <c r="D179" s="1" t="s">
        <v>182</v>
      </c>
      <c r="E179" s="1" t="s">
        <v>192</v>
      </c>
      <c r="F179">
        <v>73360.38</v>
      </c>
      <c r="G179" t="s">
        <v>193</v>
      </c>
      <c r="H179" s="2">
        <v>43972</v>
      </c>
      <c r="I179">
        <v>1</v>
      </c>
      <c r="J179" s="1" t="s">
        <v>244</v>
      </c>
      <c r="K179" s="1" t="s">
        <v>186</v>
      </c>
      <c r="L179">
        <v>4.92</v>
      </c>
      <c r="M179" t="s">
        <v>187</v>
      </c>
    </row>
    <row r="180" spans="1:13" x14ac:dyDescent="0.35">
      <c r="A180" s="1" t="s">
        <v>578</v>
      </c>
      <c r="B180" s="1" t="s">
        <v>711</v>
      </c>
      <c r="C180" s="1" t="s">
        <v>712</v>
      </c>
      <c r="D180" s="1" t="s">
        <v>191</v>
      </c>
      <c r="E180" s="1" t="s">
        <v>269</v>
      </c>
      <c r="F180">
        <v>76303.820000000007</v>
      </c>
      <c r="G180" t="s">
        <v>193</v>
      </c>
      <c r="H180" s="2">
        <v>43458</v>
      </c>
      <c r="I180">
        <v>1</v>
      </c>
      <c r="J180" s="1" t="s">
        <v>204</v>
      </c>
      <c r="K180" s="1" t="s">
        <v>208</v>
      </c>
      <c r="L180">
        <v>6.32</v>
      </c>
      <c r="M180" t="s">
        <v>187</v>
      </c>
    </row>
    <row r="181" spans="1:13" x14ac:dyDescent="0.35">
      <c r="A181" s="1" t="s">
        <v>713</v>
      </c>
      <c r="B181" s="1" t="s">
        <v>714</v>
      </c>
      <c r="C181" s="1" t="s">
        <v>715</v>
      </c>
      <c r="D181" s="1" t="s">
        <v>191</v>
      </c>
      <c r="E181" s="1" t="s">
        <v>183</v>
      </c>
      <c r="F181">
        <v>58861.19</v>
      </c>
      <c r="G181" t="s">
        <v>193</v>
      </c>
      <c r="H181" s="2">
        <v>43654</v>
      </c>
      <c r="I181">
        <v>1</v>
      </c>
      <c r="J181" s="1" t="s">
        <v>185</v>
      </c>
      <c r="K181" s="1" t="s">
        <v>240</v>
      </c>
      <c r="L181">
        <v>5.79</v>
      </c>
      <c r="M181" t="s">
        <v>187</v>
      </c>
    </row>
    <row r="182" spans="1:13" x14ac:dyDescent="0.35">
      <c r="A182" s="1" t="s">
        <v>716</v>
      </c>
      <c r="B182" s="1" t="s">
        <v>717</v>
      </c>
      <c r="C182" s="1" t="s">
        <v>718</v>
      </c>
      <c r="D182" s="1" t="s">
        <v>191</v>
      </c>
      <c r="E182" s="1" t="s">
        <v>203</v>
      </c>
      <c r="F182">
        <v>58744.17</v>
      </c>
      <c r="G182" t="s">
        <v>193</v>
      </c>
      <c r="H182" s="2">
        <v>43171</v>
      </c>
      <c r="I182">
        <v>1</v>
      </c>
      <c r="J182" s="1" t="s">
        <v>244</v>
      </c>
      <c r="K182" s="1" t="s">
        <v>240</v>
      </c>
      <c r="L182">
        <v>7.11</v>
      </c>
      <c r="M182" t="s">
        <v>187</v>
      </c>
    </row>
    <row r="183" spans="1:13" x14ac:dyDescent="0.35">
      <c r="A183" s="1" t="s">
        <v>719</v>
      </c>
      <c r="B183" s="1" t="s">
        <v>720</v>
      </c>
      <c r="C183" s="1" t="s">
        <v>721</v>
      </c>
      <c r="D183" s="1" t="s">
        <v>191</v>
      </c>
      <c r="E183" s="1" t="s">
        <v>265</v>
      </c>
      <c r="F183">
        <v>73488.679999999993</v>
      </c>
      <c r="G183" t="s">
        <v>193</v>
      </c>
      <c r="H183" s="2">
        <v>43570</v>
      </c>
      <c r="I183">
        <v>1</v>
      </c>
      <c r="J183" s="1" t="s">
        <v>204</v>
      </c>
      <c r="K183" s="1" t="s">
        <v>194</v>
      </c>
      <c r="L183">
        <v>6.02</v>
      </c>
      <c r="M183" t="s">
        <v>187</v>
      </c>
    </row>
    <row r="184" spans="1:13" x14ac:dyDescent="0.35">
      <c r="A184" s="1" t="s">
        <v>722</v>
      </c>
      <c r="B184" s="1" t="s">
        <v>723</v>
      </c>
      <c r="C184" s="1" t="s">
        <v>724</v>
      </c>
      <c r="D184" s="1" t="s">
        <v>191</v>
      </c>
      <c r="E184" s="1" t="s">
        <v>265</v>
      </c>
      <c r="F184">
        <v>92704.48</v>
      </c>
      <c r="G184" t="s">
        <v>193</v>
      </c>
      <c r="H184" s="2">
        <v>43430</v>
      </c>
      <c r="I184">
        <v>1</v>
      </c>
      <c r="J184" s="1" t="s">
        <v>204</v>
      </c>
      <c r="K184" s="1" t="s">
        <v>240</v>
      </c>
      <c r="L184">
        <v>6.4</v>
      </c>
      <c r="M184" t="s">
        <v>187</v>
      </c>
    </row>
    <row r="185" spans="1:13" x14ac:dyDescent="0.35">
      <c r="A185" s="1" t="s">
        <v>725</v>
      </c>
      <c r="B185" s="1" t="s">
        <v>726</v>
      </c>
      <c r="C185" s="1" t="s">
        <v>727</v>
      </c>
      <c r="D185" s="1" t="s">
        <v>182</v>
      </c>
      <c r="E185" s="1" t="s">
        <v>212</v>
      </c>
      <c r="F185">
        <v>78443.78</v>
      </c>
      <c r="G185" t="s">
        <v>193</v>
      </c>
      <c r="H185" s="2">
        <v>43599</v>
      </c>
      <c r="I185">
        <v>1</v>
      </c>
      <c r="J185" s="1" t="s">
        <v>204</v>
      </c>
      <c r="K185" s="1" t="s">
        <v>208</v>
      </c>
      <c r="L185">
        <v>5.94</v>
      </c>
      <c r="M185" t="s">
        <v>187</v>
      </c>
    </row>
    <row r="186" spans="1:13" x14ac:dyDescent="0.35">
      <c r="A186" s="1" t="s">
        <v>728</v>
      </c>
      <c r="B186" s="1" t="s">
        <v>729</v>
      </c>
      <c r="C186" s="1" t="s">
        <v>730</v>
      </c>
      <c r="D186" s="1" t="s">
        <v>191</v>
      </c>
      <c r="E186" s="1" t="s">
        <v>212</v>
      </c>
      <c r="F186">
        <v>97105.19</v>
      </c>
      <c r="G186" t="s">
        <v>193</v>
      </c>
      <c r="H186" s="2">
        <v>44425</v>
      </c>
      <c r="I186">
        <v>1</v>
      </c>
      <c r="J186" s="1" t="s">
        <v>185</v>
      </c>
      <c r="K186" s="1" t="s">
        <v>240</v>
      </c>
      <c r="L186">
        <v>3.67</v>
      </c>
      <c r="M186" t="s">
        <v>187</v>
      </c>
    </row>
    <row r="187" spans="1:13" x14ac:dyDescent="0.35">
      <c r="A187" s="1" t="s">
        <v>731</v>
      </c>
      <c r="B187" s="1" t="s">
        <v>732</v>
      </c>
      <c r="C187" s="1" t="s">
        <v>733</v>
      </c>
      <c r="D187" s="1" t="s">
        <v>191</v>
      </c>
      <c r="E187" s="1" t="s">
        <v>199</v>
      </c>
      <c r="F187">
        <v>109163.39</v>
      </c>
      <c r="G187" t="s">
        <v>184</v>
      </c>
      <c r="H187" s="2">
        <v>44019</v>
      </c>
      <c r="I187">
        <v>0.8</v>
      </c>
      <c r="J187" s="1" t="s">
        <v>185</v>
      </c>
      <c r="K187" s="1" t="s">
        <v>194</v>
      </c>
      <c r="L187">
        <v>4.79</v>
      </c>
      <c r="M187" t="s">
        <v>195</v>
      </c>
    </row>
    <row r="188" spans="1:13" x14ac:dyDescent="0.35">
      <c r="A188" s="1" t="s">
        <v>734</v>
      </c>
      <c r="B188" s="1" t="s">
        <v>735</v>
      </c>
      <c r="C188" s="1" t="s">
        <v>736</v>
      </c>
      <c r="D188" s="1" t="s">
        <v>182</v>
      </c>
      <c r="E188" s="1" t="s">
        <v>222</v>
      </c>
      <c r="F188">
        <v>31816.57</v>
      </c>
      <c r="G188" t="s">
        <v>233</v>
      </c>
      <c r="H188" s="2">
        <v>43497</v>
      </c>
      <c r="I188">
        <v>0.3</v>
      </c>
      <c r="J188" s="1" t="s">
        <v>204</v>
      </c>
      <c r="K188" s="1" t="s">
        <v>186</v>
      </c>
      <c r="L188">
        <v>6.22</v>
      </c>
      <c r="M188" t="s">
        <v>195</v>
      </c>
    </row>
    <row r="189" spans="1:13" x14ac:dyDescent="0.35">
      <c r="A189" s="1" t="s">
        <v>737</v>
      </c>
      <c r="B189" s="1" t="s">
        <v>738</v>
      </c>
      <c r="C189" s="1" t="s">
        <v>739</v>
      </c>
      <c r="D189" s="1" t="s">
        <v>191</v>
      </c>
      <c r="E189" s="1" t="s">
        <v>183</v>
      </c>
      <c r="F189">
        <v>118442.54</v>
      </c>
      <c r="G189" t="s">
        <v>184</v>
      </c>
      <c r="H189" s="2">
        <v>44193</v>
      </c>
      <c r="I189">
        <v>1</v>
      </c>
      <c r="J189" s="1" t="s">
        <v>185</v>
      </c>
      <c r="K189" s="1" t="s">
        <v>245</v>
      </c>
      <c r="L189">
        <v>4.3099999999999996</v>
      </c>
      <c r="M189" t="s">
        <v>187</v>
      </c>
    </row>
    <row r="190" spans="1:13" x14ac:dyDescent="0.35">
      <c r="A190" s="1" t="s">
        <v>740</v>
      </c>
      <c r="B190" s="1" t="s">
        <v>741</v>
      </c>
      <c r="C190" s="1" t="s">
        <v>742</v>
      </c>
      <c r="D190" s="1" t="s">
        <v>191</v>
      </c>
      <c r="E190" s="1" t="s">
        <v>203</v>
      </c>
      <c r="F190">
        <v>84745.93</v>
      </c>
      <c r="G190" t="s">
        <v>193</v>
      </c>
      <c r="H190" s="2">
        <v>43707</v>
      </c>
      <c r="I190">
        <v>1</v>
      </c>
      <c r="J190" s="1" t="s">
        <v>185</v>
      </c>
      <c r="K190" s="1" t="s">
        <v>213</v>
      </c>
      <c r="L190">
        <v>5.64</v>
      </c>
      <c r="M190" t="s">
        <v>187</v>
      </c>
    </row>
    <row r="191" spans="1:13" x14ac:dyDescent="0.35">
      <c r="A191" s="1" t="s">
        <v>324</v>
      </c>
      <c r="B191" s="1" t="s">
        <v>325</v>
      </c>
      <c r="C191" s="1" t="s">
        <v>326</v>
      </c>
      <c r="D191" s="1" t="s">
        <v>191</v>
      </c>
      <c r="E191" s="1" t="s">
        <v>269</v>
      </c>
      <c r="F191">
        <v>69163.39</v>
      </c>
      <c r="G191" t="s">
        <v>193</v>
      </c>
      <c r="H191" s="2">
        <v>43397</v>
      </c>
      <c r="I191">
        <v>1</v>
      </c>
      <c r="J191" s="1" t="s">
        <v>185</v>
      </c>
      <c r="K191" s="1" t="s">
        <v>186</v>
      </c>
      <c r="L191">
        <v>6.49</v>
      </c>
      <c r="M191" t="s">
        <v>187</v>
      </c>
    </row>
    <row r="192" spans="1:13" x14ac:dyDescent="0.35">
      <c r="A192" s="1" t="s">
        <v>658</v>
      </c>
      <c r="B192" s="1" t="s">
        <v>659</v>
      </c>
      <c r="C192" s="1" t="s">
        <v>660</v>
      </c>
      <c r="D192" s="1" t="s">
        <v>191</v>
      </c>
      <c r="E192" s="1" t="s">
        <v>273</v>
      </c>
      <c r="F192">
        <v>84598.88</v>
      </c>
      <c r="G192" t="s">
        <v>193</v>
      </c>
      <c r="H192" s="2">
        <v>44116</v>
      </c>
      <c r="I192">
        <v>1</v>
      </c>
      <c r="J192" s="1" t="s">
        <v>204</v>
      </c>
      <c r="K192" s="1" t="s">
        <v>194</v>
      </c>
      <c r="L192">
        <v>4.5199999999999996</v>
      </c>
      <c r="M192" t="s">
        <v>187</v>
      </c>
    </row>
    <row r="193" spans="1:13" x14ac:dyDescent="0.35">
      <c r="A193" s="1" t="s">
        <v>743</v>
      </c>
      <c r="B193" s="1" t="s">
        <v>744</v>
      </c>
      <c r="C193" s="1" t="s">
        <v>745</v>
      </c>
      <c r="D193" s="1" t="s">
        <v>191</v>
      </c>
      <c r="E193" s="1" t="s">
        <v>292</v>
      </c>
      <c r="F193">
        <v>68795.48</v>
      </c>
      <c r="G193" t="s">
        <v>193</v>
      </c>
      <c r="H193" s="2">
        <v>44277</v>
      </c>
      <c r="I193">
        <v>0.2</v>
      </c>
      <c r="J193" s="1" t="s">
        <v>185</v>
      </c>
      <c r="K193" s="1" t="s">
        <v>186</v>
      </c>
      <c r="L193">
        <v>4.08</v>
      </c>
      <c r="M193" t="s">
        <v>195</v>
      </c>
    </row>
    <row r="194" spans="1:13" x14ac:dyDescent="0.35">
      <c r="A194" s="1" t="s">
        <v>746</v>
      </c>
      <c r="B194" s="1" t="s">
        <v>747</v>
      </c>
      <c r="C194" s="1" t="s">
        <v>748</v>
      </c>
      <c r="D194" s="1" t="s">
        <v>191</v>
      </c>
      <c r="E194" s="1" t="s">
        <v>199</v>
      </c>
      <c r="F194">
        <v>32269.91</v>
      </c>
      <c r="G194" t="s">
        <v>233</v>
      </c>
      <c r="H194" s="2">
        <v>43346</v>
      </c>
      <c r="I194">
        <v>1</v>
      </c>
      <c r="J194" s="1" t="s">
        <v>185</v>
      </c>
      <c r="K194" s="1" t="s">
        <v>186</v>
      </c>
      <c r="L194">
        <v>6.63</v>
      </c>
      <c r="M194" t="s">
        <v>187</v>
      </c>
    </row>
    <row r="195" spans="1:13" x14ac:dyDescent="0.35">
      <c r="A195" s="1" t="s">
        <v>749</v>
      </c>
      <c r="B195" s="1" t="s">
        <v>750</v>
      </c>
      <c r="C195" s="1" t="s">
        <v>751</v>
      </c>
      <c r="D195" s="1" t="s">
        <v>182</v>
      </c>
      <c r="E195" s="1" t="s">
        <v>226</v>
      </c>
      <c r="F195">
        <v>78705.929999999993</v>
      </c>
      <c r="G195" t="s">
        <v>193</v>
      </c>
      <c r="H195" s="2">
        <v>43409</v>
      </c>
      <c r="I195">
        <v>1</v>
      </c>
      <c r="J195" s="1" t="s">
        <v>204</v>
      </c>
      <c r="K195" s="1" t="s">
        <v>194</v>
      </c>
      <c r="L195">
        <v>6.46</v>
      </c>
      <c r="M195" t="s">
        <v>187</v>
      </c>
    </row>
    <row r="196" spans="1:13" x14ac:dyDescent="0.35">
      <c r="A196" s="1" t="s">
        <v>752</v>
      </c>
      <c r="B196" s="1" t="s">
        <v>753</v>
      </c>
      <c r="C196" s="1" t="s">
        <v>754</v>
      </c>
      <c r="D196" s="1" t="s">
        <v>182</v>
      </c>
      <c r="E196" s="1" t="s">
        <v>222</v>
      </c>
      <c r="F196">
        <v>53535.62</v>
      </c>
      <c r="G196" t="s">
        <v>193</v>
      </c>
      <c r="H196" s="2">
        <v>44110</v>
      </c>
      <c r="I196">
        <v>0.5</v>
      </c>
      <c r="J196" s="1" t="s">
        <v>204</v>
      </c>
      <c r="K196" s="1" t="s">
        <v>194</v>
      </c>
      <c r="L196">
        <v>4.54</v>
      </c>
      <c r="M196" t="s">
        <v>195</v>
      </c>
    </row>
    <row r="197" spans="1:13" x14ac:dyDescent="0.35">
      <c r="A197" s="1" t="s">
        <v>755</v>
      </c>
      <c r="B197" s="1" t="s">
        <v>490</v>
      </c>
      <c r="C197" s="1" t="s">
        <v>491</v>
      </c>
      <c r="D197" s="1" t="s">
        <v>191</v>
      </c>
      <c r="E197" s="1" t="s">
        <v>273</v>
      </c>
      <c r="F197">
        <v>41934.71</v>
      </c>
      <c r="G197" t="s">
        <v>233</v>
      </c>
      <c r="H197" s="2">
        <v>43780</v>
      </c>
      <c r="I197">
        <v>1</v>
      </c>
      <c r="J197" s="1" t="s">
        <v>185</v>
      </c>
      <c r="K197" s="1" t="s">
        <v>186</v>
      </c>
      <c r="L197">
        <v>5.44</v>
      </c>
      <c r="M197" t="s">
        <v>187</v>
      </c>
    </row>
    <row r="198" spans="1:13" x14ac:dyDescent="0.35">
      <c r="A198" s="1" t="s">
        <v>756</v>
      </c>
      <c r="B198" s="1" t="s">
        <v>409</v>
      </c>
      <c r="C198" s="1" t="s">
        <v>757</v>
      </c>
      <c r="D198" s="1" t="s">
        <v>191</v>
      </c>
      <c r="E198" s="1" t="s">
        <v>292</v>
      </c>
      <c r="F198">
        <v>91929.69</v>
      </c>
      <c r="G198" t="s">
        <v>193</v>
      </c>
      <c r="H198" s="2">
        <v>44085</v>
      </c>
      <c r="I198">
        <v>1</v>
      </c>
      <c r="J198" s="1" t="s">
        <v>204</v>
      </c>
      <c r="K198" s="1" t="s">
        <v>186</v>
      </c>
      <c r="L198">
        <v>4.6100000000000003</v>
      </c>
      <c r="M198" t="s">
        <v>187</v>
      </c>
    </row>
    <row r="199" spans="1:13" x14ac:dyDescent="0.35">
      <c r="A199" s="1" t="s">
        <v>758</v>
      </c>
      <c r="B199" s="1" t="s">
        <v>759</v>
      </c>
      <c r="C199" s="1" t="s">
        <v>760</v>
      </c>
      <c r="D199" s="1" t="s">
        <v>182</v>
      </c>
      <c r="E199" s="1" t="s">
        <v>226</v>
      </c>
      <c r="F199">
        <v>62281.24</v>
      </c>
      <c r="G199" t="s">
        <v>193</v>
      </c>
      <c r="H199" s="2">
        <v>43272</v>
      </c>
      <c r="I199">
        <v>1</v>
      </c>
      <c r="J199" s="1" t="s">
        <v>185</v>
      </c>
      <c r="K199" s="1" t="s">
        <v>186</v>
      </c>
      <c r="L199">
        <v>6.83</v>
      </c>
      <c r="M199" t="s">
        <v>187</v>
      </c>
    </row>
    <row r="200" spans="1:13" x14ac:dyDescent="0.35">
      <c r="A200" s="1" t="s">
        <v>761</v>
      </c>
      <c r="B200" s="1" t="s">
        <v>762</v>
      </c>
      <c r="C200" s="1" t="s">
        <v>763</v>
      </c>
      <c r="D200" s="1" t="s">
        <v>182</v>
      </c>
      <c r="E200" s="1" t="s">
        <v>269</v>
      </c>
      <c r="F200">
        <v>57925.91</v>
      </c>
      <c r="G200" t="s">
        <v>193</v>
      </c>
      <c r="H200" s="2">
        <v>43572</v>
      </c>
      <c r="I200">
        <v>0.5</v>
      </c>
      <c r="J200" s="1" t="s">
        <v>185</v>
      </c>
      <c r="K200" s="1" t="s">
        <v>213</v>
      </c>
      <c r="L200">
        <v>6.01</v>
      </c>
      <c r="M200" t="s">
        <v>195</v>
      </c>
    </row>
    <row r="201" spans="1:13" x14ac:dyDescent="0.35">
      <c r="A201" s="1" t="s">
        <v>764</v>
      </c>
      <c r="B201" s="1" t="s">
        <v>765</v>
      </c>
      <c r="C201" s="1" t="s">
        <v>766</v>
      </c>
      <c r="D201" s="1" t="s">
        <v>182</v>
      </c>
      <c r="E201" s="1" t="s">
        <v>212</v>
      </c>
      <c r="F201">
        <v>82239.53</v>
      </c>
      <c r="G201" t="s">
        <v>193</v>
      </c>
      <c r="H201" s="2">
        <v>43846</v>
      </c>
      <c r="I201">
        <v>1</v>
      </c>
      <c r="J201" s="1" t="s">
        <v>244</v>
      </c>
      <c r="K201" s="1" t="s">
        <v>240</v>
      </c>
      <c r="L201">
        <v>5.26</v>
      </c>
      <c r="M201" t="s">
        <v>187</v>
      </c>
    </row>
    <row r="202" spans="1:13" x14ac:dyDescent="0.35">
      <c r="A202" s="1" t="s">
        <v>767</v>
      </c>
      <c r="B202" s="1" t="s">
        <v>768</v>
      </c>
      <c r="C202" s="1" t="s">
        <v>769</v>
      </c>
      <c r="D202" s="1" t="s">
        <v>182</v>
      </c>
      <c r="E202" s="1" t="s">
        <v>212</v>
      </c>
      <c r="F202">
        <v>53184.02</v>
      </c>
      <c r="G202" t="s">
        <v>193</v>
      </c>
      <c r="H202" s="2">
        <v>43180</v>
      </c>
      <c r="I202">
        <v>1</v>
      </c>
      <c r="J202" s="1" t="s">
        <v>204</v>
      </c>
      <c r="K202" s="1" t="s">
        <v>186</v>
      </c>
      <c r="L202">
        <v>7.08</v>
      </c>
      <c r="M202" t="s">
        <v>187</v>
      </c>
    </row>
    <row r="203" spans="1:13" x14ac:dyDescent="0.35">
      <c r="A203" s="1" t="s">
        <v>770</v>
      </c>
      <c r="B203" s="1" t="s">
        <v>771</v>
      </c>
      <c r="C203" s="1" t="s">
        <v>772</v>
      </c>
      <c r="D203" s="1" t="s">
        <v>182</v>
      </c>
      <c r="E203" s="1" t="s">
        <v>269</v>
      </c>
      <c r="F203">
        <v>35936.31</v>
      </c>
      <c r="G203" t="s">
        <v>233</v>
      </c>
      <c r="H203" s="2">
        <v>43241</v>
      </c>
      <c r="I203">
        <v>1</v>
      </c>
      <c r="J203" s="1" t="s">
        <v>185</v>
      </c>
      <c r="K203" s="1" t="s">
        <v>252</v>
      </c>
      <c r="L203">
        <v>6.92</v>
      </c>
      <c r="M203" t="s">
        <v>187</v>
      </c>
    </row>
    <row r="204" spans="1:13" x14ac:dyDescent="0.35">
      <c r="A204" s="1" t="s">
        <v>773</v>
      </c>
      <c r="B204" s="1" t="s">
        <v>774</v>
      </c>
      <c r="C204" s="1" t="s">
        <v>775</v>
      </c>
      <c r="D204" s="1" t="s">
        <v>191</v>
      </c>
      <c r="E204" s="1" t="s">
        <v>199</v>
      </c>
      <c r="F204">
        <v>28305.08</v>
      </c>
      <c r="G204" t="s">
        <v>233</v>
      </c>
      <c r="H204" s="2">
        <v>43754</v>
      </c>
      <c r="I204">
        <v>1</v>
      </c>
      <c r="J204" s="1" t="s">
        <v>185</v>
      </c>
      <c r="K204" s="1" t="s">
        <v>186</v>
      </c>
      <c r="L204">
        <v>5.51</v>
      </c>
      <c r="M204" t="s">
        <v>187</v>
      </c>
    </row>
    <row r="205" spans="1:13" x14ac:dyDescent="0.35">
      <c r="A205" s="1" t="s">
        <v>776</v>
      </c>
      <c r="B205" s="1" t="s">
        <v>777</v>
      </c>
      <c r="C205" s="1" t="s">
        <v>778</v>
      </c>
      <c r="D205" s="1" t="s">
        <v>182</v>
      </c>
      <c r="E205" s="1" t="s">
        <v>299</v>
      </c>
      <c r="F205">
        <v>29774.76</v>
      </c>
      <c r="G205" t="s">
        <v>233</v>
      </c>
      <c r="H205" s="2">
        <v>44105</v>
      </c>
      <c r="I205">
        <v>1</v>
      </c>
      <c r="J205" s="1" t="s">
        <v>185</v>
      </c>
      <c r="K205" s="1" t="s">
        <v>213</v>
      </c>
      <c r="L205">
        <v>4.55</v>
      </c>
      <c r="M205" t="s">
        <v>187</v>
      </c>
    </row>
    <row r="206" spans="1:13" x14ac:dyDescent="0.35">
      <c r="A206" s="1" t="s">
        <v>779</v>
      </c>
      <c r="B206" s="1" t="s">
        <v>780</v>
      </c>
      <c r="C206" s="1" t="s">
        <v>781</v>
      </c>
      <c r="D206" s="1" t="s">
        <v>182</v>
      </c>
      <c r="E206" s="1" t="s">
        <v>269</v>
      </c>
      <c r="F206">
        <v>102515.81</v>
      </c>
      <c r="G206" t="s">
        <v>184</v>
      </c>
      <c r="H206" s="2">
        <v>43902</v>
      </c>
      <c r="I206">
        <v>1</v>
      </c>
      <c r="J206" s="1" t="s">
        <v>204</v>
      </c>
      <c r="K206" s="1" t="s">
        <v>252</v>
      </c>
      <c r="L206">
        <v>5.1100000000000003</v>
      </c>
      <c r="M206" t="s">
        <v>187</v>
      </c>
    </row>
    <row r="207" spans="1:13" x14ac:dyDescent="0.35">
      <c r="A207" s="1" t="s">
        <v>408</v>
      </c>
      <c r="B207" s="1" t="s">
        <v>409</v>
      </c>
      <c r="C207" s="1" t="s">
        <v>410</v>
      </c>
      <c r="D207" s="1" t="s">
        <v>217</v>
      </c>
      <c r="E207" s="1" t="s">
        <v>265</v>
      </c>
      <c r="F207">
        <v>99448.78</v>
      </c>
      <c r="G207" t="s">
        <v>193</v>
      </c>
      <c r="H207" s="2">
        <v>43473</v>
      </c>
      <c r="I207">
        <v>1</v>
      </c>
      <c r="J207" s="1" t="s">
        <v>204</v>
      </c>
      <c r="K207" s="1" t="s">
        <v>213</v>
      </c>
      <c r="L207">
        <v>6.28</v>
      </c>
      <c r="M207" t="s">
        <v>187</v>
      </c>
    </row>
    <row r="208" spans="1:13" x14ac:dyDescent="0.35">
      <c r="A208" s="1" t="s">
        <v>743</v>
      </c>
      <c r="B208" s="1" t="s">
        <v>744</v>
      </c>
      <c r="C208" s="1" t="s">
        <v>745</v>
      </c>
      <c r="D208" s="1" t="s">
        <v>191</v>
      </c>
      <c r="E208" s="1" t="s">
        <v>292</v>
      </c>
      <c r="F208">
        <v>68795.48</v>
      </c>
      <c r="G208" t="s">
        <v>193</v>
      </c>
      <c r="H208" s="2">
        <v>44277</v>
      </c>
      <c r="I208">
        <v>0.2</v>
      </c>
      <c r="J208" s="1" t="s">
        <v>185</v>
      </c>
      <c r="K208" s="1" t="s">
        <v>186</v>
      </c>
      <c r="L208">
        <v>4.08</v>
      </c>
      <c r="M208" t="s">
        <v>195</v>
      </c>
    </row>
    <row r="209" spans="1:13" x14ac:dyDescent="0.35">
      <c r="A209" s="1" t="s">
        <v>474</v>
      </c>
      <c r="B209" s="1" t="s">
        <v>475</v>
      </c>
      <c r="C209" s="1" t="s">
        <v>476</v>
      </c>
      <c r="D209" s="1" t="s">
        <v>191</v>
      </c>
      <c r="E209" s="1" t="s">
        <v>226</v>
      </c>
      <c r="F209">
        <v>99683.67</v>
      </c>
      <c r="G209" t="s">
        <v>193</v>
      </c>
      <c r="H209" s="2">
        <v>43500</v>
      </c>
      <c r="I209">
        <v>1</v>
      </c>
      <c r="J209" s="1" t="s">
        <v>204</v>
      </c>
      <c r="K209" s="1" t="s">
        <v>194</v>
      </c>
      <c r="L209">
        <v>6.21</v>
      </c>
      <c r="M209" t="s">
        <v>187</v>
      </c>
    </row>
    <row r="210" spans="1:13" x14ac:dyDescent="0.35">
      <c r="A210" s="1" t="s">
        <v>782</v>
      </c>
      <c r="B210" s="1" t="s">
        <v>783</v>
      </c>
      <c r="C210" s="1" t="s">
        <v>784</v>
      </c>
      <c r="D210" s="1" t="s">
        <v>182</v>
      </c>
      <c r="E210" s="1" t="s">
        <v>269</v>
      </c>
      <c r="F210">
        <v>38825.18</v>
      </c>
      <c r="G210" t="s">
        <v>233</v>
      </c>
      <c r="H210" s="2">
        <v>43696</v>
      </c>
      <c r="I210">
        <v>1</v>
      </c>
      <c r="J210" s="1" t="s">
        <v>244</v>
      </c>
      <c r="K210" s="1" t="s">
        <v>186</v>
      </c>
      <c r="L210">
        <v>5.67</v>
      </c>
      <c r="M210" t="s">
        <v>187</v>
      </c>
    </row>
    <row r="211" spans="1:13" x14ac:dyDescent="0.35">
      <c r="A211" s="1" t="s">
        <v>785</v>
      </c>
      <c r="B211" s="1" t="s">
        <v>786</v>
      </c>
      <c r="C211" s="1" t="s">
        <v>787</v>
      </c>
      <c r="D211" s="1" t="s">
        <v>191</v>
      </c>
      <c r="E211" s="1" t="s">
        <v>199</v>
      </c>
      <c r="F211">
        <v>71229.42</v>
      </c>
      <c r="G211" t="s">
        <v>193</v>
      </c>
      <c r="H211" s="2">
        <v>44166</v>
      </c>
      <c r="I211">
        <v>1</v>
      </c>
      <c r="J211" s="1" t="s">
        <v>185</v>
      </c>
      <c r="K211" s="1" t="s">
        <v>208</v>
      </c>
      <c r="L211">
        <v>4.38</v>
      </c>
      <c r="M211" t="s">
        <v>187</v>
      </c>
    </row>
    <row r="212" spans="1:13" x14ac:dyDescent="0.35">
      <c r="A212" s="1" t="s">
        <v>788</v>
      </c>
      <c r="B212" s="1" t="s">
        <v>454</v>
      </c>
      <c r="C212" s="1" t="s">
        <v>455</v>
      </c>
      <c r="D212" s="1" t="s">
        <v>191</v>
      </c>
      <c r="E212" s="1" t="s">
        <v>192</v>
      </c>
      <c r="F212">
        <v>80695.740000000005</v>
      </c>
      <c r="G212" t="s">
        <v>193</v>
      </c>
      <c r="H212" s="2">
        <v>43360</v>
      </c>
      <c r="I212">
        <v>1</v>
      </c>
      <c r="J212" s="1" t="s">
        <v>185</v>
      </c>
      <c r="K212" s="1" t="s">
        <v>240</v>
      </c>
      <c r="L212">
        <v>6.59</v>
      </c>
      <c r="M212" t="s">
        <v>187</v>
      </c>
    </row>
    <row r="213" spans="1:13" x14ac:dyDescent="0.35">
      <c r="A213" s="1" t="s">
        <v>789</v>
      </c>
      <c r="B213" s="1" t="s">
        <v>790</v>
      </c>
      <c r="C213" s="1" t="s">
        <v>791</v>
      </c>
      <c r="D213" s="1" t="s">
        <v>191</v>
      </c>
      <c r="E213" s="1" t="s">
        <v>292</v>
      </c>
      <c r="F213">
        <v>72502.61</v>
      </c>
      <c r="G213" t="s">
        <v>193</v>
      </c>
      <c r="H213" s="2">
        <v>44235</v>
      </c>
      <c r="I213">
        <v>1</v>
      </c>
      <c r="J213" s="1" t="s">
        <v>185</v>
      </c>
      <c r="K213" s="1" t="s">
        <v>213</v>
      </c>
      <c r="L213">
        <v>4.1900000000000004</v>
      </c>
      <c r="M213" t="s">
        <v>187</v>
      </c>
    </row>
    <row r="214" spans="1:13" x14ac:dyDescent="0.35">
      <c r="A214" s="1" t="s">
        <v>792</v>
      </c>
      <c r="B214" s="1" t="s">
        <v>793</v>
      </c>
      <c r="C214" s="1" t="s">
        <v>794</v>
      </c>
      <c r="D214" s="1" t="s">
        <v>191</v>
      </c>
      <c r="E214" s="1" t="s">
        <v>292</v>
      </c>
      <c r="F214">
        <v>68197.899999999994</v>
      </c>
      <c r="G214" t="s">
        <v>193</v>
      </c>
      <c r="H214" s="2">
        <v>44119</v>
      </c>
      <c r="I214">
        <v>1</v>
      </c>
      <c r="J214" s="1" t="s">
        <v>185</v>
      </c>
      <c r="K214" s="1" t="s">
        <v>245</v>
      </c>
      <c r="L214">
        <v>4.51</v>
      </c>
      <c r="M214" t="s">
        <v>187</v>
      </c>
    </row>
    <row r="215" spans="1:13" x14ac:dyDescent="0.35">
      <c r="A215" s="1" t="s">
        <v>795</v>
      </c>
      <c r="B215" s="1" t="s">
        <v>418</v>
      </c>
      <c r="C215" s="1" t="s">
        <v>796</v>
      </c>
      <c r="D215" s="1" t="s">
        <v>182</v>
      </c>
      <c r="E215" s="1" t="s">
        <v>292</v>
      </c>
      <c r="F215">
        <v>89960.6</v>
      </c>
      <c r="G215" t="s">
        <v>193</v>
      </c>
      <c r="H215" s="2">
        <v>43515</v>
      </c>
      <c r="I215">
        <v>1</v>
      </c>
      <c r="J215" s="1" t="s">
        <v>204</v>
      </c>
      <c r="K215" s="1" t="s">
        <v>245</v>
      </c>
      <c r="L215">
        <v>6.17</v>
      </c>
      <c r="M215" t="s">
        <v>187</v>
      </c>
    </row>
    <row r="216" spans="1:13" x14ac:dyDescent="0.35">
      <c r="A216" s="1" t="s">
        <v>646</v>
      </c>
      <c r="B216" s="1" t="s">
        <v>797</v>
      </c>
      <c r="C216" s="1" t="s">
        <v>798</v>
      </c>
      <c r="D216" s="1" t="s">
        <v>182</v>
      </c>
      <c r="E216" s="1" t="s">
        <v>299</v>
      </c>
      <c r="F216">
        <v>28481.16</v>
      </c>
      <c r="G216" t="s">
        <v>233</v>
      </c>
      <c r="H216" s="2">
        <v>43916</v>
      </c>
      <c r="I216">
        <v>1</v>
      </c>
      <c r="J216" s="1" t="s">
        <v>185</v>
      </c>
      <c r="K216" s="1" t="s">
        <v>208</v>
      </c>
      <c r="L216">
        <v>5.07</v>
      </c>
      <c r="M216" t="s">
        <v>187</v>
      </c>
    </row>
    <row r="217" spans="1:13" x14ac:dyDescent="0.35">
      <c r="A217" s="1" t="s">
        <v>369</v>
      </c>
      <c r="B217" s="1" t="s">
        <v>799</v>
      </c>
      <c r="C217" s="1" t="s">
        <v>800</v>
      </c>
      <c r="D217" s="1" t="s">
        <v>191</v>
      </c>
      <c r="E217" s="1" t="s">
        <v>203</v>
      </c>
      <c r="F217">
        <v>116767.63</v>
      </c>
      <c r="G217" t="s">
        <v>184</v>
      </c>
      <c r="H217" s="2">
        <v>43949</v>
      </c>
      <c r="I217">
        <v>0.4</v>
      </c>
      <c r="J217" s="1" t="s">
        <v>244</v>
      </c>
      <c r="K217" s="1" t="s">
        <v>252</v>
      </c>
      <c r="L217">
        <v>4.9800000000000004</v>
      </c>
      <c r="M217" t="s">
        <v>195</v>
      </c>
    </row>
    <row r="218" spans="1:13" x14ac:dyDescent="0.35">
      <c r="A218" s="1" t="s">
        <v>801</v>
      </c>
      <c r="B218" s="1" t="s">
        <v>802</v>
      </c>
      <c r="C218" s="1" t="s">
        <v>803</v>
      </c>
      <c r="D218" s="1" t="s">
        <v>182</v>
      </c>
      <c r="E218" s="1" t="s">
        <v>292</v>
      </c>
      <c r="F218">
        <v>80360.41</v>
      </c>
      <c r="G218" t="s">
        <v>193</v>
      </c>
      <c r="H218" s="2">
        <v>44167</v>
      </c>
      <c r="I218">
        <v>1</v>
      </c>
      <c r="J218" s="1" t="s">
        <v>185</v>
      </c>
      <c r="K218" s="1" t="s">
        <v>186</v>
      </c>
      <c r="L218">
        <v>4.38</v>
      </c>
      <c r="M218" t="s">
        <v>187</v>
      </c>
    </row>
    <row r="219" spans="1:13" x14ac:dyDescent="0.35">
      <c r="A219" s="1" t="s">
        <v>804</v>
      </c>
      <c r="B219" s="1" t="s">
        <v>805</v>
      </c>
      <c r="C219" s="1" t="s">
        <v>806</v>
      </c>
      <c r="D219" s="1" t="s">
        <v>191</v>
      </c>
      <c r="E219" s="1" t="s">
        <v>273</v>
      </c>
      <c r="F219">
        <v>77045.440000000002</v>
      </c>
      <c r="G219" t="s">
        <v>193</v>
      </c>
      <c r="H219" s="2">
        <v>43636</v>
      </c>
      <c r="I219">
        <v>1</v>
      </c>
      <c r="J219" s="1" t="s">
        <v>185</v>
      </c>
      <c r="K219" s="1" t="s">
        <v>186</v>
      </c>
      <c r="L219">
        <v>5.84</v>
      </c>
      <c r="M219" t="s">
        <v>187</v>
      </c>
    </row>
    <row r="220" spans="1:13" x14ac:dyDescent="0.35">
      <c r="A220" s="1" t="s">
        <v>807</v>
      </c>
      <c r="B220" s="1" t="s">
        <v>808</v>
      </c>
      <c r="C220" s="1" t="s">
        <v>809</v>
      </c>
      <c r="D220" s="1" t="s">
        <v>191</v>
      </c>
      <c r="E220" s="1" t="s">
        <v>203</v>
      </c>
      <c r="F220">
        <v>96135.75</v>
      </c>
      <c r="G220" t="s">
        <v>193</v>
      </c>
      <c r="H220" s="2">
        <v>44025</v>
      </c>
      <c r="I220">
        <v>0.3</v>
      </c>
      <c r="J220" s="1" t="s">
        <v>185</v>
      </c>
      <c r="K220" s="1" t="s">
        <v>213</v>
      </c>
      <c r="L220">
        <v>4.7699999999999996</v>
      </c>
      <c r="M220" t="s">
        <v>195</v>
      </c>
    </row>
    <row r="221" spans="1:13" x14ac:dyDescent="0.35">
      <c r="A221" s="1" t="s">
        <v>810</v>
      </c>
      <c r="B221" s="1" t="s">
        <v>811</v>
      </c>
      <c r="C221" s="1" t="s">
        <v>812</v>
      </c>
      <c r="D221" s="1" t="s">
        <v>191</v>
      </c>
      <c r="E221" s="1" t="s">
        <v>273</v>
      </c>
      <c r="F221">
        <v>102129.37</v>
      </c>
      <c r="G221" t="s">
        <v>184</v>
      </c>
      <c r="H221" s="2">
        <v>44396</v>
      </c>
      <c r="I221">
        <v>1</v>
      </c>
      <c r="J221" s="1" t="s">
        <v>185</v>
      </c>
      <c r="K221" s="1" t="s">
        <v>240</v>
      </c>
      <c r="L221">
        <v>3.75</v>
      </c>
      <c r="M221" t="s">
        <v>187</v>
      </c>
    </row>
    <row r="222" spans="1:13" x14ac:dyDescent="0.35">
      <c r="A222" s="1" t="s">
        <v>813</v>
      </c>
      <c r="B222" s="1" t="s">
        <v>814</v>
      </c>
      <c r="C222" s="1" t="s">
        <v>815</v>
      </c>
      <c r="D222" s="1" t="s">
        <v>191</v>
      </c>
      <c r="E222" s="1" t="s">
        <v>203</v>
      </c>
      <c r="F222">
        <v>99965.97</v>
      </c>
      <c r="G222" t="s">
        <v>193</v>
      </c>
      <c r="H222" s="2">
        <v>43133</v>
      </c>
      <c r="I222">
        <v>1</v>
      </c>
      <c r="J222" s="1" t="s">
        <v>185</v>
      </c>
      <c r="K222" s="1" t="s">
        <v>186</v>
      </c>
      <c r="L222">
        <v>7.21</v>
      </c>
      <c r="M222" t="s">
        <v>187</v>
      </c>
    </row>
    <row r="223" spans="1:13" x14ac:dyDescent="0.35">
      <c r="A223" s="1" t="s">
        <v>816</v>
      </c>
      <c r="B223" s="1" t="s">
        <v>817</v>
      </c>
      <c r="C223" s="1" t="s">
        <v>818</v>
      </c>
      <c r="D223" s="1" t="s">
        <v>191</v>
      </c>
      <c r="E223" s="1" t="s">
        <v>292</v>
      </c>
      <c r="F223">
        <v>49625.64</v>
      </c>
      <c r="G223" t="s">
        <v>233</v>
      </c>
      <c r="H223" s="2">
        <v>44384</v>
      </c>
      <c r="I223">
        <v>0.5</v>
      </c>
      <c r="J223" s="1" t="s">
        <v>204</v>
      </c>
      <c r="K223" s="1" t="s">
        <v>186</v>
      </c>
      <c r="L223">
        <v>3.79</v>
      </c>
      <c r="M223" t="s">
        <v>195</v>
      </c>
    </row>
    <row r="224" spans="1:13" x14ac:dyDescent="0.35">
      <c r="A224" s="1" t="s">
        <v>819</v>
      </c>
      <c r="B224" s="1" t="s">
        <v>820</v>
      </c>
      <c r="C224" s="1" t="s">
        <v>821</v>
      </c>
      <c r="D224" s="1" t="s">
        <v>191</v>
      </c>
      <c r="E224" s="1" t="s">
        <v>212</v>
      </c>
      <c r="F224">
        <v>94815.28</v>
      </c>
      <c r="G224" t="s">
        <v>193</v>
      </c>
      <c r="H224" s="2">
        <v>43440</v>
      </c>
      <c r="I224">
        <v>1</v>
      </c>
      <c r="J224" s="1" t="s">
        <v>185</v>
      </c>
      <c r="K224" s="1" t="s">
        <v>194</v>
      </c>
      <c r="L224">
        <v>6.37</v>
      </c>
      <c r="M224" t="s">
        <v>187</v>
      </c>
    </row>
    <row r="225" spans="1:13" x14ac:dyDescent="0.35">
      <c r="A225" s="1" t="s">
        <v>822</v>
      </c>
      <c r="B225" s="1" t="s">
        <v>823</v>
      </c>
      <c r="C225" s="1" t="s">
        <v>824</v>
      </c>
      <c r="D225" s="1" t="s">
        <v>182</v>
      </c>
      <c r="E225" s="1" t="s">
        <v>218</v>
      </c>
      <c r="F225">
        <v>36714.379999999997</v>
      </c>
      <c r="G225" t="s">
        <v>233</v>
      </c>
      <c r="H225" s="2">
        <v>44175</v>
      </c>
      <c r="I225">
        <v>1</v>
      </c>
      <c r="J225" s="1" t="s">
        <v>185</v>
      </c>
      <c r="K225" s="1" t="s">
        <v>252</v>
      </c>
      <c r="L225">
        <v>4.3600000000000003</v>
      </c>
      <c r="M225" t="s">
        <v>187</v>
      </c>
    </row>
    <row r="226" spans="1:13" x14ac:dyDescent="0.35">
      <c r="A226" s="1" t="s">
        <v>825</v>
      </c>
      <c r="B226" s="1" t="s">
        <v>826</v>
      </c>
      <c r="C226" s="1" t="s">
        <v>827</v>
      </c>
      <c r="D226" s="1" t="s">
        <v>191</v>
      </c>
      <c r="E226" s="1" t="s">
        <v>222</v>
      </c>
      <c r="F226">
        <v>67905.8</v>
      </c>
      <c r="G226" t="s">
        <v>193</v>
      </c>
      <c r="H226" s="2">
        <v>44194</v>
      </c>
      <c r="I226">
        <v>1</v>
      </c>
      <c r="J226" s="1" t="s">
        <v>185</v>
      </c>
      <c r="K226" s="1" t="s">
        <v>186</v>
      </c>
      <c r="L226">
        <v>4.3099999999999996</v>
      </c>
      <c r="M226" t="s">
        <v>187</v>
      </c>
    </row>
    <row r="227" spans="1:13" x14ac:dyDescent="0.35">
      <c r="A227" s="1" t="s">
        <v>828</v>
      </c>
      <c r="B227" s="1" t="s">
        <v>829</v>
      </c>
      <c r="C227" s="1" t="s">
        <v>830</v>
      </c>
      <c r="D227" s="1" t="s">
        <v>182</v>
      </c>
      <c r="E227" s="1" t="s">
        <v>265</v>
      </c>
      <c r="F227">
        <v>69862.38</v>
      </c>
      <c r="G227" t="s">
        <v>193</v>
      </c>
      <c r="H227" s="2">
        <v>43458</v>
      </c>
      <c r="I227">
        <v>1</v>
      </c>
      <c r="J227" s="1" t="s">
        <v>185</v>
      </c>
      <c r="K227" s="1" t="s">
        <v>213</v>
      </c>
      <c r="L227">
        <v>6.32</v>
      </c>
      <c r="M227" t="s">
        <v>187</v>
      </c>
    </row>
    <row r="228" spans="1:13" x14ac:dyDescent="0.35">
      <c r="A228" s="1" t="s">
        <v>569</v>
      </c>
      <c r="B228" s="1" t="s">
        <v>570</v>
      </c>
      <c r="C228" s="1" t="s">
        <v>571</v>
      </c>
      <c r="D228" s="1" t="s">
        <v>182</v>
      </c>
      <c r="E228" s="1" t="s">
        <v>269</v>
      </c>
      <c r="F228">
        <v>36547.58</v>
      </c>
      <c r="G228" t="s">
        <v>233</v>
      </c>
      <c r="H228" s="2">
        <v>43416</v>
      </c>
      <c r="I228">
        <v>1</v>
      </c>
      <c r="J228" s="1" t="s">
        <v>185</v>
      </c>
      <c r="K228" s="1" t="s">
        <v>186</v>
      </c>
      <c r="L228">
        <v>6.44</v>
      </c>
      <c r="M228" t="s">
        <v>187</v>
      </c>
    </row>
    <row r="229" spans="1:13" x14ac:dyDescent="0.35">
      <c r="A229" s="1" t="s">
        <v>831</v>
      </c>
      <c r="B229" s="1" t="s">
        <v>832</v>
      </c>
      <c r="C229" s="1" t="s">
        <v>833</v>
      </c>
      <c r="D229" s="1" t="s">
        <v>182</v>
      </c>
      <c r="E229" s="1" t="s">
        <v>192</v>
      </c>
      <c r="F229">
        <v>106400.02</v>
      </c>
      <c r="G229" t="s">
        <v>184</v>
      </c>
      <c r="H229" s="2">
        <v>44021</v>
      </c>
      <c r="I229">
        <v>1</v>
      </c>
      <c r="J229" s="1" t="s">
        <v>244</v>
      </c>
      <c r="K229" s="1" t="s">
        <v>252</v>
      </c>
      <c r="L229">
        <v>4.78</v>
      </c>
      <c r="M229" t="s">
        <v>187</v>
      </c>
    </row>
    <row r="230" spans="1:13" x14ac:dyDescent="0.35">
      <c r="A230" s="1" t="s">
        <v>834</v>
      </c>
      <c r="B230" s="1" t="s">
        <v>835</v>
      </c>
      <c r="C230" s="1" t="s">
        <v>836</v>
      </c>
      <c r="D230" s="1" t="s">
        <v>182</v>
      </c>
      <c r="E230" s="1" t="s">
        <v>265</v>
      </c>
      <c r="F230">
        <v>103494.94</v>
      </c>
      <c r="G230" t="s">
        <v>184</v>
      </c>
      <c r="H230" s="2">
        <v>43256</v>
      </c>
      <c r="I230">
        <v>1</v>
      </c>
      <c r="J230" s="1" t="s">
        <v>185</v>
      </c>
      <c r="K230" s="1" t="s">
        <v>186</v>
      </c>
      <c r="L230">
        <v>6.88</v>
      </c>
      <c r="M230" t="s">
        <v>187</v>
      </c>
    </row>
    <row r="231" spans="1:13" x14ac:dyDescent="0.35">
      <c r="A231" s="1" t="s">
        <v>672</v>
      </c>
      <c r="B231" s="1" t="s">
        <v>673</v>
      </c>
      <c r="C231" s="1" t="s">
        <v>674</v>
      </c>
      <c r="D231" s="1" t="s">
        <v>182</v>
      </c>
      <c r="E231" s="1" t="s">
        <v>273</v>
      </c>
      <c r="F231">
        <v>96753.78</v>
      </c>
      <c r="G231" t="s">
        <v>193</v>
      </c>
      <c r="H231" s="2">
        <v>44494</v>
      </c>
      <c r="I231">
        <v>1</v>
      </c>
      <c r="J231" s="1" t="s">
        <v>185</v>
      </c>
      <c r="K231" s="1" t="s">
        <v>245</v>
      </c>
      <c r="L231">
        <v>3.48</v>
      </c>
      <c r="M231" t="s">
        <v>187</v>
      </c>
    </row>
    <row r="232" spans="1:13" x14ac:dyDescent="0.35">
      <c r="A232" s="1" t="s">
        <v>788</v>
      </c>
      <c r="B232" s="1" t="s">
        <v>454</v>
      </c>
      <c r="C232" s="1" t="s">
        <v>455</v>
      </c>
      <c r="D232" s="1" t="s">
        <v>191</v>
      </c>
      <c r="E232" s="1" t="s">
        <v>192</v>
      </c>
      <c r="F232">
        <v>80695.740000000005</v>
      </c>
      <c r="G232" t="s">
        <v>193</v>
      </c>
      <c r="H232" s="2">
        <v>43360</v>
      </c>
      <c r="I232">
        <v>1</v>
      </c>
      <c r="J232" s="1" t="s">
        <v>185</v>
      </c>
      <c r="K232" s="1" t="s">
        <v>240</v>
      </c>
      <c r="L232">
        <v>6.59</v>
      </c>
      <c r="M232" t="s">
        <v>187</v>
      </c>
    </row>
    <row r="233" spans="1:13" x14ac:dyDescent="0.35">
      <c r="A233" s="1" t="s">
        <v>837</v>
      </c>
      <c r="B233" s="1" t="s">
        <v>838</v>
      </c>
      <c r="C233" s="1" t="s">
        <v>839</v>
      </c>
      <c r="D233" s="1" t="s">
        <v>191</v>
      </c>
      <c r="E233" s="1" t="s">
        <v>299</v>
      </c>
      <c r="F233">
        <v>61213.01</v>
      </c>
      <c r="G233" t="s">
        <v>193</v>
      </c>
      <c r="H233" s="2">
        <v>44365</v>
      </c>
      <c r="I233">
        <v>1</v>
      </c>
      <c r="J233" s="1" t="s">
        <v>185</v>
      </c>
      <c r="K233" s="1" t="s">
        <v>252</v>
      </c>
      <c r="L233">
        <v>3.84</v>
      </c>
      <c r="M233" t="s">
        <v>187</v>
      </c>
    </row>
    <row r="234" spans="1:13" x14ac:dyDescent="0.35">
      <c r="A234" s="1" t="s">
        <v>840</v>
      </c>
      <c r="B234" s="1" t="s">
        <v>841</v>
      </c>
      <c r="C234" s="1" t="s">
        <v>842</v>
      </c>
      <c r="D234" s="1" t="s">
        <v>182</v>
      </c>
      <c r="E234" s="1" t="s">
        <v>226</v>
      </c>
      <c r="F234">
        <v>69709.509999999995</v>
      </c>
      <c r="G234" t="s">
        <v>193</v>
      </c>
      <c r="H234" s="2">
        <v>43472</v>
      </c>
      <c r="I234">
        <v>1</v>
      </c>
      <c r="J234" s="1" t="s">
        <v>185</v>
      </c>
      <c r="K234" s="1" t="s">
        <v>208</v>
      </c>
      <c r="L234">
        <v>6.28</v>
      </c>
      <c r="M234" t="s">
        <v>187</v>
      </c>
    </row>
    <row r="235" spans="1:13" x14ac:dyDescent="0.35">
      <c r="A235" s="1" t="s">
        <v>843</v>
      </c>
      <c r="B235" s="1" t="s">
        <v>844</v>
      </c>
      <c r="C235" s="1" t="s">
        <v>845</v>
      </c>
      <c r="D235" s="1" t="s">
        <v>191</v>
      </c>
      <c r="E235" s="1" t="s">
        <v>226</v>
      </c>
      <c r="F235">
        <v>46751.7</v>
      </c>
      <c r="G235" t="s">
        <v>233</v>
      </c>
      <c r="H235" s="2">
        <v>43843</v>
      </c>
      <c r="I235">
        <v>1</v>
      </c>
      <c r="J235" s="1" t="s">
        <v>204</v>
      </c>
      <c r="K235" s="1" t="s">
        <v>208</v>
      </c>
      <c r="L235">
        <v>5.27</v>
      </c>
      <c r="M235" t="s">
        <v>187</v>
      </c>
    </row>
    <row r="236" spans="1:13" x14ac:dyDescent="0.35">
      <c r="A236" s="1" t="s">
        <v>846</v>
      </c>
      <c r="B236" s="1" t="s">
        <v>847</v>
      </c>
      <c r="C236" s="1" t="s">
        <v>848</v>
      </c>
      <c r="D236" s="1" t="s">
        <v>182</v>
      </c>
      <c r="E236" s="1" t="s">
        <v>199</v>
      </c>
      <c r="F236">
        <v>77096.05</v>
      </c>
      <c r="G236" t="s">
        <v>193</v>
      </c>
      <c r="H236" s="2">
        <v>43217</v>
      </c>
      <c r="I236">
        <v>1</v>
      </c>
      <c r="J236" s="1" t="s">
        <v>185</v>
      </c>
      <c r="K236" s="1" t="s">
        <v>252</v>
      </c>
      <c r="L236">
        <v>6.98</v>
      </c>
      <c r="M236" t="s">
        <v>187</v>
      </c>
    </row>
    <row r="237" spans="1:13" x14ac:dyDescent="0.35">
      <c r="A237" s="1" t="s">
        <v>348</v>
      </c>
      <c r="B237" s="1" t="s">
        <v>349</v>
      </c>
      <c r="C237" s="1" t="s">
        <v>350</v>
      </c>
      <c r="D237" s="1" t="s">
        <v>191</v>
      </c>
      <c r="E237" s="1" t="s">
        <v>292</v>
      </c>
      <c r="F237">
        <v>67818.14</v>
      </c>
      <c r="G237" t="s">
        <v>193</v>
      </c>
      <c r="H237" s="2">
        <v>43406</v>
      </c>
      <c r="I237">
        <v>0.6</v>
      </c>
      <c r="J237" s="1" t="s">
        <v>204</v>
      </c>
      <c r="K237" s="1" t="s">
        <v>186</v>
      </c>
      <c r="L237">
        <v>6.47</v>
      </c>
      <c r="M237" t="s">
        <v>195</v>
      </c>
    </row>
    <row r="238" spans="1:13" x14ac:dyDescent="0.35">
      <c r="A238" s="1" t="s">
        <v>849</v>
      </c>
      <c r="B238" s="1" t="s">
        <v>850</v>
      </c>
      <c r="C238" s="1" t="s">
        <v>851</v>
      </c>
      <c r="D238" s="1" t="s">
        <v>182</v>
      </c>
      <c r="E238" s="1" t="s">
        <v>292</v>
      </c>
      <c r="F238">
        <v>77743.149999999994</v>
      </c>
      <c r="G238" t="s">
        <v>193</v>
      </c>
      <c r="H238" s="2">
        <v>43920</v>
      </c>
      <c r="I238">
        <v>1</v>
      </c>
      <c r="J238" s="1" t="s">
        <v>185</v>
      </c>
      <c r="K238" s="1" t="s">
        <v>252</v>
      </c>
      <c r="L238">
        <v>5.0599999999999996</v>
      </c>
      <c r="M238" t="s">
        <v>187</v>
      </c>
    </row>
    <row r="239" spans="1:13" x14ac:dyDescent="0.35">
      <c r="A239" s="1" t="s">
        <v>852</v>
      </c>
      <c r="B239" s="1" t="s">
        <v>853</v>
      </c>
      <c r="C239" s="1" t="s">
        <v>854</v>
      </c>
      <c r="D239" s="1" t="s">
        <v>182</v>
      </c>
      <c r="E239" s="1" t="s">
        <v>265</v>
      </c>
      <c r="F239">
        <v>48525.71</v>
      </c>
      <c r="G239" t="s">
        <v>233</v>
      </c>
      <c r="H239" s="2">
        <v>43264</v>
      </c>
      <c r="I239">
        <v>1</v>
      </c>
      <c r="J239" s="1" t="s">
        <v>185</v>
      </c>
      <c r="K239" s="1" t="s">
        <v>208</v>
      </c>
      <c r="L239">
        <v>6.85</v>
      </c>
      <c r="M239" t="s">
        <v>187</v>
      </c>
    </row>
    <row r="240" spans="1:13" x14ac:dyDescent="0.35">
      <c r="A240" s="1" t="s">
        <v>834</v>
      </c>
      <c r="B240" s="1" t="s">
        <v>835</v>
      </c>
      <c r="C240" s="1" t="s">
        <v>836</v>
      </c>
      <c r="D240" s="1" t="s">
        <v>182</v>
      </c>
      <c r="E240" s="1" t="s">
        <v>265</v>
      </c>
      <c r="F240">
        <v>103494.94</v>
      </c>
      <c r="G240" t="s">
        <v>184</v>
      </c>
      <c r="H240" s="2">
        <v>43256</v>
      </c>
      <c r="I240">
        <v>1</v>
      </c>
      <c r="J240" s="1" t="s">
        <v>185</v>
      </c>
      <c r="K240" s="1" t="s">
        <v>186</v>
      </c>
      <c r="L240">
        <v>6.88</v>
      </c>
      <c r="M240" t="s">
        <v>187</v>
      </c>
    </row>
    <row r="241" spans="1:13" x14ac:dyDescent="0.35">
      <c r="A241" s="1" t="s">
        <v>831</v>
      </c>
      <c r="B241" s="1" t="s">
        <v>855</v>
      </c>
      <c r="C241" s="1" t="s">
        <v>856</v>
      </c>
      <c r="D241" s="1" t="s">
        <v>182</v>
      </c>
      <c r="E241" s="1" t="s">
        <v>192</v>
      </c>
      <c r="F241">
        <v>106400.02</v>
      </c>
      <c r="G241" t="s">
        <v>184</v>
      </c>
      <c r="H241" s="2">
        <v>44021</v>
      </c>
      <c r="I241">
        <v>1</v>
      </c>
      <c r="J241" s="1" t="s">
        <v>244</v>
      </c>
      <c r="K241" s="1" t="s">
        <v>252</v>
      </c>
      <c r="L241">
        <v>4.78</v>
      </c>
      <c r="M241" t="s">
        <v>187</v>
      </c>
    </row>
    <row r="242" spans="1:13" x14ac:dyDescent="0.35">
      <c r="A242" s="1" t="s">
        <v>857</v>
      </c>
      <c r="B242" s="1" t="s">
        <v>858</v>
      </c>
      <c r="C242" s="1" t="s">
        <v>859</v>
      </c>
      <c r="D242" s="1" t="s">
        <v>182</v>
      </c>
      <c r="E242" s="1" t="s">
        <v>265</v>
      </c>
      <c r="F242">
        <v>65569.36</v>
      </c>
      <c r="G242" t="s">
        <v>193</v>
      </c>
      <c r="H242" s="2">
        <v>43293</v>
      </c>
      <c r="I242">
        <v>1</v>
      </c>
      <c r="J242" s="1" t="s">
        <v>204</v>
      </c>
      <c r="K242" s="1" t="s">
        <v>245</v>
      </c>
      <c r="L242">
        <v>6.78</v>
      </c>
      <c r="M242" t="s">
        <v>187</v>
      </c>
    </row>
    <row r="243" spans="1:13" x14ac:dyDescent="0.35">
      <c r="A243" s="1" t="s">
        <v>590</v>
      </c>
      <c r="B243" s="1" t="s">
        <v>860</v>
      </c>
      <c r="C243" s="1" t="s">
        <v>861</v>
      </c>
      <c r="D243" s="1" t="s">
        <v>182</v>
      </c>
      <c r="E243" s="1" t="s">
        <v>292</v>
      </c>
      <c r="F243">
        <v>40445.29</v>
      </c>
      <c r="G243" t="s">
        <v>233</v>
      </c>
      <c r="H243" s="2">
        <v>44393</v>
      </c>
      <c r="I243">
        <v>1</v>
      </c>
      <c r="J243" s="1" t="s">
        <v>185</v>
      </c>
      <c r="K243" s="1" t="s">
        <v>252</v>
      </c>
      <c r="L243">
        <v>3.76</v>
      </c>
      <c r="M243" t="s">
        <v>187</v>
      </c>
    </row>
    <row r="244" spans="1:13" x14ac:dyDescent="0.35">
      <c r="A244" s="1" t="s">
        <v>862</v>
      </c>
      <c r="B244" s="1" t="s">
        <v>863</v>
      </c>
      <c r="C244" s="1" t="s">
        <v>864</v>
      </c>
      <c r="D244" s="1" t="s">
        <v>182</v>
      </c>
      <c r="E244" s="1" t="s">
        <v>212</v>
      </c>
      <c r="F244">
        <v>0</v>
      </c>
      <c r="G244" t="s">
        <v>233</v>
      </c>
      <c r="H244" s="2">
        <v>44207</v>
      </c>
      <c r="I244">
        <v>0.7</v>
      </c>
      <c r="J244" s="1" t="s">
        <v>185</v>
      </c>
      <c r="K244" s="1" t="s">
        <v>194</v>
      </c>
      <c r="L244">
        <v>4.2699999999999996</v>
      </c>
      <c r="M244" t="s">
        <v>195</v>
      </c>
    </row>
    <row r="245" spans="1:13" x14ac:dyDescent="0.35">
      <c r="A245" s="1" t="s">
        <v>865</v>
      </c>
      <c r="B245" s="1" t="s">
        <v>866</v>
      </c>
      <c r="C245" s="1" t="s">
        <v>867</v>
      </c>
      <c r="D245" s="1" t="s">
        <v>191</v>
      </c>
      <c r="E245" s="1" t="s">
        <v>183</v>
      </c>
      <c r="F245">
        <v>114772.32</v>
      </c>
      <c r="G245" t="s">
        <v>184</v>
      </c>
      <c r="H245" s="2">
        <v>44251</v>
      </c>
      <c r="I245">
        <v>1</v>
      </c>
      <c r="J245" s="1" t="s">
        <v>185</v>
      </c>
      <c r="K245" s="1" t="s">
        <v>240</v>
      </c>
      <c r="L245">
        <v>4.1500000000000004</v>
      </c>
      <c r="M245" t="s">
        <v>187</v>
      </c>
    </row>
    <row r="246" spans="1:13" x14ac:dyDescent="0.35">
      <c r="A246" s="1" t="s">
        <v>868</v>
      </c>
      <c r="B246" s="1" t="s">
        <v>869</v>
      </c>
      <c r="C246" s="1" t="s">
        <v>870</v>
      </c>
      <c r="D246" s="1" t="s">
        <v>191</v>
      </c>
      <c r="E246" s="1" t="s">
        <v>203</v>
      </c>
      <c r="F246">
        <v>56253.81</v>
      </c>
      <c r="G246" t="s">
        <v>193</v>
      </c>
      <c r="H246" s="2">
        <v>44421</v>
      </c>
      <c r="I246">
        <v>1</v>
      </c>
      <c r="J246" s="1" t="s">
        <v>185</v>
      </c>
      <c r="K246" s="1" t="s">
        <v>245</v>
      </c>
      <c r="L246">
        <v>3.68</v>
      </c>
      <c r="M246" t="s">
        <v>187</v>
      </c>
    </row>
    <row r="247" spans="1:13" x14ac:dyDescent="0.35">
      <c r="A247" s="1" t="s">
        <v>871</v>
      </c>
      <c r="B247" s="1" t="s">
        <v>872</v>
      </c>
      <c r="C247" s="1" t="s">
        <v>873</v>
      </c>
      <c r="D247" s="1" t="s">
        <v>191</v>
      </c>
      <c r="E247" s="1" t="s">
        <v>292</v>
      </c>
      <c r="F247">
        <v>51798.25</v>
      </c>
      <c r="G247" t="s">
        <v>193</v>
      </c>
      <c r="H247" s="2">
        <v>43665</v>
      </c>
      <c r="I247">
        <v>1</v>
      </c>
      <c r="J247" s="1" t="s">
        <v>185</v>
      </c>
      <c r="K247" s="1" t="s">
        <v>208</v>
      </c>
      <c r="L247">
        <v>5.76</v>
      </c>
      <c r="M247" t="s">
        <v>187</v>
      </c>
    </row>
    <row r="248" spans="1:13" x14ac:dyDescent="0.35">
      <c r="A248" s="1" t="s">
        <v>874</v>
      </c>
      <c r="B248" s="1" t="s">
        <v>875</v>
      </c>
      <c r="C248" s="1" t="s">
        <v>876</v>
      </c>
      <c r="D248" s="1" t="s">
        <v>182</v>
      </c>
      <c r="E248" s="1" t="s">
        <v>265</v>
      </c>
      <c r="F248">
        <v>28329.77</v>
      </c>
      <c r="G248" t="s">
        <v>233</v>
      </c>
      <c r="H248" s="2">
        <v>43402</v>
      </c>
      <c r="I248">
        <v>1</v>
      </c>
      <c r="J248" s="1" t="s">
        <v>185</v>
      </c>
      <c r="K248" s="1" t="s">
        <v>194</v>
      </c>
      <c r="L248">
        <v>6.48</v>
      </c>
      <c r="M248" t="s">
        <v>187</v>
      </c>
    </row>
    <row r="249" spans="1:13" x14ac:dyDescent="0.35">
      <c r="A249" s="1" t="s">
        <v>877</v>
      </c>
      <c r="B249" s="1" t="s">
        <v>878</v>
      </c>
      <c r="C249" s="1" t="s">
        <v>879</v>
      </c>
      <c r="D249" s="1" t="s">
        <v>191</v>
      </c>
      <c r="E249" s="1" t="s">
        <v>203</v>
      </c>
      <c r="F249">
        <v>93964.3</v>
      </c>
      <c r="G249" t="s">
        <v>193</v>
      </c>
      <c r="H249" s="2">
        <v>44454</v>
      </c>
      <c r="I249">
        <v>0.4</v>
      </c>
      <c r="J249" s="1" t="s">
        <v>204</v>
      </c>
      <c r="K249" s="1" t="s">
        <v>208</v>
      </c>
      <c r="L249">
        <v>3.59</v>
      </c>
      <c r="M249" t="s">
        <v>195</v>
      </c>
    </row>
    <row r="250" spans="1:13" x14ac:dyDescent="0.35">
      <c r="A250" s="1" t="s">
        <v>880</v>
      </c>
      <c r="B250" s="1" t="s">
        <v>301</v>
      </c>
      <c r="C250" s="1" t="s">
        <v>302</v>
      </c>
      <c r="D250" s="1" t="s">
        <v>182</v>
      </c>
      <c r="E250" s="1" t="s">
        <v>192</v>
      </c>
      <c r="F250">
        <v>90884.32</v>
      </c>
      <c r="G250" t="s">
        <v>193</v>
      </c>
      <c r="H250" s="2">
        <v>44039</v>
      </c>
      <c r="I250">
        <v>0.5</v>
      </c>
      <c r="J250" s="1" t="s">
        <v>185</v>
      </c>
      <c r="K250" s="1" t="s">
        <v>240</v>
      </c>
      <c r="L250">
        <v>4.7300000000000004</v>
      </c>
      <c r="M250" t="s">
        <v>195</v>
      </c>
    </row>
    <row r="251" spans="1:13" x14ac:dyDescent="0.35">
      <c r="A251" s="1" t="s">
        <v>881</v>
      </c>
      <c r="B251" s="1" t="s">
        <v>882</v>
      </c>
      <c r="C251" s="1" t="s">
        <v>883</v>
      </c>
      <c r="D251" s="1" t="s">
        <v>182</v>
      </c>
      <c r="E251" s="1" t="s">
        <v>199</v>
      </c>
      <c r="F251">
        <v>84742.86</v>
      </c>
      <c r="G251" t="s">
        <v>193</v>
      </c>
      <c r="H251" s="2">
        <v>44098</v>
      </c>
      <c r="I251">
        <v>1</v>
      </c>
      <c r="J251" s="1" t="s">
        <v>185</v>
      </c>
      <c r="K251" s="1" t="s">
        <v>245</v>
      </c>
      <c r="L251">
        <v>4.57</v>
      </c>
      <c r="M251" t="s">
        <v>187</v>
      </c>
    </row>
    <row r="252" spans="1:13" x14ac:dyDescent="0.35">
      <c r="A252" s="1" t="s">
        <v>884</v>
      </c>
      <c r="B252" s="1" t="s">
        <v>885</v>
      </c>
      <c r="C252" s="1" t="s">
        <v>886</v>
      </c>
      <c r="D252" s="1" t="s">
        <v>182</v>
      </c>
      <c r="E252" s="1" t="s">
        <v>273</v>
      </c>
      <c r="F252">
        <v>80772.92</v>
      </c>
      <c r="G252" t="s">
        <v>193</v>
      </c>
      <c r="H252" s="2">
        <v>44137</v>
      </c>
      <c r="I252">
        <v>1</v>
      </c>
      <c r="J252" s="1" t="s">
        <v>244</v>
      </c>
      <c r="K252" s="1" t="s">
        <v>186</v>
      </c>
      <c r="L252">
        <v>4.46</v>
      </c>
      <c r="M252" t="s">
        <v>187</v>
      </c>
    </row>
    <row r="253" spans="1:13" x14ac:dyDescent="0.35">
      <c r="A253" s="1" t="s">
        <v>887</v>
      </c>
      <c r="B253" s="1" t="s">
        <v>888</v>
      </c>
      <c r="C253" s="1" t="s">
        <v>889</v>
      </c>
      <c r="D253" s="1" t="s">
        <v>191</v>
      </c>
      <c r="E253" s="1" t="s">
        <v>265</v>
      </c>
      <c r="F253">
        <v>85264.38</v>
      </c>
      <c r="G253" t="s">
        <v>193</v>
      </c>
      <c r="H253" s="2">
        <v>43220</v>
      </c>
      <c r="I253">
        <v>1</v>
      </c>
      <c r="J253" s="1" t="s">
        <v>185</v>
      </c>
      <c r="K253" s="1" t="s">
        <v>252</v>
      </c>
      <c r="L253">
        <v>6.98</v>
      </c>
      <c r="M253" t="s">
        <v>187</v>
      </c>
    </row>
    <row r="254" spans="1:13" x14ac:dyDescent="0.35">
      <c r="A254" s="1" t="s">
        <v>414</v>
      </c>
      <c r="B254" s="1" t="s">
        <v>415</v>
      </c>
      <c r="C254" s="1" t="s">
        <v>416</v>
      </c>
      <c r="D254" s="1" t="s">
        <v>182</v>
      </c>
      <c r="E254" s="1" t="s">
        <v>299</v>
      </c>
      <c r="F254">
        <v>113747.56</v>
      </c>
      <c r="G254" t="s">
        <v>184</v>
      </c>
      <c r="H254" s="2">
        <v>44270</v>
      </c>
      <c r="I254">
        <v>0.7</v>
      </c>
      <c r="J254" s="1" t="s">
        <v>244</v>
      </c>
      <c r="K254" s="1" t="s">
        <v>240</v>
      </c>
      <c r="L254">
        <v>4.0999999999999996</v>
      </c>
      <c r="M254" t="s">
        <v>195</v>
      </c>
    </row>
    <row r="255" spans="1:13" x14ac:dyDescent="0.35">
      <c r="A255" s="1" t="s">
        <v>890</v>
      </c>
      <c r="B255" s="1" t="s">
        <v>891</v>
      </c>
      <c r="C255" s="1" t="s">
        <v>892</v>
      </c>
      <c r="D255" s="1" t="s">
        <v>191</v>
      </c>
      <c r="E255" s="1" t="s">
        <v>212</v>
      </c>
      <c r="F255">
        <v>78378.2</v>
      </c>
      <c r="G255" t="s">
        <v>193</v>
      </c>
      <c r="H255" s="2">
        <v>43465</v>
      </c>
      <c r="I255">
        <v>0.4</v>
      </c>
      <c r="J255" s="1" t="s">
        <v>185</v>
      </c>
      <c r="K255" s="1" t="s">
        <v>186</v>
      </c>
      <c r="L255">
        <v>6.3</v>
      </c>
      <c r="M255" t="s">
        <v>195</v>
      </c>
    </row>
    <row r="256" spans="1:13" x14ac:dyDescent="0.35">
      <c r="A256" s="1" t="s">
        <v>893</v>
      </c>
      <c r="B256" s="1" t="s">
        <v>894</v>
      </c>
      <c r="C256" s="1" t="s">
        <v>895</v>
      </c>
      <c r="D256" s="1" t="s">
        <v>182</v>
      </c>
      <c r="E256" s="1" t="s">
        <v>273</v>
      </c>
      <c r="F256">
        <v>91314.75</v>
      </c>
      <c r="G256" t="s">
        <v>193</v>
      </c>
      <c r="H256" s="2">
        <v>43931</v>
      </c>
      <c r="I256">
        <v>1</v>
      </c>
      <c r="J256" s="1" t="s">
        <v>204</v>
      </c>
      <c r="K256" s="1" t="s">
        <v>194</v>
      </c>
      <c r="L256">
        <v>5.03</v>
      </c>
      <c r="M256" t="s">
        <v>187</v>
      </c>
    </row>
    <row r="257" spans="1:13" x14ac:dyDescent="0.35">
      <c r="A257" s="1" t="s">
        <v>492</v>
      </c>
      <c r="B257" s="1" t="s">
        <v>896</v>
      </c>
      <c r="C257" s="1" t="s">
        <v>897</v>
      </c>
      <c r="D257" s="1" t="s">
        <v>182</v>
      </c>
      <c r="E257" s="1" t="s">
        <v>299</v>
      </c>
      <c r="F257">
        <v>66572.58</v>
      </c>
      <c r="G257" t="s">
        <v>193</v>
      </c>
      <c r="H257" s="2">
        <v>44193</v>
      </c>
      <c r="I257">
        <v>1</v>
      </c>
      <c r="J257" s="1" t="s">
        <v>185</v>
      </c>
      <c r="K257" s="1" t="s">
        <v>252</v>
      </c>
      <c r="L257">
        <v>4.3099999999999996</v>
      </c>
      <c r="M257" t="s">
        <v>187</v>
      </c>
    </row>
    <row r="258" spans="1:13" x14ac:dyDescent="0.35">
      <c r="A258" s="1" t="s">
        <v>898</v>
      </c>
      <c r="B258" s="1" t="s">
        <v>899</v>
      </c>
      <c r="C258" s="1" t="s">
        <v>900</v>
      </c>
      <c r="D258" s="1" t="s">
        <v>182</v>
      </c>
      <c r="E258" s="1" t="s">
        <v>218</v>
      </c>
      <c r="F258">
        <v>30077.45</v>
      </c>
      <c r="G258" t="s">
        <v>233</v>
      </c>
      <c r="H258" s="2">
        <v>43474</v>
      </c>
      <c r="I258">
        <v>1</v>
      </c>
      <c r="J258" s="1" t="s">
        <v>185</v>
      </c>
      <c r="K258" s="1" t="s">
        <v>213</v>
      </c>
      <c r="L258">
        <v>6.28</v>
      </c>
      <c r="M258" t="s">
        <v>187</v>
      </c>
    </row>
    <row r="259" spans="1:13" x14ac:dyDescent="0.35">
      <c r="A259" s="1" t="s">
        <v>901</v>
      </c>
      <c r="B259" s="1" t="s">
        <v>902</v>
      </c>
      <c r="C259" s="1" t="s">
        <v>903</v>
      </c>
      <c r="D259" s="1" t="s">
        <v>217</v>
      </c>
      <c r="E259" s="1" t="s">
        <v>269</v>
      </c>
      <c r="F259">
        <v>98012.63</v>
      </c>
      <c r="G259" t="s">
        <v>193</v>
      </c>
      <c r="H259" s="2">
        <v>43780</v>
      </c>
      <c r="I259">
        <v>1</v>
      </c>
      <c r="J259" s="1" t="s">
        <v>185</v>
      </c>
      <c r="K259" s="1" t="s">
        <v>186</v>
      </c>
      <c r="L259">
        <v>5.44</v>
      </c>
      <c r="M259" t="s">
        <v>187</v>
      </c>
    </row>
    <row r="260" spans="1:13" x14ac:dyDescent="0.35">
      <c r="A260" s="1" t="s">
        <v>904</v>
      </c>
      <c r="B260" s="1" t="s">
        <v>391</v>
      </c>
      <c r="C260" s="1" t="s">
        <v>392</v>
      </c>
      <c r="D260" s="1" t="s">
        <v>182</v>
      </c>
      <c r="E260" s="1" t="s">
        <v>265</v>
      </c>
      <c r="F260">
        <v>72876.91</v>
      </c>
      <c r="G260" t="s">
        <v>193</v>
      </c>
      <c r="H260" s="2">
        <v>43837</v>
      </c>
      <c r="I260">
        <v>1</v>
      </c>
      <c r="J260" s="1" t="s">
        <v>185</v>
      </c>
      <c r="K260" s="1" t="s">
        <v>186</v>
      </c>
      <c r="L260">
        <v>5.28</v>
      </c>
      <c r="M260" t="s">
        <v>187</v>
      </c>
    </row>
    <row r="261" spans="1:13" x14ac:dyDescent="0.35">
      <c r="A261" s="1" t="s">
        <v>905</v>
      </c>
      <c r="B261" s="1" t="s">
        <v>906</v>
      </c>
      <c r="C261" s="1" t="s">
        <v>907</v>
      </c>
      <c r="D261" s="1" t="s">
        <v>182</v>
      </c>
      <c r="E261" s="1" t="s">
        <v>212</v>
      </c>
      <c r="F261">
        <v>92943.89</v>
      </c>
      <c r="G261" t="s">
        <v>193</v>
      </c>
      <c r="H261" s="2">
        <v>44510</v>
      </c>
      <c r="I261">
        <v>1</v>
      </c>
      <c r="J261" s="1" t="s">
        <v>185</v>
      </c>
      <c r="K261" s="1" t="s">
        <v>208</v>
      </c>
      <c r="L261">
        <v>3.44</v>
      </c>
      <c r="M261" t="s">
        <v>187</v>
      </c>
    </row>
    <row r="262" spans="1:13" x14ac:dyDescent="0.35">
      <c r="A262" s="1" t="s">
        <v>908</v>
      </c>
      <c r="B262" s="1" t="s">
        <v>909</v>
      </c>
      <c r="C262" s="1" t="s">
        <v>910</v>
      </c>
      <c r="D262" s="1" t="s">
        <v>191</v>
      </c>
      <c r="E262" s="1" t="s">
        <v>265</v>
      </c>
      <c r="F262">
        <v>29808.07</v>
      </c>
      <c r="G262" t="s">
        <v>233</v>
      </c>
      <c r="H262" s="2">
        <v>43291</v>
      </c>
      <c r="I262">
        <v>0.3</v>
      </c>
      <c r="J262" s="1" t="s">
        <v>244</v>
      </c>
      <c r="K262" s="1" t="s">
        <v>208</v>
      </c>
      <c r="L262">
        <v>6.78</v>
      </c>
      <c r="M262" t="s">
        <v>195</v>
      </c>
    </row>
    <row r="263" spans="1:13" x14ac:dyDescent="0.35">
      <c r="A263" s="1" t="s">
        <v>911</v>
      </c>
      <c r="B263" s="1" t="s">
        <v>912</v>
      </c>
      <c r="C263" s="1" t="s">
        <v>913</v>
      </c>
      <c r="D263" s="1" t="s">
        <v>191</v>
      </c>
      <c r="E263" s="1" t="s">
        <v>273</v>
      </c>
      <c r="F263">
        <v>47551.89</v>
      </c>
      <c r="G263" t="s">
        <v>233</v>
      </c>
      <c r="H263" s="2">
        <v>43468</v>
      </c>
      <c r="I263">
        <v>1</v>
      </c>
      <c r="J263" s="1" t="s">
        <v>185</v>
      </c>
      <c r="K263" s="1" t="s">
        <v>245</v>
      </c>
      <c r="L263">
        <v>6.3</v>
      </c>
      <c r="M263" t="s">
        <v>187</v>
      </c>
    </row>
    <row r="264" spans="1:13" x14ac:dyDescent="0.35">
      <c r="A264" s="1" t="s">
        <v>375</v>
      </c>
      <c r="B264" s="1" t="s">
        <v>772</v>
      </c>
      <c r="C264" s="1" t="s">
        <v>914</v>
      </c>
      <c r="D264" s="1" t="s">
        <v>191</v>
      </c>
      <c r="E264" s="1" t="s">
        <v>226</v>
      </c>
      <c r="F264">
        <v>39700.82</v>
      </c>
      <c r="G264" t="s">
        <v>233</v>
      </c>
      <c r="H264" s="2">
        <v>44203</v>
      </c>
      <c r="I264">
        <v>0.8</v>
      </c>
      <c r="J264" s="1" t="s">
        <v>185</v>
      </c>
      <c r="K264" s="1" t="s">
        <v>252</v>
      </c>
      <c r="L264">
        <v>4.28</v>
      </c>
      <c r="M264" t="s">
        <v>195</v>
      </c>
    </row>
    <row r="265" spans="1:13" x14ac:dyDescent="0.35">
      <c r="A265" s="1" t="s">
        <v>915</v>
      </c>
      <c r="B265" s="1" t="s">
        <v>916</v>
      </c>
      <c r="C265" s="1" t="s">
        <v>917</v>
      </c>
      <c r="D265" s="1" t="s">
        <v>191</v>
      </c>
      <c r="E265" s="1" t="s">
        <v>299</v>
      </c>
      <c r="F265">
        <v>31089.22</v>
      </c>
      <c r="G265" t="s">
        <v>233</v>
      </c>
      <c r="H265" s="2">
        <v>43776</v>
      </c>
      <c r="I265">
        <v>1</v>
      </c>
      <c r="J265" s="1" t="s">
        <v>204</v>
      </c>
      <c r="K265" s="1" t="s">
        <v>252</v>
      </c>
      <c r="L265">
        <v>5.45</v>
      </c>
      <c r="M265" t="s">
        <v>187</v>
      </c>
    </row>
    <row r="266" spans="1:13" x14ac:dyDescent="0.35">
      <c r="A266" s="1" t="s">
        <v>918</v>
      </c>
      <c r="B266" s="1" t="s">
        <v>919</v>
      </c>
      <c r="C266" s="1" t="s">
        <v>920</v>
      </c>
      <c r="D266" s="1" t="s">
        <v>191</v>
      </c>
      <c r="E266" s="1" t="s">
        <v>273</v>
      </c>
      <c r="F266">
        <v>78020.39</v>
      </c>
      <c r="G266" t="s">
        <v>193</v>
      </c>
      <c r="H266" s="2">
        <v>43899</v>
      </c>
      <c r="I266">
        <v>1</v>
      </c>
      <c r="J266" s="1" t="s">
        <v>185</v>
      </c>
      <c r="K266" s="1" t="s">
        <v>186</v>
      </c>
      <c r="L266">
        <v>5.12</v>
      </c>
      <c r="M266" t="s">
        <v>187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Q266"/>
  <sheetViews>
    <sheetView topLeftCell="A252" workbookViewId="0">
      <selection activeCell="L257" sqref="L257"/>
    </sheetView>
  </sheetViews>
  <sheetFormatPr defaultRowHeight="14.5" x14ac:dyDescent="0.35"/>
  <cols>
    <col min="4" max="4" width="48.1796875" customWidth="1"/>
    <col min="5" max="5" width="15.26953125" customWidth="1"/>
    <col min="6" max="6" width="10.81640625" bestFit="1" customWidth="1"/>
    <col min="7" max="7" width="11.54296875" bestFit="1" customWidth="1"/>
    <col min="8" max="8" width="10.90625" customWidth="1"/>
    <col min="9" max="9" width="13.1796875" customWidth="1"/>
  </cols>
  <sheetData>
    <row r="2" spans="4:8" x14ac:dyDescent="0.35">
      <c r="D2" s="11" t="s">
        <v>921</v>
      </c>
      <c r="E2" s="11"/>
      <c r="F2" s="11"/>
      <c r="G2" s="10"/>
      <c r="H2" s="9"/>
    </row>
    <row r="4" spans="4:8" x14ac:dyDescent="0.35">
      <c r="D4" s="8" t="s">
        <v>922</v>
      </c>
      <c r="E4" s="8" t="s">
        <v>925</v>
      </c>
      <c r="F4" s="8" t="s">
        <v>171</v>
      </c>
    </row>
    <row r="5" spans="4:8" x14ac:dyDescent="0.35">
      <c r="D5" s="6" t="str" cm="1">
        <f t="array" ref="D5:D17">_xlfn.UNIQUE(Staff[Department])</f>
        <v>Engeneering</v>
      </c>
      <c r="E5" s="6" cm="1">
        <f t="array" ref="E5:E17">COUNTIF(Staff[Department],D5:D17)</f>
        <v>8</v>
      </c>
      <c r="F5" s="7" cm="1">
        <f t="array" ref="F5:F17">SUMIF(Staff[Department],D5:D17,Staff[Salary])</f>
        <v>729434.35000000009</v>
      </c>
    </row>
    <row r="6" spans="4:8" x14ac:dyDescent="0.35">
      <c r="D6" s="6" t="str">
        <v>Business Development</v>
      </c>
      <c r="E6" s="6">
        <v>26</v>
      </c>
      <c r="F6" s="7">
        <v>2074326.9500000004</v>
      </c>
    </row>
    <row r="7" spans="4:8" x14ac:dyDescent="0.35">
      <c r="D7" s="6" t="str">
        <v>Services</v>
      </c>
      <c r="E7" s="6">
        <v>21</v>
      </c>
      <c r="F7" s="7">
        <v>1568153.4700000002</v>
      </c>
    </row>
    <row r="8" spans="4:8" x14ac:dyDescent="0.35">
      <c r="D8" s="6" t="str">
        <v>Training</v>
      </c>
      <c r="E8" s="6">
        <v>24</v>
      </c>
      <c r="F8" s="7">
        <v>2013215.1600000001</v>
      </c>
    </row>
    <row r="9" spans="4:8" x14ac:dyDescent="0.35">
      <c r="D9" s="6" t="str">
        <v>Engineering</v>
      </c>
      <c r="E9" s="6">
        <v>19</v>
      </c>
      <c r="F9" s="7">
        <v>1401953.1400000001</v>
      </c>
    </row>
    <row r="10" spans="4:8" x14ac:dyDescent="0.35">
      <c r="D10" s="6" t="str">
        <v>Support</v>
      </c>
      <c r="E10" s="6">
        <v>18</v>
      </c>
      <c r="F10" s="7">
        <v>1129351.7499999998</v>
      </c>
    </row>
    <row r="11" spans="4:8" x14ac:dyDescent="0.35">
      <c r="D11" s="6" t="str">
        <v>Marketing</v>
      </c>
      <c r="E11" s="6">
        <v>12</v>
      </c>
      <c r="F11" s="7">
        <v>773295.6</v>
      </c>
    </row>
    <row r="12" spans="4:8" x14ac:dyDescent="0.35">
      <c r="D12" s="6" t="str">
        <v>Research and Development</v>
      </c>
      <c r="E12" s="6">
        <v>19</v>
      </c>
      <c r="F12" s="7">
        <v>1204393.78</v>
      </c>
    </row>
    <row r="13" spans="4:8" x14ac:dyDescent="0.35">
      <c r="D13" s="6" t="str">
        <v>Human Resources</v>
      </c>
      <c r="E13" s="6">
        <v>22</v>
      </c>
      <c r="F13" s="7">
        <v>1608406.31</v>
      </c>
    </row>
    <row r="14" spans="4:8" x14ac:dyDescent="0.35">
      <c r="D14" s="6" t="str">
        <v>Accounting</v>
      </c>
      <c r="E14" s="6">
        <v>26</v>
      </c>
      <c r="F14" s="7">
        <v>1814980.5899999999</v>
      </c>
    </row>
    <row r="15" spans="4:8" x14ac:dyDescent="0.35">
      <c r="D15" s="6" t="str">
        <v>Sales</v>
      </c>
      <c r="E15" s="6">
        <v>18</v>
      </c>
      <c r="F15" s="7">
        <v>1294147.72</v>
      </c>
    </row>
    <row r="16" spans="4:8" x14ac:dyDescent="0.35">
      <c r="D16" s="6" t="str">
        <v>Product Management</v>
      </c>
      <c r="E16" s="6">
        <v>29</v>
      </c>
      <c r="F16" s="7">
        <v>2180192.8699999996</v>
      </c>
    </row>
    <row r="17" spans="4:6" x14ac:dyDescent="0.35">
      <c r="D17" s="6" t="str">
        <v>Legal</v>
      </c>
      <c r="E17" s="6">
        <v>23</v>
      </c>
      <c r="F17" s="7">
        <v>1412092.8699999999</v>
      </c>
    </row>
    <row r="19" spans="4:6" x14ac:dyDescent="0.35">
      <c r="D19" s="3" t="s">
        <v>926</v>
      </c>
      <c r="E19" s="3"/>
      <c r="F19" s="3"/>
    </row>
    <row r="21" spans="4:6" x14ac:dyDescent="0.35">
      <c r="D21" s="13" t="s">
        <v>929</v>
      </c>
      <c r="E21" s="13" cm="1">
        <f t="array" ref="E21">COUNTA(_xlfn._xlws.FILTER(Staff[Emp ID],Staff[Salary]&gt;100000))</f>
        <v>47</v>
      </c>
    </row>
    <row r="22" spans="4:6" x14ac:dyDescent="0.35">
      <c r="D22" t="s">
        <v>927</v>
      </c>
      <c r="E22" t="str" cm="1">
        <f t="array" ref="E22">_xlfn.TEXTJOIN(",",,_xlfn._xlws.FILTER(Staff[Emp ID],Staff[Salary]&lt;100000))</f>
        <v>PR04686,VT01803,TN02749,SQ01854,SQ00612,PR00419,VT00578,PR04473,VT02417,SQ00691,TN00214,VT02539,SQ04598,TN00464,PR00893,PR00882,PR03445,TN03416,TN00890,VT04137,PR02603,PR03158,VT03849,SQ01395,SQ02559,VT04627,VT03537,PR01662,VT02313,TN02570,SQ01177,VT01740,TN01876,VT02313,VT03988,TN00227,VT01092,TN03169,SQ01402,SQ00360,SQ01637,TN03210,PR03844,SQ02246,TN03032,SQ00914,SQ02525,TN02667,PR02782,TN03331,VT01249,PR00576,VT02260,TN02883,SQ03024,TN04428,SQ03350,PR01346,VT02118,TN02496,PR03980,VT03307,VT03993,VT02663,PR03034,PR04380,TN00182,VT01523,PR00916,PR01211,TN01876,TN03575,VT04984,PR00095,SQ03546,VT02374,SQ00450,PR03804,SQ04488,TN00735,SQ02223,PR02113,TN00727,SQ01697,SQ01519,PR00210,VT03500,SQ01962,SQ02559,TN01210,SQ02051,SQ03321,SQ00841,TN01028,TN03068,VT03701,TN04101,VT02374,TN01632,PR01956,PR02140,SQ03626,VT01610,TN01340,TN00698,SQ00960,SQ01998,PR04446,SQ01283,SQ01026,TN01912,VT02319,SQ04960,SQ01829,TN00214,TN02798,VT02532,PR02321,SQ02638,VT03704,VT00336,TN01256,PR03271,VT01101,TN04660,VT00596,VT03552,TN00083,SQ02643,SQ00914,TN02674,TN02727,VT01323,SQ03350,SQ00105,SQ02424,VT01703,SQ03024,TN00735,VT04373,VT04467,VT03537,VT01610,PR02016,VT04415,TN04067,TN04175,VT00687,PR01269,TN03097,PR02957,TN02570,VT00596,TN01601,SQ01730,TN03355,VT01246,PR02275,TN04166,SQ00070,TN01701,VT03298,TN04892,PR01055,SQ04437,PR00770,TN04428,TN01601,TN03575,VT04273,SQ00187,PR00113,PR01383,TN00258,VT00476,TN01256,TN01566,PR04851,PR00007,SQ02465,VT00194,TN00328,PR03137,PR00246,SQ02371,PR01956,TN02674,PR00113,SQ00286,TN02205,VT00740,PR01476,TN03169,SQ03112,PR01943,VT01996,SQ01998,SQ04934,SQ02565,SQ02582,TN02397,TN04265,TN02204,PR01306,VT03771,SQ04613,PR02436,VT00534,PR03804,TN01396,TN02377,PR03532,TN02988,VT04905,PR04366,TN03032,TN04775,SQ03625</v>
      </c>
    </row>
    <row r="24" spans="4:6" x14ac:dyDescent="0.35">
      <c r="D24" s="3" t="s">
        <v>928</v>
      </c>
      <c r="E24" s="3"/>
      <c r="F24" s="3"/>
    </row>
    <row r="26" spans="4:6" x14ac:dyDescent="0.35">
      <c r="D26" t="s">
        <v>930</v>
      </c>
      <c r="E26" cm="1">
        <f t="array" ref="E26">COUNTA(_xlfn._xlws.FILTER(Staff[Emp ID],(Staff[Salary]&gt;100000)*(Staff[Gender]="Female")))</f>
        <v>18</v>
      </c>
    </row>
    <row r="27" spans="4:6" x14ac:dyDescent="0.35">
      <c r="D27" s="12" t="str" cm="1">
        <f t="array" ref="D27:F27">_xlfn.CHOOSECOLS(Staff[#Headers],1,2,6)</f>
        <v>Emp ID</v>
      </c>
      <c r="E27" s="12" t="str">
        <v>First Name</v>
      </c>
      <c r="F27" s="12" t="str">
        <v>Salary</v>
      </c>
    </row>
    <row r="28" spans="4:6" x14ac:dyDescent="0.35">
      <c r="D28" t="str" cm="1">
        <f t="array" ref="D28:F45">_xlfn.CHOOSECOLS(_xlfn._xlws.FILTER(Staff[],(Staff[Salary]&gt;100000)*(Staff[Gender]="Female")),1,2,6)</f>
        <v>SQ04612</v>
      </c>
      <c r="E28" t="str">
        <v>Mick</v>
      </c>
      <c r="F28">
        <v>120000</v>
      </c>
    </row>
    <row r="29" spans="4:6" x14ac:dyDescent="0.35">
      <c r="D29" t="str">
        <v>TN01281</v>
      </c>
      <c r="E29" t="str">
        <v>Cletus</v>
      </c>
      <c r="F29">
        <v>114425.19</v>
      </c>
    </row>
    <row r="30" spans="4:6" x14ac:dyDescent="0.35">
      <c r="D30" t="str">
        <v>VT04681</v>
      </c>
      <c r="E30" t="str">
        <v>Nickolai</v>
      </c>
      <c r="F30">
        <v>110906.35</v>
      </c>
    </row>
    <row r="31" spans="4:6" x14ac:dyDescent="0.35">
      <c r="D31" t="str">
        <v>TN04246</v>
      </c>
      <c r="E31" t="str">
        <v>Shaylyn</v>
      </c>
      <c r="F31">
        <v>100371.31</v>
      </c>
    </row>
    <row r="32" spans="4:6" x14ac:dyDescent="0.35">
      <c r="D32" t="str">
        <v>PR02208</v>
      </c>
      <c r="E32" t="str">
        <v>Gowri</v>
      </c>
      <c r="F32">
        <v>102934.09</v>
      </c>
    </row>
    <row r="33" spans="4:7" x14ac:dyDescent="0.35">
      <c r="D33" t="str">
        <v>VT04093</v>
      </c>
      <c r="E33" t="str">
        <v>Prasanna</v>
      </c>
      <c r="F33">
        <v>116767.63</v>
      </c>
    </row>
    <row r="34" spans="4:7" x14ac:dyDescent="0.35">
      <c r="D34" t="str">
        <v>VT01684</v>
      </c>
      <c r="E34" t="str">
        <v>Audry</v>
      </c>
      <c r="F34">
        <v>101187.36</v>
      </c>
    </row>
    <row r="35" spans="4:7" x14ac:dyDescent="0.35">
      <c r="D35" t="str">
        <v>TN04740</v>
      </c>
      <c r="E35" t="str">
        <v>Tristam</v>
      </c>
      <c r="F35">
        <v>104038.9</v>
      </c>
    </row>
    <row r="36" spans="4:7" x14ac:dyDescent="0.35">
      <c r="D36" t="str">
        <v>SQ00498</v>
      </c>
      <c r="E36" t="str">
        <v>Amery</v>
      </c>
      <c r="F36">
        <v>111049.84</v>
      </c>
    </row>
    <row r="37" spans="4:7" x14ac:dyDescent="0.35">
      <c r="D37" t="str">
        <v>VT04552</v>
      </c>
      <c r="E37" t="str">
        <v>Theresita</v>
      </c>
      <c r="F37">
        <v>106665.67</v>
      </c>
    </row>
    <row r="38" spans="4:7" x14ac:dyDescent="0.35">
      <c r="D38" t="str">
        <v>PR00746</v>
      </c>
      <c r="E38" t="str">
        <v>Hogan</v>
      </c>
      <c r="F38">
        <v>114177.23</v>
      </c>
    </row>
    <row r="39" spans="4:7" x14ac:dyDescent="0.35">
      <c r="D39" t="str">
        <v>SQ03387</v>
      </c>
      <c r="E39" t="str">
        <v>Robinia</v>
      </c>
      <c r="F39">
        <v>100731.95</v>
      </c>
    </row>
    <row r="40" spans="4:7" x14ac:dyDescent="0.35">
      <c r="D40" t="str">
        <v>SQ02703</v>
      </c>
      <c r="E40" t="str">
        <v>Deepit</v>
      </c>
      <c r="F40">
        <v>104903.79</v>
      </c>
    </row>
    <row r="41" spans="4:7" x14ac:dyDescent="0.35">
      <c r="D41" t="str">
        <v>TN00579</v>
      </c>
      <c r="E41" t="str">
        <v>Rafaelita</v>
      </c>
      <c r="F41">
        <v>109163.39</v>
      </c>
    </row>
    <row r="42" spans="4:7" x14ac:dyDescent="0.35">
      <c r="D42" t="str">
        <v>SQ02174</v>
      </c>
      <c r="E42" t="str">
        <v>Sidoney</v>
      </c>
      <c r="F42">
        <v>118442.54</v>
      </c>
    </row>
    <row r="43" spans="4:7" x14ac:dyDescent="0.35">
      <c r="D43" t="str">
        <v>VT04093</v>
      </c>
      <c r="E43" t="str">
        <v>Baruna</v>
      </c>
      <c r="F43">
        <v>116767.63</v>
      </c>
    </row>
    <row r="44" spans="4:7" x14ac:dyDescent="0.35">
      <c r="D44" t="str">
        <v>SQ03491</v>
      </c>
      <c r="E44" t="str">
        <v>Freda</v>
      </c>
      <c r="F44">
        <v>102129.37</v>
      </c>
    </row>
    <row r="45" spans="4:7" x14ac:dyDescent="0.35">
      <c r="D45" t="str">
        <v>SQ02624</v>
      </c>
      <c r="E45" t="str">
        <v>Gwenneth</v>
      </c>
      <c r="F45">
        <v>114772.32</v>
      </c>
    </row>
    <row r="47" spans="4:7" x14ac:dyDescent="0.35">
      <c r="D47" s="3" t="s">
        <v>931</v>
      </c>
      <c r="E47" s="3"/>
      <c r="F47" s="3"/>
    </row>
    <row r="48" spans="4:7" x14ac:dyDescent="0.35">
      <c r="E48" t="s">
        <v>936</v>
      </c>
      <c r="F48" t="s">
        <v>182</v>
      </c>
      <c r="G48" t="s">
        <v>191</v>
      </c>
    </row>
    <row r="49" spans="4:7" x14ac:dyDescent="0.35">
      <c r="D49" t="s">
        <v>932</v>
      </c>
      <c r="E49">
        <f>MAX(Staff[Salary])</f>
        <v>120000</v>
      </c>
      <c r="F49">
        <f>_xlfn.MAXIFS(Staff[Salary],Staff[Gender],"Male")</f>
        <v>120000</v>
      </c>
      <c r="G49">
        <f>_xlfn.MAXIFS(Staff[Salary],Staff[Gender],"Female")</f>
        <v>120000</v>
      </c>
    </row>
    <row r="50" spans="4:7" x14ac:dyDescent="0.35">
      <c r="D50" t="s">
        <v>933</v>
      </c>
      <c r="E50">
        <f>MIN(Staff[Salary])</f>
        <v>0</v>
      </c>
      <c r="F50">
        <f>_xlfn.MINIFS(Staff[Salary],Staff[Gender],"Male")</f>
        <v>0</v>
      </c>
      <c r="G50">
        <f>_xlfn.MINIFS(Staff[Salary],Staff[Gender],"Female")</f>
        <v>0</v>
      </c>
    </row>
    <row r="51" spans="4:7" x14ac:dyDescent="0.35">
      <c r="D51" t="s">
        <v>934</v>
      </c>
      <c r="E51">
        <f>LARGE(Staff[Salary],1)</f>
        <v>120000</v>
      </c>
      <c r="F51" cm="1">
        <f t="array" ref="F51">LARGE(_xlfn._xlws.FILTER(Staff[Salary],Staff[Gender]="Male"),1)</f>
        <v>120000</v>
      </c>
      <c r="G51" cm="1">
        <f t="array" ref="G51">LARGE(_xlfn._xlws.FILTER(Staff[Salary],Staff[Gender]="Female"),1)</f>
        <v>120000</v>
      </c>
    </row>
    <row r="52" spans="4:7" x14ac:dyDescent="0.35">
      <c r="E52">
        <f>LARGE(Staff[Salary],2)</f>
        <v>120000</v>
      </c>
      <c r="F52" cm="1">
        <f t="array" ref="F52">LARGE(_xlfn._xlws.FILTER(Staff[Salary],Staff[Gender]="Male"),2)</f>
        <v>119022.49</v>
      </c>
      <c r="G52" cm="1">
        <f t="array" ref="G52">LARGE(_xlfn._xlws.FILTER(Staff[Salary],Staff[Gender]="Female"),2)</f>
        <v>118442.54</v>
      </c>
    </row>
    <row r="53" spans="4:7" x14ac:dyDescent="0.35">
      <c r="E53">
        <f>LARGE(Staff[Salary],3)</f>
        <v>119022.49</v>
      </c>
      <c r="F53" cm="1">
        <f t="array" ref="F53">LARGE(_xlfn._xlws.FILTER(Staff[Salary],Staff[Gender]="Male"),3)</f>
        <v>118976.16</v>
      </c>
      <c r="G53" cm="1">
        <f t="array" ref="G53">LARGE(_xlfn._xlws.FILTER(Staff[Salary],Staff[Gender]="Female"),3)</f>
        <v>116767.63</v>
      </c>
    </row>
    <row r="54" spans="4:7" x14ac:dyDescent="0.35">
      <c r="E54">
        <f>LARGE(Staff[Salary],4)</f>
        <v>118976.16</v>
      </c>
      <c r="F54" cm="1">
        <f t="array" ref="F54">LARGE(_xlfn._xlws.FILTER(Staff[Salary],Staff[Gender]="Male"),4)</f>
        <v>115191.38</v>
      </c>
      <c r="G54" cm="1">
        <f t="array" ref="G54">LARGE(_xlfn._xlws.FILTER(Staff[Salary],Staff[Gender]="Female"),4)</f>
        <v>116767.63</v>
      </c>
    </row>
    <row r="55" spans="4:7" x14ac:dyDescent="0.35">
      <c r="E55">
        <f>LARGE(Staff[Salary],5)</f>
        <v>118442.54</v>
      </c>
      <c r="F55" cm="1">
        <f t="array" ref="F55">LARGE(_xlfn._xlws.FILTER(Staff[Salary],Staff[Gender]="Male"),5)</f>
        <v>114691.03</v>
      </c>
      <c r="G55" cm="1">
        <f t="array" ref="G55">LARGE(_xlfn._xlws.FILTER(Staff[Salary],Staff[Gender]="Female"),5)</f>
        <v>114772.32</v>
      </c>
    </row>
    <row r="56" spans="4:7" x14ac:dyDescent="0.35">
      <c r="D56" t="s">
        <v>935</v>
      </c>
      <c r="E56" cm="1">
        <f t="array" ref="E56:E60">_xlfn.TAKE(_xlfn._xlws.SORT(Staff[Salary],,-1),5)</f>
        <v>120000</v>
      </c>
      <c r="F56" cm="1">
        <f t="array" ref="F56:F60">_xlfn.TAKE(_xlfn._xlws.SORT(_xlfn._xlws.FILTER(Staff[Salary],Staff[Gender]="Male"),,-1),5)</f>
        <v>120000</v>
      </c>
      <c r="G56" cm="1">
        <f t="array" ref="G56:G60">_xlfn.TAKE(_xlfn._xlws.SORT(_xlfn._xlws.FILTER(Staff[Salary],Staff[Gender]="Female"),,-1),5)</f>
        <v>120000</v>
      </c>
    </row>
    <row r="57" spans="4:7" x14ac:dyDescent="0.35">
      <c r="E57">
        <v>120000</v>
      </c>
      <c r="F57">
        <v>119022.49</v>
      </c>
      <c r="G57">
        <v>118442.54</v>
      </c>
    </row>
    <row r="58" spans="4:7" x14ac:dyDescent="0.35">
      <c r="E58">
        <v>119022.49</v>
      </c>
      <c r="F58">
        <v>118976.16</v>
      </c>
      <c r="G58">
        <v>116767.63</v>
      </c>
    </row>
    <row r="59" spans="4:7" x14ac:dyDescent="0.35">
      <c r="E59">
        <v>118976.16</v>
      </c>
      <c r="F59">
        <v>115191.38</v>
      </c>
      <c r="G59">
        <v>116767.63</v>
      </c>
    </row>
    <row r="60" spans="4:7" x14ac:dyDescent="0.35">
      <c r="E60">
        <v>118442.54</v>
      </c>
      <c r="F60">
        <v>114691.03</v>
      </c>
      <c r="G60">
        <v>114772.32</v>
      </c>
    </row>
    <row r="62" spans="4:7" x14ac:dyDescent="0.35">
      <c r="D62" s="3" t="s">
        <v>937</v>
      </c>
      <c r="E62" s="3"/>
      <c r="F62" s="3"/>
    </row>
    <row r="64" spans="4:7" x14ac:dyDescent="0.35">
      <c r="D64" s="12" t="s">
        <v>938</v>
      </c>
      <c r="E64">
        <f>COUNTA(_xlfn.UNIQUE(Staff[Department]))</f>
        <v>13</v>
      </c>
    </row>
    <row r="65" spans="4:6" x14ac:dyDescent="0.35">
      <c r="D65" s="12" t="s">
        <v>939</v>
      </c>
      <c r="E65" t="str" cm="1">
        <f t="array" ref="E65:E77">_xlfn.UNIQUE(Staff[Department])</f>
        <v>Engeneering</v>
      </c>
    </row>
    <row r="66" spans="4:6" x14ac:dyDescent="0.35">
      <c r="E66" t="str">
        <v>Business Development</v>
      </c>
    </row>
    <row r="67" spans="4:6" x14ac:dyDescent="0.35">
      <c r="E67" t="str">
        <v>Services</v>
      </c>
    </row>
    <row r="68" spans="4:6" x14ac:dyDescent="0.35">
      <c r="E68" t="str">
        <v>Training</v>
      </c>
    </row>
    <row r="69" spans="4:6" x14ac:dyDescent="0.35">
      <c r="E69" t="str">
        <v>Engineering</v>
      </c>
    </row>
    <row r="70" spans="4:6" x14ac:dyDescent="0.35">
      <c r="E70" t="str">
        <v>Support</v>
      </c>
    </row>
    <row r="71" spans="4:6" x14ac:dyDescent="0.35">
      <c r="E71" t="str">
        <v>Marketing</v>
      </c>
    </row>
    <row r="72" spans="4:6" x14ac:dyDescent="0.35">
      <c r="E72" t="str">
        <v>Research and Development</v>
      </c>
    </row>
    <row r="73" spans="4:6" x14ac:dyDescent="0.35">
      <c r="E73" t="str">
        <v>Human Resources</v>
      </c>
    </row>
    <row r="74" spans="4:6" x14ac:dyDescent="0.35">
      <c r="E74" t="str">
        <v>Accounting</v>
      </c>
    </row>
    <row r="75" spans="4:6" x14ac:dyDescent="0.35">
      <c r="E75" t="str">
        <v>Sales</v>
      </c>
    </row>
    <row r="76" spans="4:6" x14ac:dyDescent="0.35">
      <c r="E76" t="str">
        <v>Product Management</v>
      </c>
    </row>
    <row r="77" spans="4:6" x14ac:dyDescent="0.35">
      <c r="E77" t="str">
        <v>Legal</v>
      </c>
    </row>
    <row r="79" spans="4:6" x14ac:dyDescent="0.35">
      <c r="D79" s="3" t="s">
        <v>940</v>
      </c>
      <c r="E79" s="3"/>
      <c r="F79" s="3"/>
    </row>
    <row r="81" spans="4:16" x14ac:dyDescent="0.35">
      <c r="D81" t="s">
        <v>941</v>
      </c>
      <c r="E81" t="s">
        <v>179</v>
      </c>
    </row>
    <row r="82" spans="4:16" x14ac:dyDescent="0.35">
      <c r="D82" s="12" t="s">
        <v>942</v>
      </c>
      <c r="E82" t="str">
        <f>IFERROR(VLOOKUP(E81,Staff[],5,FALSE),"")</f>
        <v>Engeneering</v>
      </c>
    </row>
    <row r="84" spans="4:16" x14ac:dyDescent="0.35">
      <c r="D84" s="12" t="s">
        <v>943</v>
      </c>
      <c r="E84" t="str" cm="1">
        <f t="array" ref="E84">INDEX(Staff[First Name]&amp;" "&amp;Staff[Last Name],MATCH(MAX(Staff[Salary]),Staff[Salary],0))</f>
        <v>Minerva Ricardot</v>
      </c>
    </row>
    <row r="87" spans="4:16" x14ac:dyDescent="0.35">
      <c r="D87" s="3" t="s">
        <v>944</v>
      </c>
      <c r="E87" s="3"/>
      <c r="F87" s="3"/>
    </row>
    <row r="89" spans="4:16" x14ac:dyDescent="0.35">
      <c r="D89" s="12" t="s">
        <v>945</v>
      </c>
      <c r="E89" t="str" cm="1">
        <f t="array" ref="E89">_xlfn.XLOOKUP(MAX(Staff[Salary]),Staff[Salary],Staff[First Name]&amp;" "&amp;Staff[Last Name])</f>
        <v>Minerva Ricardot</v>
      </c>
    </row>
    <row r="90" spans="4:16" x14ac:dyDescent="0.35">
      <c r="D90" s="12" t="s">
        <v>946</v>
      </c>
    </row>
    <row r="91" spans="4:16" x14ac:dyDescent="0.35">
      <c r="D91" t="str" cm="1">
        <f t="array" ref="D91:P91">_xlfn.XLOOKUP(MAX(Staff[Salary]),Staff[Salary],Staff[])</f>
        <v>PR00147</v>
      </c>
      <c r="E91" t="str">
        <v>Minerva</v>
      </c>
      <c r="F91" t="str">
        <v>Ricardot</v>
      </c>
      <c r="G91" t="str">
        <v>Male</v>
      </c>
      <c r="H91" t="str">
        <v>Engeneering</v>
      </c>
      <c r="I91">
        <v>120000</v>
      </c>
      <c r="J91" t="str">
        <v>Above 100k</v>
      </c>
      <c r="K91">
        <v>43416</v>
      </c>
      <c r="L91">
        <v>1</v>
      </c>
      <c r="M91" t="str">
        <v>Permanent</v>
      </c>
      <c r="N91" t="str">
        <v>Remote</v>
      </c>
      <c r="O91">
        <v>6.44</v>
      </c>
      <c r="P91" t="str">
        <v>Fulltime</v>
      </c>
    </row>
    <row r="93" spans="4:16" x14ac:dyDescent="0.35">
      <c r="D93" s="12" t="s">
        <v>947</v>
      </c>
      <c r="E93" t="str" cm="1">
        <f t="array" ref="E93:E105">_xlfn._xlws.FILTER(Staff[First Name],LEFT(Staff[First Name],1)="J")</f>
        <v>Jessica</v>
      </c>
    </row>
    <row r="94" spans="4:16" x14ac:dyDescent="0.35">
      <c r="E94" t="str">
        <v>Jill</v>
      </c>
    </row>
    <row r="95" spans="4:16" x14ac:dyDescent="0.35">
      <c r="E95" t="str">
        <v>Joaquin</v>
      </c>
    </row>
    <row r="96" spans="4:16" x14ac:dyDescent="0.35">
      <c r="E96" t="str">
        <v>Jaipal</v>
      </c>
    </row>
    <row r="97" spans="4:17" x14ac:dyDescent="0.35">
      <c r="E97" t="str">
        <v>John</v>
      </c>
    </row>
    <row r="98" spans="4:17" x14ac:dyDescent="0.35">
      <c r="E98" t="str">
        <v>Janina</v>
      </c>
    </row>
    <row r="99" spans="4:17" x14ac:dyDescent="0.35">
      <c r="E99" t="str">
        <v>Jamesy</v>
      </c>
    </row>
    <row r="100" spans="4:17" x14ac:dyDescent="0.35">
      <c r="E100" t="str">
        <v>Janina</v>
      </c>
    </row>
    <row r="101" spans="4:17" x14ac:dyDescent="0.35">
      <c r="E101" t="str">
        <v>Joyce</v>
      </c>
    </row>
    <row r="102" spans="4:17" x14ac:dyDescent="0.35">
      <c r="E102" t="str">
        <v>Jeannie</v>
      </c>
    </row>
    <row r="103" spans="4:17" x14ac:dyDescent="0.35">
      <c r="E103" t="str">
        <v>Jagajeet</v>
      </c>
    </row>
    <row r="104" spans="4:17" x14ac:dyDescent="0.35">
      <c r="E104" t="str">
        <v>Jamesy</v>
      </c>
    </row>
    <row r="105" spans="4:17" x14ac:dyDescent="0.35">
      <c r="E105" t="str">
        <v>Jaishree</v>
      </c>
    </row>
    <row r="106" spans="4:17" x14ac:dyDescent="0.35">
      <c r="D106" s="12" t="s">
        <v>948</v>
      </c>
      <c r="E106" cm="1">
        <f t="array" ref="E106">COUNTA(_xlfn._xlws.FILTER(Staff[First Name],LEFT(Staff[First Name],1)="J"))</f>
        <v>13</v>
      </c>
    </row>
    <row r="108" spans="4:17" x14ac:dyDescent="0.35">
      <c r="D108" s="3" t="s">
        <v>949</v>
      </c>
      <c r="E108" s="3"/>
      <c r="F108" s="3"/>
    </row>
    <row r="110" spans="4:17" x14ac:dyDescent="0.35">
      <c r="D110" s="14" t="s">
        <v>950</v>
      </c>
      <c r="E110" t="str" cm="1">
        <f t="array" ref="E110:Q131">_xlfn._xlws.FILTER(Staff[],MONTH(Staff[Start Date])=3)</f>
        <v>SQ04612</v>
      </c>
      <c r="F110" t="str">
        <v>Mick</v>
      </c>
      <c r="G110" t="str">
        <v>Spraberry</v>
      </c>
      <c r="H110" t="str">
        <v>Female</v>
      </c>
      <c r="I110" t="str">
        <v>Services</v>
      </c>
      <c r="J110">
        <v>120000</v>
      </c>
      <c r="K110" t="str">
        <v>Above 100k</v>
      </c>
      <c r="L110">
        <v>43902</v>
      </c>
      <c r="M110">
        <v>0.9</v>
      </c>
      <c r="N110" t="str">
        <v>Permanent</v>
      </c>
      <c r="O110" t="str">
        <v>Remote</v>
      </c>
      <c r="P110">
        <v>5.1100000000000003</v>
      </c>
      <c r="Q110" t="str">
        <v>Partime</v>
      </c>
    </row>
    <row r="111" spans="4:17" x14ac:dyDescent="0.35">
      <c r="E111" t="str">
        <v>VT01803</v>
      </c>
      <c r="F111" t="str">
        <v>Freddy</v>
      </c>
      <c r="G111" t="str">
        <v>Linford</v>
      </c>
      <c r="H111" t="str">
        <v>Female</v>
      </c>
      <c r="I111" t="str">
        <v>Training</v>
      </c>
      <c r="J111">
        <v>93128.34</v>
      </c>
      <c r="K111" t="str">
        <v>Above 50k but less than 100k</v>
      </c>
      <c r="L111">
        <v>43164</v>
      </c>
      <c r="M111">
        <v>1</v>
      </c>
      <c r="N111" t="str">
        <v>Fixed Term</v>
      </c>
      <c r="O111" t="str">
        <v>Seattle, USA</v>
      </c>
      <c r="P111">
        <v>7.13</v>
      </c>
      <c r="Q111" t="str">
        <v>Fulltime</v>
      </c>
    </row>
    <row r="112" spans="4:17" x14ac:dyDescent="0.35">
      <c r="E112" t="str">
        <v>VT02417</v>
      </c>
      <c r="F112" t="str">
        <v>Evangelina</v>
      </c>
      <c r="G112" t="str">
        <v>Lergan</v>
      </c>
      <c r="H112" t="str">
        <v>Male</v>
      </c>
      <c r="I112" t="str">
        <v>Support</v>
      </c>
      <c r="J112">
        <v>61214.26</v>
      </c>
      <c r="K112" t="str">
        <v>Above 50k but less than 100k</v>
      </c>
      <c r="L112">
        <v>43171</v>
      </c>
      <c r="M112">
        <v>1</v>
      </c>
      <c r="N112" t="str">
        <v>Temporary</v>
      </c>
      <c r="O112" t="str">
        <v>Auckland, New Zealand</v>
      </c>
      <c r="P112">
        <v>7.11</v>
      </c>
      <c r="Q112" t="str">
        <v>Fulltime</v>
      </c>
    </row>
    <row r="113" spans="5:17" x14ac:dyDescent="0.35">
      <c r="E113" t="str">
        <v>PR00893</v>
      </c>
      <c r="F113" t="str">
        <v>Vasavi</v>
      </c>
      <c r="G113" t="str">
        <v>Veeravasarapu</v>
      </c>
      <c r="H113" t="str">
        <v>Male</v>
      </c>
      <c r="I113" t="str">
        <v>Human Resources</v>
      </c>
      <c r="J113">
        <v>50310.09</v>
      </c>
      <c r="K113" t="str">
        <v>Above 50k but less than 100k</v>
      </c>
      <c r="L113">
        <v>44285</v>
      </c>
      <c r="M113">
        <v>0.4</v>
      </c>
      <c r="N113" t="str">
        <v>Permanent</v>
      </c>
      <c r="O113" t="str">
        <v>Hyderabad, India</v>
      </c>
      <c r="P113">
        <v>4.0599999999999996</v>
      </c>
      <c r="Q113" t="str">
        <v>Partime</v>
      </c>
    </row>
    <row r="114" spans="5:17" x14ac:dyDescent="0.35">
      <c r="E114" t="str">
        <v>VT03421</v>
      </c>
      <c r="F114" t="str">
        <v>Alic</v>
      </c>
      <c r="G114" t="str">
        <v>Bagg</v>
      </c>
      <c r="H114" t="str">
        <v>Male</v>
      </c>
      <c r="I114" t="str">
        <v>Legal</v>
      </c>
      <c r="J114">
        <v>113747.56</v>
      </c>
      <c r="K114" t="str">
        <v>Above 100k</v>
      </c>
      <c r="L114">
        <v>44270</v>
      </c>
      <c r="M114">
        <v>0.7</v>
      </c>
      <c r="N114" t="str">
        <v>Temporary</v>
      </c>
      <c r="O114" t="str">
        <v>Columbus, USA</v>
      </c>
      <c r="P114">
        <v>4.0999999999999996</v>
      </c>
      <c r="Q114" t="str">
        <v>Partime</v>
      </c>
    </row>
    <row r="115" spans="5:17" x14ac:dyDescent="0.35">
      <c r="E115" t="str">
        <v>VT03993</v>
      </c>
      <c r="F115" t="str">
        <v>Dulce</v>
      </c>
      <c r="G115" t="str">
        <v>Colbeck</v>
      </c>
      <c r="H115" t="str">
        <v>Male</v>
      </c>
      <c r="I115" t="str">
        <v>Human Resources</v>
      </c>
      <c r="J115">
        <v>83396.5</v>
      </c>
      <c r="K115" t="str">
        <v>Above 50k but less than 100k</v>
      </c>
      <c r="L115">
        <v>44285</v>
      </c>
      <c r="M115">
        <v>1</v>
      </c>
      <c r="N115" t="str">
        <v>Temporary</v>
      </c>
      <c r="O115" t="str">
        <v>Auckland, New Zealand</v>
      </c>
      <c r="P115">
        <v>4.0599999999999996</v>
      </c>
      <c r="Q115" t="str">
        <v>Fulltime</v>
      </c>
    </row>
    <row r="116" spans="5:17" x14ac:dyDescent="0.35">
      <c r="E116" t="str">
        <v>SQ01519</v>
      </c>
      <c r="F116" t="str">
        <v>Caron</v>
      </c>
      <c r="G116" t="str">
        <v>Kolakovic</v>
      </c>
      <c r="H116" t="str">
        <v>Male</v>
      </c>
      <c r="I116" t="str">
        <v>Accounting</v>
      </c>
      <c r="J116">
        <v>49915.14</v>
      </c>
      <c r="K116" t="str">
        <v>Less than 50k</v>
      </c>
      <c r="L116">
        <v>43550</v>
      </c>
      <c r="M116">
        <v>1</v>
      </c>
      <c r="N116" t="str">
        <v>Permanent</v>
      </c>
      <c r="O116" t="str">
        <v>Remote</v>
      </c>
      <c r="P116">
        <v>6.07</v>
      </c>
      <c r="Q116" t="str">
        <v>Fulltime</v>
      </c>
    </row>
    <row r="117" spans="5:17" x14ac:dyDescent="0.35">
      <c r="E117" t="str">
        <v>VT04028</v>
      </c>
      <c r="F117" t="str">
        <v>Michale</v>
      </c>
      <c r="G117" t="str">
        <v>Rolf</v>
      </c>
      <c r="H117" t="str">
        <v>Male</v>
      </c>
      <c r="I117" t="str">
        <v>Services</v>
      </c>
      <c r="J117">
        <v>111815.49</v>
      </c>
      <c r="K117" t="str">
        <v>Above 100k</v>
      </c>
      <c r="L117">
        <v>43895</v>
      </c>
      <c r="M117">
        <v>0.7</v>
      </c>
      <c r="N117" t="str">
        <v>Temporary</v>
      </c>
      <c r="O117" t="str">
        <v>Remote</v>
      </c>
      <c r="P117">
        <v>5.13</v>
      </c>
      <c r="Q117" t="str">
        <v>Partime</v>
      </c>
    </row>
    <row r="118" spans="5:17" x14ac:dyDescent="0.35">
      <c r="E118" t="str">
        <v>VT04028</v>
      </c>
      <c r="F118" t="str">
        <v>Michale</v>
      </c>
      <c r="G118" t="str">
        <v>Rolf</v>
      </c>
      <c r="H118" t="str">
        <v>Male</v>
      </c>
      <c r="I118" t="str">
        <v>Services</v>
      </c>
      <c r="J118">
        <v>111815.49</v>
      </c>
      <c r="K118" t="str">
        <v>Above 100k</v>
      </c>
      <c r="L118">
        <v>43895</v>
      </c>
      <c r="M118">
        <v>0.7</v>
      </c>
      <c r="N118" t="str">
        <v>Temporary</v>
      </c>
      <c r="O118" t="str">
        <v>Remote</v>
      </c>
      <c r="P118">
        <v>5.13</v>
      </c>
      <c r="Q118" t="str">
        <v>Partime</v>
      </c>
    </row>
    <row r="119" spans="5:17" x14ac:dyDescent="0.35">
      <c r="E119" t="str">
        <v>SQ00022</v>
      </c>
      <c r="F119" t="str">
        <v>Carlin</v>
      </c>
      <c r="G119" t="str">
        <v>Demke</v>
      </c>
      <c r="H119" t="str">
        <v>Male</v>
      </c>
      <c r="I119" t="str">
        <v>Business Development</v>
      </c>
      <c r="J119">
        <v>110042.37</v>
      </c>
      <c r="K119" t="str">
        <v>Above 100k</v>
      </c>
      <c r="L119">
        <v>43914</v>
      </c>
      <c r="M119">
        <v>1</v>
      </c>
      <c r="N119" t="str">
        <v>Permanent</v>
      </c>
      <c r="O119" t="str">
        <v>Columbus, USA</v>
      </c>
      <c r="P119">
        <v>5.07</v>
      </c>
      <c r="Q119" t="str">
        <v>Fulltime</v>
      </c>
    </row>
    <row r="120" spans="5:17" x14ac:dyDescent="0.35">
      <c r="E120" t="str">
        <v>TN01256</v>
      </c>
      <c r="F120" t="str">
        <v>Shattesh</v>
      </c>
      <c r="G120" t="str">
        <v>Utpat</v>
      </c>
      <c r="H120" t="str">
        <v>Male</v>
      </c>
      <c r="I120" t="str">
        <v>Legal</v>
      </c>
      <c r="J120">
        <v>28481.16</v>
      </c>
      <c r="K120" t="str">
        <v>Less than 50k</v>
      </c>
      <c r="L120">
        <v>43916</v>
      </c>
      <c r="M120">
        <v>1</v>
      </c>
      <c r="N120" t="str">
        <v>Permanent</v>
      </c>
      <c r="O120" t="str">
        <v>Hyderabad, India</v>
      </c>
      <c r="P120">
        <v>5.07</v>
      </c>
      <c r="Q120" t="str">
        <v>Fulltime</v>
      </c>
    </row>
    <row r="121" spans="5:17" x14ac:dyDescent="0.35">
      <c r="E121" t="str">
        <v>PR00746</v>
      </c>
      <c r="F121" t="str">
        <v>Hogan</v>
      </c>
      <c r="G121" t="str">
        <v>Iles</v>
      </c>
      <c r="H121" t="str">
        <v>Female</v>
      </c>
      <c r="I121" t="str">
        <v>Accounting</v>
      </c>
      <c r="J121">
        <v>114177.23</v>
      </c>
      <c r="K121" t="str">
        <v>Above 100k</v>
      </c>
      <c r="L121">
        <v>43908</v>
      </c>
      <c r="M121">
        <v>1</v>
      </c>
      <c r="N121" t="str">
        <v>Permanent</v>
      </c>
      <c r="O121" t="str">
        <v>Wellington, New Zealand</v>
      </c>
      <c r="P121">
        <v>5.09</v>
      </c>
      <c r="Q121" t="str">
        <v>Fulltime</v>
      </c>
    </row>
    <row r="122" spans="5:17" x14ac:dyDescent="0.35">
      <c r="E122" t="str">
        <v>SQ00105</v>
      </c>
      <c r="F122" t="str">
        <v>Sarayu</v>
      </c>
      <c r="G122" t="str">
        <v>Ragunathan</v>
      </c>
      <c r="H122" t="str">
        <v>Female</v>
      </c>
      <c r="I122" t="str">
        <v>Training</v>
      </c>
      <c r="J122">
        <v>86010.54</v>
      </c>
      <c r="K122" t="str">
        <v>Above 50k but less than 100k</v>
      </c>
      <c r="L122">
        <v>43164</v>
      </c>
      <c r="M122">
        <v>1</v>
      </c>
      <c r="N122" t="str">
        <v>Permanent</v>
      </c>
      <c r="O122" t="str">
        <v>Chennai, India</v>
      </c>
      <c r="P122">
        <v>7.13</v>
      </c>
      <c r="Q122" t="str">
        <v>Fulltime</v>
      </c>
    </row>
    <row r="123" spans="5:17" x14ac:dyDescent="0.35">
      <c r="E123" t="str">
        <v>VT04415</v>
      </c>
      <c r="F123" t="str">
        <v>Malory</v>
      </c>
      <c r="G123" t="str">
        <v>Biles</v>
      </c>
      <c r="H123" t="str">
        <v>Female</v>
      </c>
      <c r="I123" t="str">
        <v>Training</v>
      </c>
      <c r="J123">
        <v>58744.17</v>
      </c>
      <c r="K123" t="str">
        <v>Above 50k but less than 100k</v>
      </c>
      <c r="L123">
        <v>43171</v>
      </c>
      <c r="M123">
        <v>1</v>
      </c>
      <c r="N123" t="str">
        <v>Temporary</v>
      </c>
      <c r="O123" t="str">
        <v>Columbus, USA</v>
      </c>
      <c r="P123">
        <v>7.11</v>
      </c>
      <c r="Q123" t="str">
        <v>Fulltime</v>
      </c>
    </row>
    <row r="124" spans="5:17" x14ac:dyDescent="0.35">
      <c r="E124" t="str">
        <v>TN01601</v>
      </c>
      <c r="F124" t="str">
        <v>Melva</v>
      </c>
      <c r="G124" t="str">
        <v>Jickells</v>
      </c>
      <c r="H124" t="str">
        <v>Female</v>
      </c>
      <c r="I124" t="str">
        <v>Product Management</v>
      </c>
      <c r="J124">
        <v>68795.48</v>
      </c>
      <c r="K124" t="str">
        <v>Above 50k but less than 100k</v>
      </c>
      <c r="L124">
        <v>44277</v>
      </c>
      <c r="M124">
        <v>0.2</v>
      </c>
      <c r="N124" t="str">
        <v>Permanent</v>
      </c>
      <c r="O124" t="str">
        <v>Remote</v>
      </c>
      <c r="P124">
        <v>4.08</v>
      </c>
      <c r="Q124" t="str">
        <v>Partime</v>
      </c>
    </row>
    <row r="125" spans="5:17" x14ac:dyDescent="0.35">
      <c r="E125" t="str">
        <v>TN04892</v>
      </c>
      <c r="F125" t="str">
        <v>Luca</v>
      </c>
      <c r="G125" t="str">
        <v>Wolstenholme</v>
      </c>
      <c r="H125" t="str">
        <v>Male</v>
      </c>
      <c r="I125" t="str">
        <v>Engineering</v>
      </c>
      <c r="J125">
        <v>53184.02</v>
      </c>
      <c r="K125" t="str">
        <v>Above 50k but less than 100k</v>
      </c>
      <c r="L125">
        <v>43180</v>
      </c>
      <c r="M125">
        <v>1</v>
      </c>
      <c r="N125" t="str">
        <v>Fixed Term</v>
      </c>
      <c r="O125" t="str">
        <v>Remote</v>
      </c>
      <c r="P125">
        <v>7.08</v>
      </c>
      <c r="Q125" t="str">
        <v>Fulltime</v>
      </c>
    </row>
    <row r="126" spans="5:17" x14ac:dyDescent="0.35">
      <c r="E126" t="str">
        <v>VT01762</v>
      </c>
      <c r="F126" t="str">
        <v>Geena</v>
      </c>
      <c r="G126" t="str">
        <v>Raghavanpillai</v>
      </c>
      <c r="H126" t="str">
        <v>Male</v>
      </c>
      <c r="I126" t="str">
        <v>Accounting</v>
      </c>
      <c r="J126">
        <v>102515.81</v>
      </c>
      <c r="K126" t="str">
        <v>Above 100k</v>
      </c>
      <c r="L126">
        <v>43902</v>
      </c>
      <c r="M126">
        <v>1</v>
      </c>
      <c r="N126" t="str">
        <v>Fixed Term</v>
      </c>
      <c r="O126" t="str">
        <v>Chennai, India</v>
      </c>
      <c r="P126">
        <v>5.1100000000000003</v>
      </c>
      <c r="Q126" t="str">
        <v>Fulltime</v>
      </c>
    </row>
    <row r="127" spans="5:17" x14ac:dyDescent="0.35">
      <c r="E127" t="str">
        <v>TN01601</v>
      </c>
      <c r="F127" t="str">
        <v>Melva</v>
      </c>
      <c r="G127" t="str">
        <v>Jickells</v>
      </c>
      <c r="H127" t="str">
        <v>Female</v>
      </c>
      <c r="I127" t="str">
        <v>Product Management</v>
      </c>
      <c r="J127">
        <v>68795.48</v>
      </c>
      <c r="K127" t="str">
        <v>Above 50k but less than 100k</v>
      </c>
      <c r="L127">
        <v>44277</v>
      </c>
      <c r="M127">
        <v>0.2</v>
      </c>
      <c r="N127" t="str">
        <v>Permanent</v>
      </c>
      <c r="O127" t="str">
        <v>Remote</v>
      </c>
      <c r="P127">
        <v>4.08</v>
      </c>
      <c r="Q127" t="str">
        <v>Partime</v>
      </c>
    </row>
    <row r="128" spans="5:17" x14ac:dyDescent="0.35">
      <c r="E128" t="str">
        <v>TN01256</v>
      </c>
      <c r="F128" t="str">
        <v>Sawini</v>
      </c>
      <c r="G128" t="str">
        <v>Chandan</v>
      </c>
      <c r="H128" t="str">
        <v>Male</v>
      </c>
      <c r="I128" t="str">
        <v>Legal</v>
      </c>
      <c r="J128">
        <v>28481.16</v>
      </c>
      <c r="K128" t="str">
        <v>Less than 50k</v>
      </c>
      <c r="L128">
        <v>43916</v>
      </c>
      <c r="M128">
        <v>1</v>
      </c>
      <c r="N128" t="str">
        <v>Permanent</v>
      </c>
      <c r="O128" t="str">
        <v>Hyderabad, India</v>
      </c>
      <c r="P128">
        <v>5.07</v>
      </c>
      <c r="Q128" t="str">
        <v>Fulltime</v>
      </c>
    </row>
    <row r="129" spans="4:17" x14ac:dyDescent="0.35">
      <c r="E129" t="str">
        <v>SQ03112</v>
      </c>
      <c r="F129" t="str">
        <v>Kantimoy</v>
      </c>
      <c r="G129" t="str">
        <v>Pritish</v>
      </c>
      <c r="H129" t="str">
        <v>Male</v>
      </c>
      <c r="I129" t="str">
        <v>Product Management</v>
      </c>
      <c r="J129">
        <v>77743.149999999994</v>
      </c>
      <c r="K129" t="str">
        <v>Above 50k but less than 100k</v>
      </c>
      <c r="L129">
        <v>43920</v>
      </c>
      <c r="M129">
        <v>1</v>
      </c>
      <c r="N129" t="str">
        <v>Permanent</v>
      </c>
      <c r="O129" t="str">
        <v>Chennai, India</v>
      </c>
      <c r="P129">
        <v>5.0599999999999996</v>
      </c>
      <c r="Q129" t="str">
        <v>Fulltime</v>
      </c>
    </row>
    <row r="130" spans="4:17" x14ac:dyDescent="0.35">
      <c r="E130" t="str">
        <v>VT03421</v>
      </c>
      <c r="F130" t="str">
        <v>Alic</v>
      </c>
      <c r="G130" t="str">
        <v>Bagg</v>
      </c>
      <c r="H130" t="str">
        <v>Male</v>
      </c>
      <c r="I130" t="str">
        <v>Legal</v>
      </c>
      <c r="J130">
        <v>113747.56</v>
      </c>
      <c r="K130" t="str">
        <v>Above 100k</v>
      </c>
      <c r="L130">
        <v>44270</v>
      </c>
      <c r="M130">
        <v>0.7</v>
      </c>
      <c r="N130" t="str">
        <v>Temporary</v>
      </c>
      <c r="O130" t="str">
        <v>Columbus, USA</v>
      </c>
      <c r="P130">
        <v>4.0999999999999996</v>
      </c>
      <c r="Q130" t="str">
        <v>Partime</v>
      </c>
    </row>
    <row r="131" spans="4:17" x14ac:dyDescent="0.35">
      <c r="E131" t="str">
        <v>SQ03625</v>
      </c>
      <c r="F131" t="str">
        <v>Fidela</v>
      </c>
      <c r="G131" t="str">
        <v>Artis</v>
      </c>
      <c r="H131" t="str">
        <v>Female</v>
      </c>
      <c r="I131" t="str">
        <v>Sales</v>
      </c>
      <c r="J131">
        <v>78020.39</v>
      </c>
      <c r="K131" t="str">
        <v>Above 50k but less than 100k</v>
      </c>
      <c r="L131">
        <v>43899</v>
      </c>
      <c r="M131">
        <v>1</v>
      </c>
      <c r="N131" t="str">
        <v>Permanent</v>
      </c>
      <c r="O131" t="str">
        <v>Remote</v>
      </c>
      <c r="P131">
        <v>5.12</v>
      </c>
      <c r="Q131" t="str">
        <v>Fulltime</v>
      </c>
    </row>
    <row r="133" spans="4:17" x14ac:dyDescent="0.35">
      <c r="D133" s="14" t="s">
        <v>951</v>
      </c>
      <c r="E133" t="str" cm="1">
        <f t="array" ref="E133:Q249">_xlfn._xlws.FILTER(Staff[],WEEKDAY(Staff[Start Date])=2)</f>
        <v>PR00147</v>
      </c>
      <c r="F133" t="str">
        <v>Minerva</v>
      </c>
      <c r="G133" t="str">
        <v>Ricardot</v>
      </c>
      <c r="H133" t="str">
        <v>Male</v>
      </c>
      <c r="I133" t="str">
        <v>Engeneering</v>
      </c>
      <c r="J133">
        <v>120000</v>
      </c>
      <c r="K133" t="str">
        <v>Above 100k</v>
      </c>
      <c r="L133">
        <v>43416</v>
      </c>
      <c r="M133">
        <v>1</v>
      </c>
      <c r="N133" t="str">
        <v>Permanent</v>
      </c>
      <c r="O133" t="str">
        <v>Remote</v>
      </c>
      <c r="P133">
        <v>6.44</v>
      </c>
      <c r="Q133" t="str">
        <v>Fulltime</v>
      </c>
    </row>
    <row r="134" spans="4:17" x14ac:dyDescent="0.35">
      <c r="E134" t="str">
        <v>PR04686</v>
      </c>
      <c r="F134" t="str">
        <v>Oona</v>
      </c>
      <c r="G134" t="str">
        <v>Donan</v>
      </c>
      <c r="H134" t="str">
        <v>Female</v>
      </c>
      <c r="I134" t="str">
        <v>Business Development</v>
      </c>
      <c r="J134">
        <v>98000</v>
      </c>
      <c r="K134" t="str">
        <v>Above 50k but less than 100k</v>
      </c>
      <c r="L134">
        <v>43710</v>
      </c>
      <c r="M134">
        <v>0.9</v>
      </c>
      <c r="N134" t="str">
        <v>Permanent</v>
      </c>
      <c r="O134" t="str">
        <v>Seattle, USA</v>
      </c>
      <c r="P134">
        <v>5.63</v>
      </c>
      <c r="Q134" t="str">
        <v>Partime</v>
      </c>
    </row>
    <row r="135" spans="4:17" x14ac:dyDescent="0.35">
      <c r="E135" t="str">
        <v>VT01803</v>
      </c>
      <c r="F135" t="str">
        <v>Freddy</v>
      </c>
      <c r="G135" t="str">
        <v>Linford</v>
      </c>
      <c r="H135" t="str">
        <v>Female</v>
      </c>
      <c r="I135" t="str">
        <v>Training</v>
      </c>
      <c r="J135">
        <v>93128.34</v>
      </c>
      <c r="K135" t="str">
        <v>Above 50k but less than 100k</v>
      </c>
      <c r="L135">
        <v>43164</v>
      </c>
      <c r="M135">
        <v>1</v>
      </c>
      <c r="N135" t="str">
        <v>Fixed Term</v>
      </c>
      <c r="O135" t="str">
        <v>Seattle, USA</v>
      </c>
      <c r="P135">
        <v>7.13</v>
      </c>
      <c r="Q135" t="str">
        <v>Fulltime</v>
      </c>
    </row>
    <row r="136" spans="4:17" x14ac:dyDescent="0.35">
      <c r="E136" t="str">
        <v>TN02749</v>
      </c>
      <c r="F136" t="str">
        <v>Parasuramudu</v>
      </c>
      <c r="G136" t="str">
        <v>Jamakayala</v>
      </c>
      <c r="H136" t="str">
        <v>Female</v>
      </c>
      <c r="I136" t="str">
        <v>Training</v>
      </c>
      <c r="J136">
        <v>57002.02</v>
      </c>
      <c r="K136" t="str">
        <v>Above 50k but less than 100k</v>
      </c>
      <c r="L136">
        <v>43192</v>
      </c>
      <c r="M136">
        <v>0.7</v>
      </c>
      <c r="N136" t="str">
        <v>Permanent</v>
      </c>
      <c r="O136" t="str">
        <v>Hyderabad, India</v>
      </c>
      <c r="P136">
        <v>7.05</v>
      </c>
      <c r="Q136" t="str">
        <v>Partime</v>
      </c>
    </row>
    <row r="137" spans="4:17" x14ac:dyDescent="0.35">
      <c r="E137" t="str">
        <v>VT00578</v>
      </c>
      <c r="F137" t="str">
        <v>Magnum</v>
      </c>
      <c r="G137" t="str">
        <v>Locksley</v>
      </c>
      <c r="H137" t="str">
        <v>Female</v>
      </c>
      <c r="I137" t="str">
        <v>Services</v>
      </c>
      <c r="J137">
        <v>42314.39</v>
      </c>
      <c r="K137" t="str">
        <v>Less than 50k</v>
      </c>
      <c r="L137">
        <v>44487</v>
      </c>
      <c r="M137">
        <v>1</v>
      </c>
      <c r="N137" t="str">
        <v>Fixed Term</v>
      </c>
      <c r="O137" t="str">
        <v>Remote</v>
      </c>
      <c r="P137">
        <v>3.5</v>
      </c>
      <c r="Q137" t="str">
        <v>Fulltime</v>
      </c>
    </row>
    <row r="138" spans="4:17" x14ac:dyDescent="0.35">
      <c r="E138" t="str">
        <v>TN01281</v>
      </c>
      <c r="F138" t="str">
        <v>Cletus</v>
      </c>
      <c r="G138" t="str">
        <v>McGarahan</v>
      </c>
      <c r="H138" t="str">
        <v>Female</v>
      </c>
      <c r="I138" t="str">
        <v>Engineering</v>
      </c>
      <c r="J138">
        <v>114425.19</v>
      </c>
      <c r="K138" t="str">
        <v>Above 100k</v>
      </c>
      <c r="L138">
        <v>43857</v>
      </c>
      <c r="M138">
        <v>1</v>
      </c>
      <c r="N138" t="str">
        <v>Permanent</v>
      </c>
      <c r="O138" t="str">
        <v>Wellington, New Zealand</v>
      </c>
      <c r="P138">
        <v>5.23</v>
      </c>
      <c r="Q138" t="str">
        <v>Fulltime</v>
      </c>
    </row>
    <row r="139" spans="4:17" x14ac:dyDescent="0.35">
      <c r="E139" t="str">
        <v>PR04473</v>
      </c>
      <c r="F139" t="str">
        <v>Wyn</v>
      </c>
      <c r="G139" t="str">
        <v>Treadger</v>
      </c>
      <c r="H139" t="str">
        <v>Female</v>
      </c>
      <c r="I139" t="str">
        <v>Business Development</v>
      </c>
      <c r="J139">
        <v>69192.850000000006</v>
      </c>
      <c r="K139" t="str">
        <v>Above 50k but less than 100k</v>
      </c>
      <c r="L139">
        <v>44305</v>
      </c>
      <c r="M139">
        <v>1</v>
      </c>
      <c r="N139" t="str">
        <v>Permanent</v>
      </c>
      <c r="O139" t="str">
        <v>Columbus, USA</v>
      </c>
      <c r="P139">
        <v>4</v>
      </c>
      <c r="Q139" t="str">
        <v>Fulltime</v>
      </c>
    </row>
    <row r="140" spans="4:17" x14ac:dyDescent="0.35">
      <c r="E140" t="str">
        <v>VT02417</v>
      </c>
      <c r="F140" t="str">
        <v>Evangelina</v>
      </c>
      <c r="G140" t="str">
        <v>Lergan</v>
      </c>
      <c r="H140" t="str">
        <v>Male</v>
      </c>
      <c r="I140" t="str">
        <v>Support</v>
      </c>
      <c r="J140">
        <v>61214.26</v>
      </c>
      <c r="K140" t="str">
        <v>Above 50k but less than 100k</v>
      </c>
      <c r="L140">
        <v>43171</v>
      </c>
      <c r="M140">
        <v>1</v>
      </c>
      <c r="N140" t="str">
        <v>Temporary</v>
      </c>
      <c r="O140" t="str">
        <v>Auckland, New Zealand</v>
      </c>
      <c r="P140">
        <v>7.11</v>
      </c>
      <c r="Q140" t="str">
        <v>Fulltime</v>
      </c>
    </row>
    <row r="141" spans="4:17" x14ac:dyDescent="0.35">
      <c r="E141" t="str">
        <v>VT02539</v>
      </c>
      <c r="F141" t="str">
        <v>Devinne</v>
      </c>
      <c r="G141" t="str">
        <v>Tuny</v>
      </c>
      <c r="H141" t="str">
        <v>Male</v>
      </c>
      <c r="I141" t="str">
        <v>Engineering</v>
      </c>
      <c r="J141">
        <v>39969.72</v>
      </c>
      <c r="K141" t="str">
        <v>Less than 50k</v>
      </c>
      <c r="L141">
        <v>43444</v>
      </c>
      <c r="M141">
        <v>1</v>
      </c>
      <c r="N141" t="str">
        <v>Temporary</v>
      </c>
      <c r="O141" t="str">
        <v>Columbus, USA</v>
      </c>
      <c r="P141">
        <v>6.36</v>
      </c>
      <c r="Q141" t="str">
        <v>Fulltime</v>
      </c>
    </row>
    <row r="142" spans="4:17" x14ac:dyDescent="0.35">
      <c r="E142" t="str">
        <v>SQ04598</v>
      </c>
      <c r="F142" t="str">
        <v>Pearla</v>
      </c>
      <c r="G142" t="str">
        <v>Beteriss</v>
      </c>
      <c r="H142" t="str">
        <v>Male</v>
      </c>
      <c r="I142" t="str">
        <v>Services</v>
      </c>
      <c r="J142">
        <v>69913.39</v>
      </c>
      <c r="K142" t="str">
        <v>Above 50k but less than 100k</v>
      </c>
      <c r="L142">
        <v>43584</v>
      </c>
      <c r="M142">
        <v>1</v>
      </c>
      <c r="N142" t="str">
        <v>Permanent</v>
      </c>
      <c r="O142" t="str">
        <v>Remote</v>
      </c>
      <c r="P142">
        <v>5.98</v>
      </c>
      <c r="Q142" t="str">
        <v>Fulltime</v>
      </c>
    </row>
    <row r="143" spans="4:17" x14ac:dyDescent="0.35">
      <c r="E143" t="str">
        <v>TN00464</v>
      </c>
      <c r="F143" t="str">
        <v>Gopal</v>
      </c>
      <c r="G143" t="str">
        <v>Venkata</v>
      </c>
      <c r="H143" t="str">
        <v>Male</v>
      </c>
      <c r="I143" t="str">
        <v>Research and Development</v>
      </c>
      <c r="J143">
        <v>52748.63</v>
      </c>
      <c r="K143" t="str">
        <v>Above 50k but less than 100k</v>
      </c>
      <c r="L143">
        <v>43857</v>
      </c>
      <c r="M143">
        <v>1</v>
      </c>
      <c r="N143" t="str">
        <v>Permanent</v>
      </c>
      <c r="O143" t="str">
        <v>Chennai, India</v>
      </c>
      <c r="P143">
        <v>5.23</v>
      </c>
      <c r="Q143" t="str">
        <v>Fulltime</v>
      </c>
    </row>
    <row r="144" spans="4:17" x14ac:dyDescent="0.35">
      <c r="E144" t="str">
        <v>TN00890</v>
      </c>
      <c r="F144" t="str">
        <v>Mayur</v>
      </c>
      <c r="G144" t="str">
        <v>Kousika</v>
      </c>
      <c r="H144" t="str">
        <v>Female</v>
      </c>
      <c r="I144" t="str">
        <v>Training</v>
      </c>
      <c r="J144">
        <v>71570.990000000005</v>
      </c>
      <c r="K144" t="str">
        <v>Above 50k but less than 100k</v>
      </c>
      <c r="L144">
        <v>44249</v>
      </c>
      <c r="M144">
        <v>0.5</v>
      </c>
      <c r="N144" t="str">
        <v>Permanent</v>
      </c>
      <c r="O144" t="str">
        <v>Hyderabad, India</v>
      </c>
      <c r="P144">
        <v>4.16</v>
      </c>
      <c r="Q144" t="str">
        <v>Partime</v>
      </c>
    </row>
    <row r="145" spans="5:17" x14ac:dyDescent="0.35">
      <c r="E145" t="str">
        <v>VT04137</v>
      </c>
      <c r="F145" t="str">
        <v>Marissa</v>
      </c>
      <c r="G145" t="str">
        <v>Infante</v>
      </c>
      <c r="H145" t="str">
        <v>Unkown</v>
      </c>
      <c r="I145" t="str">
        <v>Training</v>
      </c>
      <c r="J145">
        <v>78840.23</v>
      </c>
      <c r="K145" t="str">
        <v>Above 50k but less than 100k</v>
      </c>
      <c r="L145">
        <v>43633</v>
      </c>
      <c r="M145">
        <v>1</v>
      </c>
      <c r="N145" t="str">
        <v>Temporary</v>
      </c>
      <c r="O145" t="str">
        <v>Remote</v>
      </c>
      <c r="P145">
        <v>5.84</v>
      </c>
      <c r="Q145" t="str">
        <v>Fulltime</v>
      </c>
    </row>
    <row r="146" spans="5:17" x14ac:dyDescent="0.35">
      <c r="E146" t="str">
        <v>PR02603</v>
      </c>
      <c r="F146" t="str">
        <v>Dinanath</v>
      </c>
      <c r="G146" t="str">
        <v>Simhambhatla</v>
      </c>
      <c r="H146" t="str">
        <v>Female</v>
      </c>
      <c r="I146" t="str">
        <v>Human Resources</v>
      </c>
      <c r="J146">
        <v>61994.76</v>
      </c>
      <c r="K146" t="str">
        <v>Above 50k but less than 100k</v>
      </c>
      <c r="L146">
        <v>43794</v>
      </c>
      <c r="M146">
        <v>0.3</v>
      </c>
      <c r="N146" t="str">
        <v>Permanent</v>
      </c>
      <c r="O146" t="str">
        <v>Hyderabad, India</v>
      </c>
      <c r="P146">
        <v>5.4</v>
      </c>
      <c r="Q146" t="str">
        <v>Partime</v>
      </c>
    </row>
    <row r="147" spans="5:17" x14ac:dyDescent="0.35">
      <c r="E147" t="str">
        <v>PR03158</v>
      </c>
      <c r="F147" t="str">
        <v>Danica</v>
      </c>
      <c r="G147" t="str">
        <v>Nayshe</v>
      </c>
      <c r="H147" t="str">
        <v>Female</v>
      </c>
      <c r="I147" t="str">
        <v>Services</v>
      </c>
      <c r="J147">
        <v>89690.38</v>
      </c>
      <c r="K147" t="str">
        <v>Above 50k but less than 100k</v>
      </c>
      <c r="L147">
        <v>43206</v>
      </c>
      <c r="M147">
        <v>1</v>
      </c>
      <c r="N147" t="str">
        <v>Permanent</v>
      </c>
      <c r="O147" t="str">
        <v>Wellington, New Zealand</v>
      </c>
      <c r="P147">
        <v>7.01</v>
      </c>
      <c r="Q147" t="str">
        <v>Fulltime</v>
      </c>
    </row>
    <row r="148" spans="5:17" x14ac:dyDescent="0.35">
      <c r="E148" t="str">
        <v>SQ01395</v>
      </c>
      <c r="F148" t="str">
        <v>Dennison</v>
      </c>
      <c r="G148" t="str">
        <v>Crosswaite</v>
      </c>
      <c r="H148" t="str">
        <v>Male</v>
      </c>
      <c r="I148" t="str">
        <v>Legal</v>
      </c>
      <c r="J148">
        <v>90697.67</v>
      </c>
      <c r="K148" t="str">
        <v>Above 50k but less than 100k</v>
      </c>
      <c r="L148">
        <v>44221</v>
      </c>
      <c r="M148">
        <v>0.8</v>
      </c>
      <c r="N148" t="str">
        <v>Permanent</v>
      </c>
      <c r="O148" t="str">
        <v>Seattle, USA</v>
      </c>
      <c r="P148">
        <v>4.2300000000000004</v>
      </c>
      <c r="Q148" t="str">
        <v>Partime</v>
      </c>
    </row>
    <row r="149" spans="5:17" x14ac:dyDescent="0.35">
      <c r="E149" t="str">
        <v>VT02313</v>
      </c>
      <c r="F149" t="str">
        <v>Thekla</v>
      </c>
      <c r="G149" t="str">
        <v>Lynnett</v>
      </c>
      <c r="H149" t="str">
        <v>Male</v>
      </c>
      <c r="I149" t="str">
        <v>Training</v>
      </c>
      <c r="J149">
        <v>53949.26</v>
      </c>
      <c r="K149" t="str">
        <v>Above 50k but less than 100k</v>
      </c>
      <c r="L149">
        <v>43808</v>
      </c>
      <c r="M149">
        <v>1</v>
      </c>
      <c r="N149" t="str">
        <v>Temporary</v>
      </c>
      <c r="O149" t="str">
        <v>Columbus, USA</v>
      </c>
      <c r="P149">
        <v>5.36</v>
      </c>
      <c r="Q149" t="str">
        <v>Fulltime</v>
      </c>
    </row>
    <row r="150" spans="5:17" x14ac:dyDescent="0.35">
      <c r="E150" t="str">
        <v>SQ01620</v>
      </c>
      <c r="F150" t="str">
        <v>Westbrook</v>
      </c>
      <c r="G150" t="str">
        <v>Brandino</v>
      </c>
      <c r="H150" t="str">
        <v>Male</v>
      </c>
      <c r="I150" t="str">
        <v>Legal</v>
      </c>
      <c r="J150">
        <v>113616.23</v>
      </c>
      <c r="K150" t="str">
        <v>Above 100k</v>
      </c>
      <c r="L150">
        <v>43255</v>
      </c>
      <c r="M150">
        <v>1</v>
      </c>
      <c r="N150" t="str">
        <v>Permanent</v>
      </c>
      <c r="O150" t="str">
        <v>Remote</v>
      </c>
      <c r="P150">
        <v>6.88</v>
      </c>
      <c r="Q150" t="str">
        <v>Fulltime</v>
      </c>
    </row>
    <row r="151" spans="5:17" x14ac:dyDescent="0.35">
      <c r="E151" t="str">
        <v>TN04246</v>
      </c>
      <c r="F151" t="str">
        <v>Shaylyn</v>
      </c>
      <c r="G151" t="str">
        <v>Ransbury</v>
      </c>
      <c r="H151" t="str">
        <v>Female</v>
      </c>
      <c r="I151" t="str">
        <v>Support</v>
      </c>
      <c r="J151">
        <v>100371.31</v>
      </c>
      <c r="K151" t="str">
        <v>Above 100k</v>
      </c>
      <c r="L151">
        <v>44067</v>
      </c>
      <c r="M151">
        <v>0.8</v>
      </c>
      <c r="N151" t="str">
        <v>Fixed Term</v>
      </c>
      <c r="O151" t="str">
        <v>Auckland, New Zealand</v>
      </c>
      <c r="P151">
        <v>4.6500000000000004</v>
      </c>
      <c r="Q151" t="str">
        <v>Partime</v>
      </c>
    </row>
    <row r="152" spans="5:17" x14ac:dyDescent="0.35">
      <c r="E152" t="str">
        <v>VT02801</v>
      </c>
      <c r="F152" t="str">
        <v>Shellysheldon</v>
      </c>
      <c r="G152" t="str">
        <v>Mahady</v>
      </c>
      <c r="H152" t="str">
        <v>Male</v>
      </c>
      <c r="I152" t="str">
        <v>Training</v>
      </c>
      <c r="J152">
        <v>114691.03</v>
      </c>
      <c r="K152" t="str">
        <v>Above 100k</v>
      </c>
      <c r="L152">
        <v>44039</v>
      </c>
      <c r="M152">
        <v>1</v>
      </c>
      <c r="N152" t="str">
        <v>Temporary</v>
      </c>
      <c r="O152" t="str">
        <v>Wellington, New Zealand</v>
      </c>
      <c r="P152">
        <v>4.7300000000000004</v>
      </c>
      <c r="Q152" t="str">
        <v>Fulltime</v>
      </c>
    </row>
    <row r="153" spans="5:17" x14ac:dyDescent="0.35">
      <c r="E153" t="str">
        <v>TN01876</v>
      </c>
      <c r="F153" t="str">
        <v>Aileen</v>
      </c>
      <c r="G153" t="str">
        <v>McCritchie</v>
      </c>
      <c r="H153" t="str">
        <v>Male</v>
      </c>
      <c r="I153" t="str">
        <v>Business Development</v>
      </c>
      <c r="J153">
        <v>80169.42</v>
      </c>
      <c r="K153" t="str">
        <v>Above 50k but less than 100k</v>
      </c>
      <c r="L153">
        <v>44053</v>
      </c>
      <c r="M153">
        <v>1</v>
      </c>
      <c r="N153" t="str">
        <v>Permanent</v>
      </c>
      <c r="O153" t="str">
        <v>Auckland, New Zealand</v>
      </c>
      <c r="P153">
        <v>4.6900000000000004</v>
      </c>
      <c r="Q153" t="str">
        <v>Fulltime</v>
      </c>
    </row>
    <row r="154" spans="5:17" x14ac:dyDescent="0.35">
      <c r="E154" t="str">
        <v>VT02313</v>
      </c>
      <c r="F154" t="str">
        <v>Thekla</v>
      </c>
      <c r="G154" t="str">
        <v>Lynnett</v>
      </c>
      <c r="H154" t="str">
        <v>Male</v>
      </c>
      <c r="I154" t="str">
        <v>Training</v>
      </c>
      <c r="J154">
        <v>53949.26</v>
      </c>
      <c r="K154" t="str">
        <v>Above 50k but less than 100k</v>
      </c>
      <c r="L154">
        <v>43808</v>
      </c>
      <c r="M154">
        <v>1</v>
      </c>
      <c r="N154" t="str">
        <v>Temporary</v>
      </c>
      <c r="O154" t="str">
        <v>Columbus, USA</v>
      </c>
      <c r="P154">
        <v>5.36</v>
      </c>
      <c r="Q154" t="str">
        <v>Fulltime</v>
      </c>
    </row>
    <row r="155" spans="5:17" x14ac:dyDescent="0.35">
      <c r="E155" t="str">
        <v>VT03988</v>
      </c>
      <c r="F155" t="str">
        <v>Venkat</v>
      </c>
      <c r="G155" t="str">
        <v>Kodi</v>
      </c>
      <c r="H155" t="str">
        <v>Female</v>
      </c>
      <c r="I155" t="str">
        <v>Support</v>
      </c>
      <c r="J155">
        <v>58935.92</v>
      </c>
      <c r="K155" t="str">
        <v>Above 50k but less than 100k</v>
      </c>
      <c r="L155">
        <v>43717</v>
      </c>
      <c r="M155">
        <v>1</v>
      </c>
      <c r="N155" t="str">
        <v>Temporary</v>
      </c>
      <c r="O155" t="str">
        <v>Hyderabad, India</v>
      </c>
      <c r="P155">
        <v>5.61</v>
      </c>
      <c r="Q155" t="str">
        <v>Fulltime</v>
      </c>
    </row>
    <row r="156" spans="5:17" x14ac:dyDescent="0.35">
      <c r="E156" t="str">
        <v>SQ01402</v>
      </c>
      <c r="F156" t="str">
        <v>Sahaj</v>
      </c>
      <c r="G156" t="str">
        <v>Jonnalagadda</v>
      </c>
      <c r="H156" t="str">
        <v>Female</v>
      </c>
      <c r="I156" t="str">
        <v>Engeneering</v>
      </c>
      <c r="J156">
        <v>44403.77</v>
      </c>
      <c r="K156" t="str">
        <v>Less than 50k</v>
      </c>
      <c r="L156">
        <v>43416</v>
      </c>
      <c r="M156">
        <v>1</v>
      </c>
      <c r="N156" t="str">
        <v>Permanent</v>
      </c>
      <c r="O156" t="str">
        <v>Hyderabad, India</v>
      </c>
      <c r="P156">
        <v>6.44</v>
      </c>
      <c r="Q156" t="str">
        <v>Fulltime</v>
      </c>
    </row>
    <row r="157" spans="5:17" x14ac:dyDescent="0.35">
      <c r="E157" t="str">
        <v>SQ00914</v>
      </c>
      <c r="F157" t="str">
        <v>Duran</v>
      </c>
      <c r="G157" t="str">
        <v>Appala</v>
      </c>
      <c r="H157" t="str">
        <v>Female</v>
      </c>
      <c r="I157" t="str">
        <v>Product Management</v>
      </c>
      <c r="J157">
        <v>38438.239999999998</v>
      </c>
      <c r="K157" t="str">
        <v>Less than 50k</v>
      </c>
      <c r="L157">
        <v>43962</v>
      </c>
      <c r="M157">
        <v>1</v>
      </c>
      <c r="N157" t="str">
        <v>Permanent</v>
      </c>
      <c r="O157" t="str">
        <v>Chennai, India</v>
      </c>
      <c r="P157">
        <v>4.9400000000000004</v>
      </c>
      <c r="Q157" t="str">
        <v>Fulltime</v>
      </c>
    </row>
    <row r="158" spans="5:17" x14ac:dyDescent="0.35">
      <c r="E158" t="str">
        <v>SQ02525</v>
      </c>
      <c r="F158" t="str">
        <v>Mickie</v>
      </c>
      <c r="G158" t="str">
        <v>Dagwell</v>
      </c>
      <c r="H158" t="str">
        <v>Male</v>
      </c>
      <c r="I158" t="str">
        <v>Engineering</v>
      </c>
      <c r="J158">
        <v>50855.53</v>
      </c>
      <c r="K158" t="str">
        <v>Above 50k but less than 100k</v>
      </c>
      <c r="L158">
        <v>44221</v>
      </c>
      <c r="M158">
        <v>1</v>
      </c>
      <c r="N158" t="str">
        <v>Permanent</v>
      </c>
      <c r="O158" t="str">
        <v>Wellington, New Zealand</v>
      </c>
      <c r="P158">
        <v>4.2300000000000004</v>
      </c>
      <c r="Q158" t="str">
        <v>Fulltime</v>
      </c>
    </row>
    <row r="159" spans="5:17" x14ac:dyDescent="0.35">
      <c r="E159" t="str">
        <v>TN02667</v>
      </c>
      <c r="F159" t="str">
        <v>Lizzie</v>
      </c>
      <c r="G159" t="str">
        <v>Mullally</v>
      </c>
      <c r="H159" t="str">
        <v>Male</v>
      </c>
      <c r="I159" t="str">
        <v>Support</v>
      </c>
      <c r="J159">
        <v>0</v>
      </c>
      <c r="K159" t="str">
        <v>Less than 50k</v>
      </c>
      <c r="L159">
        <v>43724</v>
      </c>
      <c r="M159">
        <v>0.2</v>
      </c>
      <c r="N159" t="str">
        <v>Permanent</v>
      </c>
      <c r="O159" t="str">
        <v>Auckland, New Zealand</v>
      </c>
      <c r="P159">
        <v>5.59</v>
      </c>
      <c r="Q159" t="str">
        <v>Partime</v>
      </c>
    </row>
    <row r="160" spans="5:17" x14ac:dyDescent="0.35">
      <c r="E160" t="str">
        <v>TN03331</v>
      </c>
      <c r="F160" t="str">
        <v>Crawford</v>
      </c>
      <c r="G160" t="str">
        <v>Scad</v>
      </c>
      <c r="H160" t="str">
        <v>Male</v>
      </c>
      <c r="I160" t="str">
        <v>Human Resources</v>
      </c>
      <c r="J160">
        <v>72876.91</v>
      </c>
      <c r="K160" t="str">
        <v>Above 50k but less than 100k</v>
      </c>
      <c r="L160">
        <v>43612</v>
      </c>
      <c r="M160">
        <v>0.4</v>
      </c>
      <c r="N160" t="str">
        <v>Fixed Term</v>
      </c>
      <c r="O160" t="str">
        <v>Auckland, New Zealand</v>
      </c>
      <c r="P160">
        <v>5.9</v>
      </c>
      <c r="Q160" t="str">
        <v>Partime</v>
      </c>
    </row>
    <row r="161" spans="5:17" x14ac:dyDescent="0.35">
      <c r="E161" t="str">
        <v>VT01249</v>
      </c>
      <c r="F161" t="str">
        <v>Brendan</v>
      </c>
      <c r="G161" t="str">
        <v>Edgeller</v>
      </c>
      <c r="H161" t="str">
        <v>Female</v>
      </c>
      <c r="I161" t="str">
        <v>Legal</v>
      </c>
      <c r="J161">
        <v>31042.51</v>
      </c>
      <c r="K161" t="str">
        <v>Less than 50k</v>
      </c>
      <c r="L161">
        <v>44473</v>
      </c>
      <c r="M161">
        <v>0.3</v>
      </c>
      <c r="N161" t="str">
        <v>Fixed Term</v>
      </c>
      <c r="O161" t="str">
        <v>Remote</v>
      </c>
      <c r="P161">
        <v>3.54</v>
      </c>
      <c r="Q161" t="str">
        <v>Partime</v>
      </c>
    </row>
    <row r="162" spans="5:17" x14ac:dyDescent="0.35">
      <c r="E162" t="str">
        <v>PR00576</v>
      </c>
      <c r="F162" t="str">
        <v>Lalitchandra</v>
      </c>
      <c r="G162" t="str">
        <v>Vadali</v>
      </c>
      <c r="H162" t="str">
        <v>Female</v>
      </c>
      <c r="I162" t="str">
        <v>Legal</v>
      </c>
      <c r="J162">
        <v>63705.4</v>
      </c>
      <c r="K162" t="str">
        <v>Above 50k but less than 100k</v>
      </c>
      <c r="L162">
        <v>43682</v>
      </c>
      <c r="M162">
        <v>1</v>
      </c>
      <c r="N162" t="str">
        <v>Permanent</v>
      </c>
      <c r="O162" t="str">
        <v>Hyderabad, India</v>
      </c>
      <c r="P162">
        <v>5.71</v>
      </c>
      <c r="Q162" t="str">
        <v>Fulltime</v>
      </c>
    </row>
    <row r="163" spans="5:17" x14ac:dyDescent="0.35">
      <c r="E163" t="str">
        <v>TN02883</v>
      </c>
      <c r="F163" t="str">
        <v>John</v>
      </c>
      <c r="G163" t="str">
        <v>Joseph</v>
      </c>
      <c r="H163" t="str">
        <v>Female</v>
      </c>
      <c r="I163" t="str">
        <v>Sales</v>
      </c>
      <c r="J163">
        <v>84762.76</v>
      </c>
      <c r="K163" t="str">
        <v>Above 50k but less than 100k</v>
      </c>
      <c r="L163">
        <v>43332</v>
      </c>
      <c r="M163">
        <v>1</v>
      </c>
      <c r="N163" t="str">
        <v>Permanent</v>
      </c>
      <c r="O163" t="str">
        <v>Hyderabad, India</v>
      </c>
      <c r="P163">
        <v>6.67</v>
      </c>
      <c r="Q163" t="str">
        <v>Fulltime</v>
      </c>
    </row>
    <row r="164" spans="5:17" x14ac:dyDescent="0.35">
      <c r="E164" t="str">
        <v>SQ03350</v>
      </c>
      <c r="F164" t="str">
        <v>Felice</v>
      </c>
      <c r="G164" t="str">
        <v>McMurty</v>
      </c>
      <c r="H164" t="str">
        <v>Female</v>
      </c>
      <c r="I164" t="str">
        <v>Product Management</v>
      </c>
      <c r="J164">
        <v>66865.490000000005</v>
      </c>
      <c r="K164" t="str">
        <v>Above 50k but less than 100k</v>
      </c>
      <c r="L164">
        <v>43514</v>
      </c>
      <c r="M164">
        <v>1</v>
      </c>
      <c r="N164" t="str">
        <v>Permanent</v>
      </c>
      <c r="O164" t="str">
        <v>Seattle, USA</v>
      </c>
      <c r="P164">
        <v>6.17</v>
      </c>
      <c r="Q164" t="str">
        <v>Fulltime</v>
      </c>
    </row>
    <row r="165" spans="5:17" x14ac:dyDescent="0.35">
      <c r="E165" t="str">
        <v>VT03421</v>
      </c>
      <c r="F165" t="str">
        <v>Alic</v>
      </c>
      <c r="G165" t="str">
        <v>Bagg</v>
      </c>
      <c r="H165" t="str">
        <v>Male</v>
      </c>
      <c r="I165" t="str">
        <v>Legal</v>
      </c>
      <c r="J165">
        <v>113747.56</v>
      </c>
      <c r="K165" t="str">
        <v>Above 100k</v>
      </c>
      <c r="L165">
        <v>44270</v>
      </c>
      <c r="M165">
        <v>0.7</v>
      </c>
      <c r="N165" t="str">
        <v>Temporary</v>
      </c>
      <c r="O165" t="str">
        <v>Columbus, USA</v>
      </c>
      <c r="P165">
        <v>4.0999999999999996</v>
      </c>
      <c r="Q165" t="str">
        <v>Partime</v>
      </c>
    </row>
    <row r="166" spans="5:17" x14ac:dyDescent="0.35">
      <c r="E166" t="str">
        <v>PR01346</v>
      </c>
      <c r="F166" t="str">
        <v>Adolph</v>
      </c>
      <c r="G166" t="str">
        <v>McNalley</v>
      </c>
      <c r="H166" t="str">
        <v>Male</v>
      </c>
      <c r="I166" t="str">
        <v>Business Development</v>
      </c>
      <c r="J166">
        <v>85918.61</v>
      </c>
      <c r="K166" t="str">
        <v>Above 50k but less than 100k</v>
      </c>
      <c r="L166">
        <v>43136</v>
      </c>
      <c r="M166">
        <v>1</v>
      </c>
      <c r="N166" t="str">
        <v>Permanent</v>
      </c>
      <c r="O166" t="str">
        <v>Columbus, USA</v>
      </c>
      <c r="P166">
        <v>7.21</v>
      </c>
      <c r="Q166" t="str">
        <v>Fulltime</v>
      </c>
    </row>
    <row r="167" spans="5:17" x14ac:dyDescent="0.35">
      <c r="E167" t="str">
        <v>TN02496</v>
      </c>
      <c r="F167" t="str">
        <v>Ponnan</v>
      </c>
      <c r="G167" t="str">
        <v>Delhi</v>
      </c>
      <c r="H167" t="str">
        <v>Unkown</v>
      </c>
      <c r="I167" t="str">
        <v>Human Resources</v>
      </c>
      <c r="J167">
        <v>67957.899999999994</v>
      </c>
      <c r="K167" t="str">
        <v>Above 50k but less than 100k</v>
      </c>
      <c r="L167">
        <v>43430</v>
      </c>
      <c r="M167">
        <v>1</v>
      </c>
      <c r="N167" t="str">
        <v>Permanent</v>
      </c>
      <c r="O167" t="str">
        <v>Chennai, India</v>
      </c>
      <c r="P167">
        <v>6.4</v>
      </c>
      <c r="Q167" t="str">
        <v>Fulltime</v>
      </c>
    </row>
    <row r="168" spans="5:17" x14ac:dyDescent="0.35">
      <c r="E168" t="str">
        <v>TN04058</v>
      </c>
      <c r="F168" t="str">
        <v>Subbarao</v>
      </c>
      <c r="G168" t="str">
        <v>Malladi</v>
      </c>
      <c r="H168" t="str">
        <v>Male</v>
      </c>
      <c r="I168" t="str">
        <v>Product Management</v>
      </c>
      <c r="J168">
        <v>106775.14</v>
      </c>
      <c r="K168" t="str">
        <v>Above 100k</v>
      </c>
      <c r="L168">
        <v>43563</v>
      </c>
      <c r="M168">
        <v>1</v>
      </c>
      <c r="N168" t="str">
        <v>Fixed Term</v>
      </c>
      <c r="O168" t="str">
        <v>Hyderabad, India</v>
      </c>
      <c r="P168">
        <v>6.04</v>
      </c>
      <c r="Q168" t="str">
        <v>Fulltime</v>
      </c>
    </row>
    <row r="169" spans="5:17" x14ac:dyDescent="0.35">
      <c r="E169" t="str">
        <v>VT02663</v>
      </c>
      <c r="F169" t="str">
        <v>Sravanthi</v>
      </c>
      <c r="G169" t="str">
        <v>Chalaki</v>
      </c>
      <c r="H169" t="str">
        <v>Male</v>
      </c>
      <c r="I169" t="str">
        <v>Legal</v>
      </c>
      <c r="J169">
        <v>28481.16</v>
      </c>
      <c r="K169" t="str">
        <v>Less than 50k</v>
      </c>
      <c r="L169">
        <v>44228</v>
      </c>
      <c r="M169">
        <v>1</v>
      </c>
      <c r="N169" t="str">
        <v>Temporary</v>
      </c>
      <c r="O169" t="str">
        <v>Chennai, India</v>
      </c>
      <c r="P169">
        <v>4.21</v>
      </c>
      <c r="Q169" t="str">
        <v>Fulltime</v>
      </c>
    </row>
    <row r="170" spans="5:17" x14ac:dyDescent="0.35">
      <c r="E170" t="str">
        <v>PR03034</v>
      </c>
      <c r="F170" t="str">
        <v>Sreenivasa</v>
      </c>
      <c r="G170" t="str">
        <v>Naik</v>
      </c>
      <c r="H170" t="str">
        <v>Male</v>
      </c>
      <c r="I170" t="str">
        <v>Sales</v>
      </c>
      <c r="J170">
        <v>32192.15</v>
      </c>
      <c r="K170" t="str">
        <v>Less than 50k</v>
      </c>
      <c r="L170">
        <v>44473</v>
      </c>
      <c r="M170">
        <v>1</v>
      </c>
      <c r="N170" t="str">
        <v>Permanent</v>
      </c>
      <c r="O170" t="str">
        <v>Hyderabad, India</v>
      </c>
      <c r="P170">
        <v>3.54</v>
      </c>
      <c r="Q170" t="str">
        <v>Fulltime</v>
      </c>
    </row>
    <row r="171" spans="5:17" x14ac:dyDescent="0.35">
      <c r="E171" t="str">
        <v>PR01159</v>
      </c>
      <c r="F171" t="str">
        <v>Mollie</v>
      </c>
      <c r="G171" t="str">
        <v>Hanway</v>
      </c>
      <c r="H171" t="str">
        <v>Male</v>
      </c>
      <c r="I171" t="str">
        <v>Engeneering</v>
      </c>
      <c r="J171">
        <v>112645.99</v>
      </c>
      <c r="K171" t="str">
        <v>Above 100k</v>
      </c>
      <c r="L171">
        <v>43759</v>
      </c>
      <c r="M171">
        <v>0.6</v>
      </c>
      <c r="N171" t="str">
        <v>Permanent</v>
      </c>
      <c r="O171" t="str">
        <v>Seattle, USA</v>
      </c>
      <c r="P171">
        <v>5.5</v>
      </c>
      <c r="Q171" t="str">
        <v>Partime</v>
      </c>
    </row>
    <row r="172" spans="5:17" x14ac:dyDescent="0.35">
      <c r="E172" t="str">
        <v>SQ03476</v>
      </c>
      <c r="F172" t="str">
        <v>Ramalingam</v>
      </c>
      <c r="G172" t="str">
        <v>Kothapeta</v>
      </c>
      <c r="H172" t="str">
        <v>Unkown</v>
      </c>
      <c r="I172" t="str">
        <v>Accounting</v>
      </c>
      <c r="J172">
        <v>107107.6</v>
      </c>
      <c r="K172" t="str">
        <v>Above 100k</v>
      </c>
      <c r="L172">
        <v>43325</v>
      </c>
      <c r="M172">
        <v>0.9</v>
      </c>
      <c r="N172" t="str">
        <v>Permanent</v>
      </c>
      <c r="O172" t="str">
        <v>Chennai, India</v>
      </c>
      <c r="P172">
        <v>6.69</v>
      </c>
      <c r="Q172" t="str">
        <v>Partime</v>
      </c>
    </row>
    <row r="173" spans="5:17" x14ac:dyDescent="0.35">
      <c r="E173" t="str">
        <v>PR04380</v>
      </c>
      <c r="F173" t="str">
        <v>Van</v>
      </c>
      <c r="G173" t="str">
        <v>Tuxwell</v>
      </c>
      <c r="H173" t="str">
        <v>Female</v>
      </c>
      <c r="I173" t="str">
        <v>Business Development</v>
      </c>
      <c r="J173">
        <v>80695.740000000005</v>
      </c>
      <c r="K173" t="str">
        <v>Above 50k but less than 100k</v>
      </c>
      <c r="L173">
        <v>43787</v>
      </c>
      <c r="M173">
        <v>0.8</v>
      </c>
      <c r="N173" t="str">
        <v>Permanent</v>
      </c>
      <c r="O173" t="str">
        <v>Columbus, USA</v>
      </c>
      <c r="P173">
        <v>5.42</v>
      </c>
      <c r="Q173" t="str">
        <v>Partime</v>
      </c>
    </row>
    <row r="174" spans="5:17" x14ac:dyDescent="0.35">
      <c r="E174" t="str">
        <v>TN00182</v>
      </c>
      <c r="F174" t="str">
        <v>Camilla</v>
      </c>
      <c r="G174" t="str">
        <v>Castle</v>
      </c>
      <c r="H174" t="str">
        <v>Female</v>
      </c>
      <c r="I174" t="str">
        <v>Product Management</v>
      </c>
      <c r="J174">
        <v>75475.929999999993</v>
      </c>
      <c r="K174" t="str">
        <v>Above 50k but less than 100k</v>
      </c>
      <c r="L174">
        <v>43794</v>
      </c>
      <c r="M174">
        <v>1</v>
      </c>
      <c r="N174" t="str">
        <v>Permanent</v>
      </c>
      <c r="O174" t="str">
        <v>Remote</v>
      </c>
      <c r="P174">
        <v>5.4</v>
      </c>
      <c r="Q174" t="str">
        <v>Fulltime</v>
      </c>
    </row>
    <row r="175" spans="5:17" x14ac:dyDescent="0.35">
      <c r="E175" t="str">
        <v>PR00916</v>
      </c>
      <c r="F175" t="str">
        <v>Inger</v>
      </c>
      <c r="G175" t="str">
        <v>Chapelhow</v>
      </c>
      <c r="H175" t="str">
        <v>Female</v>
      </c>
      <c r="I175" t="str">
        <v>Research and Development</v>
      </c>
      <c r="J175">
        <v>84309.95</v>
      </c>
      <c r="K175" t="str">
        <v>Above 50k but less than 100k</v>
      </c>
      <c r="L175">
        <v>44501</v>
      </c>
      <c r="M175">
        <v>1</v>
      </c>
      <c r="N175" t="str">
        <v>Permanent</v>
      </c>
      <c r="O175" t="str">
        <v>Remote</v>
      </c>
      <c r="P175">
        <v>3.47</v>
      </c>
      <c r="Q175" t="str">
        <v>Fulltime</v>
      </c>
    </row>
    <row r="176" spans="5:17" x14ac:dyDescent="0.35">
      <c r="E176" t="str">
        <v>TN01876</v>
      </c>
      <c r="F176" t="str">
        <v>Aileen</v>
      </c>
      <c r="G176" t="str">
        <v>McCritchie</v>
      </c>
      <c r="H176" t="str">
        <v>Male</v>
      </c>
      <c r="I176" t="str">
        <v>Business Development</v>
      </c>
      <c r="J176">
        <v>80169.42</v>
      </c>
      <c r="K176" t="str">
        <v>Above 50k but less than 100k</v>
      </c>
      <c r="L176">
        <v>44053</v>
      </c>
      <c r="M176">
        <v>1</v>
      </c>
      <c r="N176" t="str">
        <v>Permanent</v>
      </c>
      <c r="O176" t="str">
        <v>Auckland, New Zealand</v>
      </c>
      <c r="P176">
        <v>4.6900000000000004</v>
      </c>
      <c r="Q176" t="str">
        <v>Fulltime</v>
      </c>
    </row>
    <row r="177" spans="5:17" x14ac:dyDescent="0.35">
      <c r="E177" t="str">
        <v>TN04740</v>
      </c>
      <c r="F177" t="str">
        <v>Tristam</v>
      </c>
      <c r="G177" t="str">
        <v>Cuming</v>
      </c>
      <c r="H177" t="str">
        <v>Female</v>
      </c>
      <c r="I177" t="str">
        <v>Support</v>
      </c>
      <c r="J177">
        <v>104038.9</v>
      </c>
      <c r="K177" t="str">
        <v>Above 100k</v>
      </c>
      <c r="L177">
        <v>43815</v>
      </c>
      <c r="M177">
        <v>1</v>
      </c>
      <c r="N177" t="str">
        <v>Fixed Term</v>
      </c>
      <c r="O177" t="str">
        <v>Remote</v>
      </c>
      <c r="P177">
        <v>5.35</v>
      </c>
      <c r="Q177" t="str">
        <v>Fulltime</v>
      </c>
    </row>
    <row r="178" spans="5:17" x14ac:dyDescent="0.35">
      <c r="E178" t="str">
        <v>TN03575</v>
      </c>
      <c r="F178" t="str">
        <v>Janina</v>
      </c>
      <c r="G178" t="str">
        <v>Wolverson</v>
      </c>
      <c r="H178" t="str">
        <v>Female</v>
      </c>
      <c r="I178" t="str">
        <v>Research and Development</v>
      </c>
      <c r="J178">
        <v>99683.67</v>
      </c>
      <c r="K178" t="str">
        <v>Above 50k but less than 100k</v>
      </c>
      <c r="L178">
        <v>43500</v>
      </c>
      <c r="M178">
        <v>1</v>
      </c>
      <c r="N178" t="str">
        <v>Fixed Term</v>
      </c>
      <c r="O178" t="str">
        <v>Seattle, USA</v>
      </c>
      <c r="P178">
        <v>6.21</v>
      </c>
      <c r="Q178" t="str">
        <v>Fulltime</v>
      </c>
    </row>
    <row r="179" spans="5:17" x14ac:dyDescent="0.35">
      <c r="E179" t="str">
        <v>PR00095</v>
      </c>
      <c r="F179" t="str">
        <v>Devrat</v>
      </c>
      <c r="G179" t="str">
        <v>Damarsingh</v>
      </c>
      <c r="H179" t="str">
        <v>Female</v>
      </c>
      <c r="I179" t="str">
        <v>Business Development</v>
      </c>
      <c r="J179">
        <v>70649.460000000006</v>
      </c>
      <c r="K179" t="str">
        <v>Above 50k but less than 100k</v>
      </c>
      <c r="L179">
        <v>43843</v>
      </c>
      <c r="M179">
        <v>1</v>
      </c>
      <c r="N179" t="str">
        <v>Permanent</v>
      </c>
      <c r="O179" t="str">
        <v>Hyderabad, India</v>
      </c>
      <c r="P179">
        <v>5.27</v>
      </c>
      <c r="Q179" t="str">
        <v>Fulltime</v>
      </c>
    </row>
    <row r="180" spans="5:17" x14ac:dyDescent="0.35">
      <c r="E180" t="str">
        <v>SQ03546</v>
      </c>
      <c r="F180" t="str">
        <v>Amlankusum</v>
      </c>
      <c r="G180" t="str">
        <v>Rajabhushan</v>
      </c>
      <c r="H180" t="str">
        <v>Female</v>
      </c>
      <c r="I180" t="str">
        <v>Legal</v>
      </c>
      <c r="J180">
        <v>75733.740000000005</v>
      </c>
      <c r="K180" t="str">
        <v>Above 50k but less than 100k</v>
      </c>
      <c r="L180">
        <v>44382</v>
      </c>
      <c r="M180">
        <v>1</v>
      </c>
      <c r="N180" t="str">
        <v>Permanent</v>
      </c>
      <c r="O180" t="str">
        <v>Hyderabad, India</v>
      </c>
      <c r="P180">
        <v>3.79</v>
      </c>
      <c r="Q180" t="str">
        <v>Fulltime</v>
      </c>
    </row>
    <row r="181" spans="5:17" x14ac:dyDescent="0.35">
      <c r="E181" t="str">
        <v>VT02374</v>
      </c>
      <c r="F181" t="str">
        <v>Delphine</v>
      </c>
      <c r="G181" t="str">
        <v>Jewis</v>
      </c>
      <c r="H181" t="str">
        <v>Female</v>
      </c>
      <c r="I181" t="str">
        <v>Accounting</v>
      </c>
      <c r="J181">
        <v>71823.56</v>
      </c>
      <c r="K181" t="str">
        <v>Above 50k but less than 100k</v>
      </c>
      <c r="L181">
        <v>43374</v>
      </c>
      <c r="M181">
        <v>0.3</v>
      </c>
      <c r="N181" t="str">
        <v>Temporary</v>
      </c>
      <c r="O181" t="str">
        <v>Remote</v>
      </c>
      <c r="P181">
        <v>6.55</v>
      </c>
      <c r="Q181" t="str">
        <v>Partime</v>
      </c>
    </row>
    <row r="182" spans="5:17" x14ac:dyDescent="0.35">
      <c r="E182" t="str">
        <v>PR03804</v>
      </c>
      <c r="F182" t="str">
        <v>Pratigya</v>
      </c>
      <c r="G182" t="str">
        <v>Rema</v>
      </c>
      <c r="H182" t="str">
        <v>Male</v>
      </c>
      <c r="I182" t="str">
        <v>Legal</v>
      </c>
      <c r="J182">
        <v>66572.58</v>
      </c>
      <c r="K182" t="str">
        <v>Above 50k but less than 100k</v>
      </c>
      <c r="L182">
        <v>44193</v>
      </c>
      <c r="M182">
        <v>1</v>
      </c>
      <c r="N182" t="str">
        <v>Permanent</v>
      </c>
      <c r="O182" t="str">
        <v>Chennai, India</v>
      </c>
      <c r="P182">
        <v>4.3099999999999996</v>
      </c>
      <c r="Q182" t="str">
        <v>Fulltime</v>
      </c>
    </row>
    <row r="183" spans="5:17" x14ac:dyDescent="0.35">
      <c r="E183" t="str">
        <v>SQ04488</v>
      </c>
      <c r="F183" t="str">
        <v>Ramnath</v>
      </c>
      <c r="G183" t="str">
        <v>Ravuri</v>
      </c>
      <c r="H183" t="str">
        <v>Male</v>
      </c>
      <c r="I183" t="str">
        <v>Marketing</v>
      </c>
      <c r="J183">
        <v>76932.600000000006</v>
      </c>
      <c r="K183" t="str">
        <v>Above 50k but less than 100k</v>
      </c>
      <c r="L183">
        <v>43493</v>
      </c>
      <c r="M183">
        <v>1</v>
      </c>
      <c r="N183" t="str">
        <v>Permanent</v>
      </c>
      <c r="O183" t="str">
        <v>Hyderabad, India</v>
      </c>
      <c r="P183">
        <v>6.23</v>
      </c>
      <c r="Q183" t="str">
        <v>Fulltime</v>
      </c>
    </row>
    <row r="184" spans="5:17" x14ac:dyDescent="0.35">
      <c r="E184" t="str">
        <v>PR02010</v>
      </c>
      <c r="F184" t="str">
        <v>Prerana</v>
      </c>
      <c r="G184" t="str">
        <v>Nishita</v>
      </c>
      <c r="H184" t="str">
        <v>Male</v>
      </c>
      <c r="I184" t="str">
        <v>Product Management</v>
      </c>
      <c r="J184">
        <v>115191.38</v>
      </c>
      <c r="K184" t="str">
        <v>Above 100k</v>
      </c>
      <c r="L184">
        <v>44004</v>
      </c>
      <c r="M184">
        <v>1</v>
      </c>
      <c r="N184" t="str">
        <v>Permanent</v>
      </c>
      <c r="O184" t="str">
        <v>Hyderabad, India</v>
      </c>
      <c r="P184">
        <v>4.83</v>
      </c>
      <c r="Q184" t="str">
        <v>Fulltime</v>
      </c>
    </row>
    <row r="185" spans="5:17" x14ac:dyDescent="0.35">
      <c r="E185" t="str">
        <v>PR02113</v>
      </c>
      <c r="F185" t="str">
        <v>Beverie</v>
      </c>
      <c r="G185" t="str">
        <v>Moffet</v>
      </c>
      <c r="H185" t="str">
        <v>Female</v>
      </c>
      <c r="I185" t="str">
        <v>Support</v>
      </c>
      <c r="J185">
        <v>75974.990000000005</v>
      </c>
      <c r="K185" t="str">
        <v>Above 50k but less than 100k</v>
      </c>
      <c r="L185">
        <v>44172</v>
      </c>
      <c r="M185">
        <v>1</v>
      </c>
      <c r="N185" t="str">
        <v>Permanent</v>
      </c>
      <c r="O185" t="str">
        <v>Remote</v>
      </c>
      <c r="P185">
        <v>4.37</v>
      </c>
      <c r="Q185" t="str">
        <v>Fulltime</v>
      </c>
    </row>
    <row r="186" spans="5:17" x14ac:dyDescent="0.35">
      <c r="E186" t="str">
        <v>PR00210</v>
      </c>
      <c r="F186" t="str">
        <v>Marquita</v>
      </c>
      <c r="G186" t="str">
        <v>Liquorish</v>
      </c>
      <c r="H186" t="str">
        <v>Female</v>
      </c>
      <c r="I186" t="str">
        <v>Legal</v>
      </c>
      <c r="J186">
        <v>0</v>
      </c>
      <c r="K186" t="str">
        <v>Less than 50k</v>
      </c>
      <c r="L186">
        <v>44011</v>
      </c>
      <c r="M186">
        <v>1</v>
      </c>
      <c r="N186" t="str">
        <v>Permanent</v>
      </c>
      <c r="O186" t="str">
        <v>Wellington, New Zealand</v>
      </c>
      <c r="P186">
        <v>4.8099999999999996</v>
      </c>
      <c r="Q186" t="str">
        <v>Fulltime</v>
      </c>
    </row>
    <row r="187" spans="5:17" x14ac:dyDescent="0.35">
      <c r="E187" t="str">
        <v>SQ03321</v>
      </c>
      <c r="F187" t="str">
        <v>Gradey</v>
      </c>
      <c r="G187" t="str">
        <v>Litton</v>
      </c>
      <c r="H187" t="str">
        <v>Female</v>
      </c>
      <c r="I187" t="str">
        <v>Accounting</v>
      </c>
      <c r="J187">
        <v>68887.839999999997</v>
      </c>
      <c r="K187" t="str">
        <v>Above 50k but less than 100k</v>
      </c>
      <c r="L187">
        <v>43297</v>
      </c>
      <c r="M187">
        <v>1</v>
      </c>
      <c r="N187" t="str">
        <v>Permanent</v>
      </c>
      <c r="O187" t="str">
        <v>Remote</v>
      </c>
      <c r="P187">
        <v>6.76</v>
      </c>
      <c r="Q187" t="str">
        <v>Fulltime</v>
      </c>
    </row>
    <row r="188" spans="5:17" x14ac:dyDescent="0.35">
      <c r="E188" t="str">
        <v>TN04058</v>
      </c>
      <c r="F188" t="str">
        <v>Vasu</v>
      </c>
      <c r="G188" t="str">
        <v>Nandin</v>
      </c>
      <c r="H188" t="str">
        <v>Male</v>
      </c>
      <c r="I188" t="str">
        <v>Product Management</v>
      </c>
      <c r="J188">
        <v>106775.14</v>
      </c>
      <c r="K188" t="str">
        <v>Above 100k</v>
      </c>
      <c r="L188">
        <v>43563</v>
      </c>
      <c r="M188">
        <v>1</v>
      </c>
      <c r="N188" t="str">
        <v>Fixed Term</v>
      </c>
      <c r="O188" t="str">
        <v>Hyderabad, India</v>
      </c>
      <c r="P188">
        <v>6.04</v>
      </c>
      <c r="Q188" t="str">
        <v>Fulltime</v>
      </c>
    </row>
    <row r="189" spans="5:17" x14ac:dyDescent="0.35">
      <c r="E189" t="str">
        <v>SQ00841</v>
      </c>
      <c r="F189" t="str">
        <v>Bhuvan</v>
      </c>
      <c r="G189" t="str">
        <v>Pals</v>
      </c>
      <c r="H189" t="str">
        <v>Female</v>
      </c>
      <c r="I189" t="str">
        <v>Services</v>
      </c>
      <c r="J189">
        <v>89690.38</v>
      </c>
      <c r="K189" t="str">
        <v>Above 50k but less than 100k</v>
      </c>
      <c r="L189">
        <v>43213</v>
      </c>
      <c r="M189">
        <v>1</v>
      </c>
      <c r="N189" t="str">
        <v>Permanent</v>
      </c>
      <c r="O189" t="str">
        <v>Hyderabad, India</v>
      </c>
      <c r="P189">
        <v>6.99</v>
      </c>
      <c r="Q189" t="str">
        <v>Fulltime</v>
      </c>
    </row>
    <row r="190" spans="5:17" x14ac:dyDescent="0.35">
      <c r="E190" t="str">
        <v>SQ04603</v>
      </c>
      <c r="F190" t="str">
        <v>Natalee</v>
      </c>
      <c r="G190" t="str">
        <v>Craiker</v>
      </c>
      <c r="H190" t="str">
        <v>Male</v>
      </c>
      <c r="I190" t="str">
        <v>Product Management</v>
      </c>
      <c r="J190">
        <v>111229.47</v>
      </c>
      <c r="K190" t="str">
        <v>Above 100k</v>
      </c>
      <c r="L190">
        <v>43402</v>
      </c>
      <c r="M190">
        <v>1</v>
      </c>
      <c r="N190" t="str">
        <v>Permanent</v>
      </c>
      <c r="O190" t="str">
        <v>Remote</v>
      </c>
      <c r="P190">
        <v>6.48</v>
      </c>
      <c r="Q190" t="str">
        <v>Fulltime</v>
      </c>
    </row>
    <row r="191" spans="5:17" x14ac:dyDescent="0.35">
      <c r="E191" t="str">
        <v>TN03068</v>
      </c>
      <c r="F191" t="str">
        <v>Gumwant</v>
      </c>
      <c r="G191" t="str">
        <v>Veera</v>
      </c>
      <c r="H191" t="str">
        <v>Male</v>
      </c>
      <c r="I191" t="str">
        <v>Business Development</v>
      </c>
      <c r="J191">
        <v>39784.239999999998</v>
      </c>
      <c r="K191" t="str">
        <v>Less than 50k</v>
      </c>
      <c r="L191">
        <v>43465</v>
      </c>
      <c r="M191">
        <v>1</v>
      </c>
      <c r="N191" t="str">
        <v>Fixed Term</v>
      </c>
      <c r="O191" t="str">
        <v>Chennai, India</v>
      </c>
      <c r="P191">
        <v>6.3</v>
      </c>
      <c r="Q191" t="str">
        <v>Fulltime</v>
      </c>
    </row>
    <row r="192" spans="5:17" x14ac:dyDescent="0.35">
      <c r="E192" t="str">
        <v>VT03701</v>
      </c>
      <c r="F192" t="str">
        <v>Narois</v>
      </c>
      <c r="G192" t="str">
        <v>Motiwala</v>
      </c>
      <c r="H192" t="str">
        <v>Female</v>
      </c>
      <c r="I192" t="str">
        <v>Product Management</v>
      </c>
      <c r="J192">
        <v>89829.33</v>
      </c>
      <c r="K192" t="str">
        <v>Above 50k but less than 100k</v>
      </c>
      <c r="L192">
        <v>43794</v>
      </c>
      <c r="M192">
        <v>1</v>
      </c>
      <c r="N192" t="str">
        <v>Temporary</v>
      </c>
      <c r="O192" t="str">
        <v>Chennai, India</v>
      </c>
      <c r="P192">
        <v>5.4</v>
      </c>
      <c r="Q192" t="str">
        <v>Fulltime</v>
      </c>
    </row>
    <row r="193" spans="5:17" x14ac:dyDescent="0.35">
      <c r="E193" t="str">
        <v>VT02374</v>
      </c>
      <c r="F193" t="str">
        <v>Delphine</v>
      </c>
      <c r="G193" t="str">
        <v>Jewis</v>
      </c>
      <c r="H193" t="str">
        <v>Female</v>
      </c>
      <c r="I193" t="str">
        <v>Accounting</v>
      </c>
      <c r="J193">
        <v>71823.56</v>
      </c>
      <c r="K193" t="str">
        <v>Above 50k but less than 100k</v>
      </c>
      <c r="L193">
        <v>43374</v>
      </c>
      <c r="M193">
        <v>0.3</v>
      </c>
      <c r="N193" t="str">
        <v>Temporary</v>
      </c>
      <c r="O193" t="str">
        <v>Remote</v>
      </c>
      <c r="P193">
        <v>6.55</v>
      </c>
      <c r="Q193" t="str">
        <v>Partime</v>
      </c>
    </row>
    <row r="194" spans="5:17" x14ac:dyDescent="0.35">
      <c r="E194" t="str">
        <v>PR01956</v>
      </c>
      <c r="F194" t="str">
        <v>Jamesy</v>
      </c>
      <c r="G194" t="str">
        <v>O'Ferris</v>
      </c>
      <c r="H194" t="str">
        <v>Male</v>
      </c>
      <c r="I194" t="str">
        <v>Accounting</v>
      </c>
      <c r="J194">
        <v>36547.58</v>
      </c>
      <c r="K194" t="str">
        <v>Less than 50k</v>
      </c>
      <c r="L194">
        <v>43416</v>
      </c>
      <c r="M194">
        <v>1</v>
      </c>
      <c r="N194" t="str">
        <v>Permanent</v>
      </c>
      <c r="O194" t="str">
        <v>Remote</v>
      </c>
      <c r="P194">
        <v>6.44</v>
      </c>
      <c r="Q194" t="str">
        <v>Fulltime</v>
      </c>
    </row>
    <row r="195" spans="5:17" x14ac:dyDescent="0.35">
      <c r="E195" t="str">
        <v>SQ03626</v>
      </c>
      <c r="F195" t="str">
        <v>Krishnakanta</v>
      </c>
      <c r="G195" t="str">
        <v>Vellanki</v>
      </c>
      <c r="H195" t="str">
        <v>Female</v>
      </c>
      <c r="I195" t="str">
        <v>Training</v>
      </c>
      <c r="J195">
        <v>95677.9</v>
      </c>
      <c r="K195" t="str">
        <v>Above 50k but less than 100k</v>
      </c>
      <c r="L195">
        <v>44396</v>
      </c>
      <c r="M195">
        <v>0.3</v>
      </c>
      <c r="N195" t="str">
        <v>Permanent</v>
      </c>
      <c r="O195" t="str">
        <v>Chennai, India</v>
      </c>
      <c r="P195">
        <v>3.75</v>
      </c>
      <c r="Q195" t="str">
        <v>Partime</v>
      </c>
    </row>
    <row r="196" spans="5:17" x14ac:dyDescent="0.35">
      <c r="E196" t="str">
        <v>VT01610</v>
      </c>
      <c r="F196" t="str">
        <v>Dhruv</v>
      </c>
      <c r="G196" t="str">
        <v>Manjunath</v>
      </c>
      <c r="H196" t="str">
        <v>Female</v>
      </c>
      <c r="I196" t="str">
        <v>Accounting</v>
      </c>
      <c r="J196">
        <v>76303.820000000007</v>
      </c>
      <c r="K196" t="str">
        <v>Above 50k but less than 100k</v>
      </c>
      <c r="L196">
        <v>43458</v>
      </c>
      <c r="M196">
        <v>1</v>
      </c>
      <c r="N196" t="str">
        <v>Fixed Term</v>
      </c>
      <c r="O196" t="str">
        <v>Hyderabad, India</v>
      </c>
      <c r="P196">
        <v>6.32</v>
      </c>
      <c r="Q196" t="str">
        <v>Fulltime</v>
      </c>
    </row>
    <row r="197" spans="5:17" x14ac:dyDescent="0.35">
      <c r="E197" t="str">
        <v>PR04446</v>
      </c>
      <c r="F197" t="str">
        <v>Sameer</v>
      </c>
      <c r="G197" t="str">
        <v>Shashank</v>
      </c>
      <c r="H197" t="str">
        <v>Female</v>
      </c>
      <c r="I197" t="str">
        <v>Research and Development</v>
      </c>
      <c r="J197">
        <v>92336.08</v>
      </c>
      <c r="K197" t="str">
        <v>Above 50k but less than 100k</v>
      </c>
      <c r="L197">
        <v>44431</v>
      </c>
      <c r="M197">
        <v>1</v>
      </c>
      <c r="N197" t="str">
        <v>Permanent</v>
      </c>
      <c r="O197" t="str">
        <v>Hyderabad, India</v>
      </c>
      <c r="P197">
        <v>3.66</v>
      </c>
      <c r="Q197" t="str">
        <v>Fulltime</v>
      </c>
    </row>
    <row r="198" spans="5:17" x14ac:dyDescent="0.35">
      <c r="E198" t="str">
        <v>SQ04960</v>
      </c>
      <c r="F198" t="str">
        <v>Shubhra</v>
      </c>
      <c r="G198" t="str">
        <v>Potla</v>
      </c>
      <c r="H198" t="str">
        <v>Female</v>
      </c>
      <c r="I198" t="str">
        <v>Support</v>
      </c>
      <c r="J198">
        <v>71924.850000000006</v>
      </c>
      <c r="K198" t="str">
        <v>Above 50k but less than 100k</v>
      </c>
      <c r="L198">
        <v>43822</v>
      </c>
      <c r="M198">
        <v>1</v>
      </c>
      <c r="N198" t="str">
        <v>Permanent</v>
      </c>
      <c r="O198" t="str">
        <v>Chennai, India</v>
      </c>
      <c r="P198">
        <v>5.33</v>
      </c>
      <c r="Q198" t="str">
        <v>Fulltime</v>
      </c>
    </row>
    <row r="199" spans="5:17" x14ac:dyDescent="0.35">
      <c r="E199" t="str">
        <v>VT02532</v>
      </c>
      <c r="F199" t="str">
        <v>Adey</v>
      </c>
      <c r="G199" t="str">
        <v>Ryal</v>
      </c>
      <c r="H199" t="str">
        <v>Female</v>
      </c>
      <c r="I199" t="str">
        <v>Legal</v>
      </c>
      <c r="J199">
        <v>32496.880000000001</v>
      </c>
      <c r="K199" t="str">
        <v>Less than 50k</v>
      </c>
      <c r="L199">
        <v>43234</v>
      </c>
      <c r="M199">
        <v>1</v>
      </c>
      <c r="N199" t="str">
        <v>Temporary</v>
      </c>
      <c r="O199" t="str">
        <v>Remote</v>
      </c>
      <c r="P199">
        <v>6.94</v>
      </c>
      <c r="Q199" t="str">
        <v>Fulltime</v>
      </c>
    </row>
    <row r="200" spans="5:17" x14ac:dyDescent="0.35">
      <c r="E200" t="str">
        <v>SQ03116</v>
      </c>
      <c r="F200" t="str">
        <v>Syd</v>
      </c>
      <c r="G200" t="str">
        <v>Fearn</v>
      </c>
      <c r="H200" t="str">
        <v>Male</v>
      </c>
      <c r="I200" t="str">
        <v>Engineering</v>
      </c>
      <c r="J200">
        <v>108872.77</v>
      </c>
      <c r="K200" t="str">
        <v>Above 100k</v>
      </c>
      <c r="L200">
        <v>43521</v>
      </c>
      <c r="M200">
        <v>1</v>
      </c>
      <c r="N200" t="str">
        <v>Permanent</v>
      </c>
      <c r="O200" t="str">
        <v>Remote</v>
      </c>
      <c r="P200">
        <v>6.15</v>
      </c>
      <c r="Q200" t="str">
        <v>Fulltime</v>
      </c>
    </row>
    <row r="201" spans="5:17" x14ac:dyDescent="0.35">
      <c r="E201" t="str">
        <v>VT04552</v>
      </c>
      <c r="F201" t="str">
        <v>Theresita</v>
      </c>
      <c r="G201" t="str">
        <v>Chasmer</v>
      </c>
      <c r="H201" t="str">
        <v>Female</v>
      </c>
      <c r="I201" t="str">
        <v>Product Management</v>
      </c>
      <c r="J201">
        <v>106665.67</v>
      </c>
      <c r="K201" t="str">
        <v>Above 100k</v>
      </c>
      <c r="L201">
        <v>43311</v>
      </c>
      <c r="M201">
        <v>1</v>
      </c>
      <c r="N201" t="str">
        <v>Temporary</v>
      </c>
      <c r="O201" t="str">
        <v>Columbus, USA</v>
      </c>
      <c r="P201">
        <v>6.73</v>
      </c>
      <c r="Q201" t="str">
        <v>Fulltime</v>
      </c>
    </row>
    <row r="202" spans="5:17" x14ac:dyDescent="0.35">
      <c r="E202" t="str">
        <v>SQ04665</v>
      </c>
      <c r="F202" t="str">
        <v>Collin</v>
      </c>
      <c r="G202" t="str">
        <v>Jagson</v>
      </c>
      <c r="H202" t="str">
        <v>Male</v>
      </c>
      <c r="I202" t="str">
        <v>Services</v>
      </c>
      <c r="J202">
        <v>100424.23</v>
      </c>
      <c r="K202" t="str">
        <v>Above 100k</v>
      </c>
      <c r="L202">
        <v>43801</v>
      </c>
      <c r="M202">
        <v>1</v>
      </c>
      <c r="N202" t="str">
        <v>Permanent</v>
      </c>
      <c r="O202" t="str">
        <v>Auckland, New Zealand</v>
      </c>
      <c r="P202">
        <v>5.38</v>
      </c>
      <c r="Q202" t="str">
        <v>Fulltime</v>
      </c>
    </row>
    <row r="203" spans="5:17" x14ac:dyDescent="0.35">
      <c r="E203" t="str">
        <v>VT01101</v>
      </c>
      <c r="F203" t="str">
        <v>Adela</v>
      </c>
      <c r="G203" t="str">
        <v>Dowsett</v>
      </c>
      <c r="H203" t="str">
        <v>Male</v>
      </c>
      <c r="I203" t="str">
        <v>Support</v>
      </c>
      <c r="J203">
        <v>95017.1</v>
      </c>
      <c r="K203" t="str">
        <v>Above 50k but less than 100k</v>
      </c>
      <c r="L203">
        <v>43283</v>
      </c>
      <c r="M203">
        <v>1</v>
      </c>
      <c r="N203" t="str">
        <v>Fixed Term</v>
      </c>
      <c r="O203" t="str">
        <v>Seattle, USA</v>
      </c>
      <c r="P203">
        <v>6.8</v>
      </c>
      <c r="Q203" t="str">
        <v>Fulltime</v>
      </c>
    </row>
    <row r="204" spans="5:17" x14ac:dyDescent="0.35">
      <c r="E204" t="str">
        <v>VT00596</v>
      </c>
      <c r="F204" t="str">
        <v>Letisha</v>
      </c>
      <c r="G204" t="str">
        <v>Carrett</v>
      </c>
      <c r="H204" t="str">
        <v>Female</v>
      </c>
      <c r="I204" t="str">
        <v>Sales</v>
      </c>
      <c r="J204">
        <v>84598.88</v>
      </c>
      <c r="K204" t="str">
        <v>Above 50k but less than 100k</v>
      </c>
      <c r="L204">
        <v>44116</v>
      </c>
      <c r="M204">
        <v>1</v>
      </c>
      <c r="N204" t="str">
        <v>Fixed Term</v>
      </c>
      <c r="O204" t="str">
        <v>Seattle, USA</v>
      </c>
      <c r="P204">
        <v>4.5199999999999996</v>
      </c>
      <c r="Q204" t="str">
        <v>Fulltime</v>
      </c>
    </row>
    <row r="205" spans="5:17" x14ac:dyDescent="0.35">
      <c r="E205" t="str">
        <v>TN00083</v>
      </c>
      <c r="F205" t="str">
        <v>Chandana</v>
      </c>
      <c r="G205" t="str">
        <v>Sannidhi</v>
      </c>
      <c r="H205" t="str">
        <v>Female</v>
      </c>
      <c r="I205" t="str">
        <v>Business Development</v>
      </c>
      <c r="J205">
        <v>61688.77</v>
      </c>
      <c r="K205" t="str">
        <v>Above 50k but less than 100k</v>
      </c>
      <c r="L205">
        <v>43346</v>
      </c>
      <c r="M205">
        <v>0.9</v>
      </c>
      <c r="N205" t="str">
        <v>Permanent</v>
      </c>
      <c r="O205" t="str">
        <v>Chennai, India</v>
      </c>
      <c r="P205">
        <v>6.63</v>
      </c>
      <c r="Q205" t="str">
        <v>Partime</v>
      </c>
    </row>
    <row r="206" spans="5:17" x14ac:dyDescent="0.35">
      <c r="E206" t="str">
        <v>SQ00914</v>
      </c>
      <c r="F206" t="str">
        <v>Karuna</v>
      </c>
      <c r="G206" t="str">
        <v>Pashupathy</v>
      </c>
      <c r="H206" t="str">
        <v>Female</v>
      </c>
      <c r="I206" t="str">
        <v>Product Management</v>
      </c>
      <c r="J206">
        <v>38438.239999999998</v>
      </c>
      <c r="K206" t="str">
        <v>Less than 50k</v>
      </c>
      <c r="L206">
        <v>43962</v>
      </c>
      <c r="M206">
        <v>1</v>
      </c>
      <c r="N206" t="str">
        <v>Permanent</v>
      </c>
      <c r="O206" t="str">
        <v>Chennai, India</v>
      </c>
      <c r="P206">
        <v>4.9400000000000004</v>
      </c>
      <c r="Q206" t="str">
        <v>Fulltime</v>
      </c>
    </row>
    <row r="207" spans="5:17" x14ac:dyDescent="0.35">
      <c r="E207" t="str">
        <v>TN02674</v>
      </c>
      <c r="F207" t="str">
        <v>Antonetta</v>
      </c>
      <c r="G207" t="str">
        <v>Coggeshall</v>
      </c>
      <c r="H207" t="str">
        <v>Male</v>
      </c>
      <c r="I207" t="str">
        <v>Sales</v>
      </c>
      <c r="J207">
        <v>96753.78</v>
      </c>
      <c r="K207" t="str">
        <v>Above 50k but less than 100k</v>
      </c>
      <c r="L207">
        <v>44494</v>
      </c>
      <c r="M207">
        <v>1</v>
      </c>
      <c r="N207" t="str">
        <v>Permanent</v>
      </c>
      <c r="O207" t="str">
        <v>Auckland, New Zealand</v>
      </c>
      <c r="P207">
        <v>3.48</v>
      </c>
      <c r="Q207" t="str">
        <v>Fulltime</v>
      </c>
    </row>
    <row r="208" spans="5:17" x14ac:dyDescent="0.35">
      <c r="E208" t="str">
        <v>SQ03350</v>
      </c>
      <c r="F208" t="str">
        <v>Felice</v>
      </c>
      <c r="G208" t="str">
        <v>McMurty</v>
      </c>
      <c r="H208" t="str">
        <v>Female</v>
      </c>
      <c r="I208" t="str">
        <v>Product Management</v>
      </c>
      <c r="J208">
        <v>66865.490000000005</v>
      </c>
      <c r="K208" t="str">
        <v>Above 50k but less than 100k</v>
      </c>
      <c r="L208">
        <v>43514</v>
      </c>
      <c r="M208">
        <v>1</v>
      </c>
      <c r="N208" t="str">
        <v>Permanent</v>
      </c>
      <c r="O208" t="str">
        <v>Seattle, USA</v>
      </c>
      <c r="P208">
        <v>6.17</v>
      </c>
      <c r="Q208" t="str">
        <v>Fulltime</v>
      </c>
    </row>
    <row r="209" spans="5:17" x14ac:dyDescent="0.35">
      <c r="E209" t="str">
        <v>PR03886</v>
      </c>
      <c r="F209" t="str">
        <v>Edd</v>
      </c>
      <c r="G209" t="str">
        <v>MacKnockiter</v>
      </c>
      <c r="H209" t="str">
        <v>Male</v>
      </c>
      <c r="I209" t="str">
        <v>Accounting</v>
      </c>
      <c r="J209">
        <v>119022.49</v>
      </c>
      <c r="K209" t="str">
        <v>Above 100k</v>
      </c>
      <c r="L209">
        <v>44431</v>
      </c>
      <c r="M209">
        <v>1</v>
      </c>
      <c r="N209" t="str">
        <v>Permanent</v>
      </c>
      <c r="O209" t="str">
        <v>Auckland, New Zealand</v>
      </c>
      <c r="P209">
        <v>3.66</v>
      </c>
      <c r="Q209" t="str">
        <v>Fulltime</v>
      </c>
    </row>
    <row r="210" spans="5:17" x14ac:dyDescent="0.35">
      <c r="E210" t="str">
        <v>SQ00105</v>
      </c>
      <c r="F210" t="str">
        <v>Sarayu</v>
      </c>
      <c r="G210" t="str">
        <v>Ragunathan</v>
      </c>
      <c r="H210" t="str">
        <v>Female</v>
      </c>
      <c r="I210" t="str">
        <v>Training</v>
      </c>
      <c r="J210">
        <v>86010.54</v>
      </c>
      <c r="K210" t="str">
        <v>Above 50k but less than 100k</v>
      </c>
      <c r="L210">
        <v>43164</v>
      </c>
      <c r="M210">
        <v>1</v>
      </c>
      <c r="N210" t="str">
        <v>Permanent</v>
      </c>
      <c r="O210" t="str">
        <v>Chennai, India</v>
      </c>
      <c r="P210">
        <v>7.13</v>
      </c>
      <c r="Q210" t="str">
        <v>Fulltime</v>
      </c>
    </row>
    <row r="211" spans="5:17" x14ac:dyDescent="0.35">
      <c r="E211" t="str">
        <v>SQ02424</v>
      </c>
      <c r="F211" t="str">
        <v>Kevalkumar</v>
      </c>
      <c r="G211" t="str">
        <v>Solanki</v>
      </c>
      <c r="H211" t="str">
        <v>Male</v>
      </c>
      <c r="I211" t="str">
        <v>Accounting</v>
      </c>
      <c r="J211">
        <v>52270.22</v>
      </c>
      <c r="K211" t="str">
        <v>Above 50k but less than 100k</v>
      </c>
      <c r="L211">
        <v>43521</v>
      </c>
      <c r="M211">
        <v>0.3</v>
      </c>
      <c r="N211" t="str">
        <v>Permanent</v>
      </c>
      <c r="O211" t="str">
        <v>Chennai, India</v>
      </c>
      <c r="P211">
        <v>6.15</v>
      </c>
      <c r="Q211" t="str">
        <v>Partime</v>
      </c>
    </row>
    <row r="212" spans="5:17" x14ac:dyDescent="0.35">
      <c r="E212" t="str">
        <v>VT01703</v>
      </c>
      <c r="F212" t="str">
        <v>Upendra</v>
      </c>
      <c r="G212" t="str">
        <v>Swati</v>
      </c>
      <c r="H212" t="str">
        <v>Male</v>
      </c>
      <c r="I212" t="str">
        <v>Engineering</v>
      </c>
      <c r="J212">
        <v>61624.77</v>
      </c>
      <c r="K212" t="str">
        <v>Above 50k but less than 100k</v>
      </c>
      <c r="L212">
        <v>43430</v>
      </c>
      <c r="M212">
        <v>0.3</v>
      </c>
      <c r="N212" t="str">
        <v>Fixed Term</v>
      </c>
      <c r="O212" t="str">
        <v>Hyderabad, India</v>
      </c>
      <c r="P212">
        <v>6.4</v>
      </c>
      <c r="Q212" t="str">
        <v>Partime</v>
      </c>
    </row>
    <row r="213" spans="5:17" x14ac:dyDescent="0.35">
      <c r="E213" t="str">
        <v>VT04373</v>
      </c>
      <c r="F213" t="str">
        <v>Edi</v>
      </c>
      <c r="G213" t="str">
        <v>Hofton</v>
      </c>
      <c r="H213" t="str">
        <v>Male</v>
      </c>
      <c r="I213" t="str">
        <v>Research and Development</v>
      </c>
      <c r="J213">
        <v>28160.79</v>
      </c>
      <c r="K213" t="str">
        <v>Less than 50k</v>
      </c>
      <c r="L213">
        <v>43129</v>
      </c>
      <c r="M213">
        <v>1</v>
      </c>
      <c r="N213" t="str">
        <v>Temporary</v>
      </c>
      <c r="O213" t="str">
        <v>Remote</v>
      </c>
      <c r="P213">
        <v>7.22</v>
      </c>
      <c r="Q213" t="str">
        <v>Fulltime</v>
      </c>
    </row>
    <row r="214" spans="5:17" x14ac:dyDescent="0.35">
      <c r="E214" t="str">
        <v>VT01610</v>
      </c>
      <c r="F214" t="str">
        <v>Kunja</v>
      </c>
      <c r="G214" t="str">
        <v>Prashanta</v>
      </c>
      <c r="H214" t="str">
        <v>Female</v>
      </c>
      <c r="I214" t="str">
        <v>Accounting</v>
      </c>
      <c r="J214">
        <v>76303.820000000007</v>
      </c>
      <c r="K214" t="str">
        <v>Above 50k but less than 100k</v>
      </c>
      <c r="L214">
        <v>43458</v>
      </c>
      <c r="M214">
        <v>1</v>
      </c>
      <c r="N214" t="str">
        <v>Fixed Term</v>
      </c>
      <c r="O214" t="str">
        <v>Hyderabad, India</v>
      </c>
      <c r="P214">
        <v>6.32</v>
      </c>
      <c r="Q214" t="str">
        <v>Fulltime</v>
      </c>
    </row>
    <row r="215" spans="5:17" x14ac:dyDescent="0.35">
      <c r="E215" t="str">
        <v>PR02016</v>
      </c>
      <c r="F215" t="str">
        <v>Iris</v>
      </c>
      <c r="G215" t="str">
        <v>Wagg</v>
      </c>
      <c r="H215" t="str">
        <v>Female</v>
      </c>
      <c r="I215" t="str">
        <v>Engeneering</v>
      </c>
      <c r="J215">
        <v>58861.19</v>
      </c>
      <c r="K215" t="str">
        <v>Above 50k but less than 100k</v>
      </c>
      <c r="L215">
        <v>43654</v>
      </c>
      <c r="M215">
        <v>1</v>
      </c>
      <c r="N215" t="str">
        <v>Permanent</v>
      </c>
      <c r="O215" t="str">
        <v>Columbus, USA</v>
      </c>
      <c r="P215">
        <v>5.79</v>
      </c>
      <c r="Q215" t="str">
        <v>Fulltime</v>
      </c>
    </row>
    <row r="216" spans="5:17" x14ac:dyDescent="0.35">
      <c r="E216" t="str">
        <v>VT04415</v>
      </c>
      <c r="F216" t="str">
        <v>Malory</v>
      </c>
      <c r="G216" t="str">
        <v>Biles</v>
      </c>
      <c r="H216" t="str">
        <v>Female</v>
      </c>
      <c r="I216" t="str">
        <v>Training</v>
      </c>
      <c r="J216">
        <v>58744.17</v>
      </c>
      <c r="K216" t="str">
        <v>Above 50k but less than 100k</v>
      </c>
      <c r="L216">
        <v>43171</v>
      </c>
      <c r="M216">
        <v>1</v>
      </c>
      <c r="N216" t="str">
        <v>Temporary</v>
      </c>
      <c r="O216" t="str">
        <v>Columbus, USA</v>
      </c>
      <c r="P216">
        <v>7.11</v>
      </c>
      <c r="Q216" t="str">
        <v>Fulltime</v>
      </c>
    </row>
    <row r="217" spans="5:17" x14ac:dyDescent="0.35">
      <c r="E217" t="str">
        <v>TN04067</v>
      </c>
      <c r="F217" t="str">
        <v>Lea</v>
      </c>
      <c r="G217" t="str">
        <v>Chaplin</v>
      </c>
      <c r="H217" t="str">
        <v>Female</v>
      </c>
      <c r="I217" t="str">
        <v>Human Resources</v>
      </c>
      <c r="J217">
        <v>73488.679999999993</v>
      </c>
      <c r="K217" t="str">
        <v>Above 50k but less than 100k</v>
      </c>
      <c r="L217">
        <v>43570</v>
      </c>
      <c r="M217">
        <v>1</v>
      </c>
      <c r="N217" t="str">
        <v>Fixed Term</v>
      </c>
      <c r="O217" t="str">
        <v>Seattle, USA</v>
      </c>
      <c r="P217">
        <v>6.02</v>
      </c>
      <c r="Q217" t="str">
        <v>Fulltime</v>
      </c>
    </row>
    <row r="218" spans="5:17" x14ac:dyDescent="0.35">
      <c r="E218" t="str">
        <v>TN04175</v>
      </c>
      <c r="F218" t="str">
        <v>Hinda</v>
      </c>
      <c r="G218" t="str">
        <v>Label</v>
      </c>
      <c r="H218" t="str">
        <v>Female</v>
      </c>
      <c r="I218" t="str">
        <v>Human Resources</v>
      </c>
      <c r="J218">
        <v>92704.48</v>
      </c>
      <c r="K218" t="str">
        <v>Above 50k but less than 100k</v>
      </c>
      <c r="L218">
        <v>43430</v>
      </c>
      <c r="M218">
        <v>1</v>
      </c>
      <c r="N218" t="str">
        <v>Fixed Term</v>
      </c>
      <c r="O218" t="str">
        <v>Columbus, USA</v>
      </c>
      <c r="P218">
        <v>6.4</v>
      </c>
      <c r="Q218" t="str">
        <v>Fulltime</v>
      </c>
    </row>
    <row r="219" spans="5:17" x14ac:dyDescent="0.35">
      <c r="E219" t="str">
        <v>SQ02174</v>
      </c>
      <c r="F219" t="str">
        <v>Sidoney</v>
      </c>
      <c r="G219" t="str">
        <v>Yitzhok</v>
      </c>
      <c r="H219" t="str">
        <v>Female</v>
      </c>
      <c r="I219" t="str">
        <v>Engeneering</v>
      </c>
      <c r="J219">
        <v>118442.54</v>
      </c>
      <c r="K219" t="str">
        <v>Above 100k</v>
      </c>
      <c r="L219">
        <v>44193</v>
      </c>
      <c r="M219">
        <v>1</v>
      </c>
      <c r="N219" t="str">
        <v>Permanent</v>
      </c>
      <c r="O219" t="str">
        <v>Auckland, New Zealand</v>
      </c>
      <c r="P219">
        <v>4.3099999999999996</v>
      </c>
      <c r="Q219" t="str">
        <v>Fulltime</v>
      </c>
    </row>
    <row r="220" spans="5:17" x14ac:dyDescent="0.35">
      <c r="E220" t="str">
        <v>VT00596</v>
      </c>
      <c r="F220" t="str">
        <v>Letisha</v>
      </c>
      <c r="G220" t="str">
        <v>Carrett</v>
      </c>
      <c r="H220" t="str">
        <v>Female</v>
      </c>
      <c r="I220" t="str">
        <v>Sales</v>
      </c>
      <c r="J220">
        <v>84598.88</v>
      </c>
      <c r="K220" t="str">
        <v>Above 50k but less than 100k</v>
      </c>
      <c r="L220">
        <v>44116</v>
      </c>
      <c r="M220">
        <v>1</v>
      </c>
      <c r="N220" t="str">
        <v>Fixed Term</v>
      </c>
      <c r="O220" t="str">
        <v>Seattle, USA</v>
      </c>
      <c r="P220">
        <v>4.5199999999999996</v>
      </c>
      <c r="Q220" t="str">
        <v>Fulltime</v>
      </c>
    </row>
    <row r="221" spans="5:17" x14ac:dyDescent="0.35">
      <c r="E221" t="str">
        <v>TN01601</v>
      </c>
      <c r="F221" t="str">
        <v>Melva</v>
      </c>
      <c r="G221" t="str">
        <v>Jickells</v>
      </c>
      <c r="H221" t="str">
        <v>Female</v>
      </c>
      <c r="I221" t="str">
        <v>Product Management</v>
      </c>
      <c r="J221">
        <v>68795.48</v>
      </c>
      <c r="K221" t="str">
        <v>Above 50k but less than 100k</v>
      </c>
      <c r="L221">
        <v>44277</v>
      </c>
      <c r="M221">
        <v>0.2</v>
      </c>
      <c r="N221" t="str">
        <v>Permanent</v>
      </c>
      <c r="O221" t="str">
        <v>Remote</v>
      </c>
      <c r="P221">
        <v>4.08</v>
      </c>
      <c r="Q221" t="str">
        <v>Partime</v>
      </c>
    </row>
    <row r="222" spans="5:17" x14ac:dyDescent="0.35">
      <c r="E222" t="str">
        <v>SQ01730</v>
      </c>
      <c r="F222" t="str">
        <v>Austine</v>
      </c>
      <c r="G222" t="str">
        <v>Littlewood</v>
      </c>
      <c r="H222" t="str">
        <v>Female</v>
      </c>
      <c r="I222" t="str">
        <v>Services</v>
      </c>
      <c r="J222">
        <v>32269.91</v>
      </c>
      <c r="K222" t="str">
        <v>Less than 50k</v>
      </c>
      <c r="L222">
        <v>43346</v>
      </c>
      <c r="M222">
        <v>1</v>
      </c>
      <c r="N222" t="str">
        <v>Permanent</v>
      </c>
      <c r="O222" t="str">
        <v>Remote</v>
      </c>
      <c r="P222">
        <v>6.63</v>
      </c>
      <c r="Q222" t="str">
        <v>Fulltime</v>
      </c>
    </row>
    <row r="223" spans="5:17" x14ac:dyDescent="0.35">
      <c r="E223" t="str">
        <v>TN03355</v>
      </c>
      <c r="F223" t="str">
        <v>Ruby</v>
      </c>
      <c r="G223" t="str">
        <v>Cracie</v>
      </c>
      <c r="H223" t="str">
        <v>Male</v>
      </c>
      <c r="I223" t="str">
        <v>Research and Development</v>
      </c>
      <c r="J223">
        <v>78705.929999999993</v>
      </c>
      <c r="K223" t="str">
        <v>Above 50k but less than 100k</v>
      </c>
      <c r="L223">
        <v>43409</v>
      </c>
      <c r="M223">
        <v>1</v>
      </c>
      <c r="N223" t="str">
        <v>Fixed Term</v>
      </c>
      <c r="O223" t="str">
        <v>Seattle, USA</v>
      </c>
      <c r="P223">
        <v>6.46</v>
      </c>
      <c r="Q223" t="str">
        <v>Fulltime</v>
      </c>
    </row>
    <row r="224" spans="5:17" x14ac:dyDescent="0.35">
      <c r="E224" t="str">
        <v>PR02275</v>
      </c>
      <c r="F224" t="str">
        <v>Louise</v>
      </c>
      <c r="G224" t="str">
        <v>Lamming</v>
      </c>
      <c r="H224" t="str">
        <v>Female</v>
      </c>
      <c r="I224" t="str">
        <v>Sales</v>
      </c>
      <c r="J224">
        <v>41934.71</v>
      </c>
      <c r="K224" t="str">
        <v>Less than 50k</v>
      </c>
      <c r="L224">
        <v>43780</v>
      </c>
      <c r="M224">
        <v>1</v>
      </c>
      <c r="N224" t="str">
        <v>Permanent</v>
      </c>
      <c r="O224" t="str">
        <v>Remote</v>
      </c>
      <c r="P224">
        <v>5.44</v>
      </c>
      <c r="Q224" t="str">
        <v>Fulltime</v>
      </c>
    </row>
    <row r="225" spans="5:17" x14ac:dyDescent="0.35">
      <c r="E225" t="str">
        <v>PR01055</v>
      </c>
      <c r="F225" t="str">
        <v>Devasree</v>
      </c>
      <c r="G225" t="str">
        <v>Fullara</v>
      </c>
      <c r="H225" t="str">
        <v>Male</v>
      </c>
      <c r="I225" t="str">
        <v>Accounting</v>
      </c>
      <c r="J225">
        <v>35936.31</v>
      </c>
      <c r="K225" t="str">
        <v>Less than 50k</v>
      </c>
      <c r="L225">
        <v>43241</v>
      </c>
      <c r="M225">
        <v>1</v>
      </c>
      <c r="N225" t="str">
        <v>Permanent</v>
      </c>
      <c r="O225" t="str">
        <v>Chennai, India</v>
      </c>
      <c r="P225">
        <v>6.92</v>
      </c>
      <c r="Q225" t="str">
        <v>Fulltime</v>
      </c>
    </row>
    <row r="226" spans="5:17" x14ac:dyDescent="0.35">
      <c r="E226" t="str">
        <v>TN01601</v>
      </c>
      <c r="F226" t="str">
        <v>Melva</v>
      </c>
      <c r="G226" t="str">
        <v>Jickells</v>
      </c>
      <c r="H226" t="str">
        <v>Female</v>
      </c>
      <c r="I226" t="str">
        <v>Product Management</v>
      </c>
      <c r="J226">
        <v>68795.48</v>
      </c>
      <c r="K226" t="str">
        <v>Above 50k but less than 100k</v>
      </c>
      <c r="L226">
        <v>44277</v>
      </c>
      <c r="M226">
        <v>0.2</v>
      </c>
      <c r="N226" t="str">
        <v>Permanent</v>
      </c>
      <c r="O226" t="str">
        <v>Remote</v>
      </c>
      <c r="P226">
        <v>4.08</v>
      </c>
      <c r="Q226" t="str">
        <v>Partime</v>
      </c>
    </row>
    <row r="227" spans="5:17" x14ac:dyDescent="0.35">
      <c r="E227" t="str">
        <v>TN03575</v>
      </c>
      <c r="F227" t="str">
        <v>Janina</v>
      </c>
      <c r="G227" t="str">
        <v>Wolverson</v>
      </c>
      <c r="H227" t="str">
        <v>Female</v>
      </c>
      <c r="I227" t="str">
        <v>Research and Development</v>
      </c>
      <c r="J227">
        <v>99683.67</v>
      </c>
      <c r="K227" t="str">
        <v>Above 50k but less than 100k</v>
      </c>
      <c r="L227">
        <v>43500</v>
      </c>
      <c r="M227">
        <v>1</v>
      </c>
      <c r="N227" t="str">
        <v>Fixed Term</v>
      </c>
      <c r="O227" t="str">
        <v>Seattle, USA</v>
      </c>
      <c r="P227">
        <v>6.21</v>
      </c>
      <c r="Q227" t="str">
        <v>Fulltime</v>
      </c>
    </row>
    <row r="228" spans="5:17" x14ac:dyDescent="0.35">
      <c r="E228" t="str">
        <v>VT04273</v>
      </c>
      <c r="F228" t="str">
        <v>Brad</v>
      </c>
      <c r="G228" t="str">
        <v>Gumb</v>
      </c>
      <c r="H228" t="str">
        <v>Male</v>
      </c>
      <c r="I228" t="str">
        <v>Accounting</v>
      </c>
      <c r="J228">
        <v>38825.18</v>
      </c>
      <c r="K228" t="str">
        <v>Less than 50k</v>
      </c>
      <c r="L228">
        <v>43696</v>
      </c>
      <c r="M228">
        <v>1</v>
      </c>
      <c r="N228" t="str">
        <v>Temporary</v>
      </c>
      <c r="O228" t="str">
        <v>Remote</v>
      </c>
      <c r="P228">
        <v>5.67</v>
      </c>
      <c r="Q228" t="str">
        <v>Fulltime</v>
      </c>
    </row>
    <row r="229" spans="5:17" x14ac:dyDescent="0.35">
      <c r="E229" t="str">
        <v>PR00113</v>
      </c>
      <c r="F229" t="str">
        <v>Van</v>
      </c>
      <c r="G229" t="str">
        <v>Tuxwell</v>
      </c>
      <c r="H229" t="str">
        <v>Female</v>
      </c>
      <c r="I229" t="str">
        <v>Business Development</v>
      </c>
      <c r="J229">
        <v>80695.740000000005</v>
      </c>
      <c r="K229" t="str">
        <v>Above 50k but less than 100k</v>
      </c>
      <c r="L229">
        <v>43360</v>
      </c>
      <c r="M229">
        <v>1</v>
      </c>
      <c r="N229" t="str">
        <v>Permanent</v>
      </c>
      <c r="O229" t="str">
        <v>Columbus, USA</v>
      </c>
      <c r="P229">
        <v>6.59</v>
      </c>
      <c r="Q229" t="str">
        <v>Fulltime</v>
      </c>
    </row>
    <row r="230" spans="5:17" x14ac:dyDescent="0.35">
      <c r="E230" t="str">
        <v>PR01383</v>
      </c>
      <c r="F230" t="str">
        <v>Addi</v>
      </c>
      <c r="G230" t="str">
        <v>Studdeard</v>
      </c>
      <c r="H230" t="str">
        <v>Female</v>
      </c>
      <c r="I230" t="str">
        <v>Product Management</v>
      </c>
      <c r="J230">
        <v>72502.61</v>
      </c>
      <c r="K230" t="str">
        <v>Above 50k but less than 100k</v>
      </c>
      <c r="L230">
        <v>44235</v>
      </c>
      <c r="M230">
        <v>1</v>
      </c>
      <c r="N230" t="str">
        <v>Permanent</v>
      </c>
      <c r="O230" t="str">
        <v>Wellington, New Zealand</v>
      </c>
      <c r="P230">
        <v>4.1900000000000004</v>
      </c>
      <c r="Q230" t="str">
        <v>Fulltime</v>
      </c>
    </row>
    <row r="231" spans="5:17" x14ac:dyDescent="0.35">
      <c r="E231" t="str">
        <v>PR00007</v>
      </c>
      <c r="F231" t="str">
        <v>Torrance</v>
      </c>
      <c r="G231" t="str">
        <v>Collier</v>
      </c>
      <c r="H231" t="str">
        <v>Female</v>
      </c>
      <c r="I231" t="str">
        <v>Training</v>
      </c>
      <c r="J231">
        <v>96135.75</v>
      </c>
      <c r="K231" t="str">
        <v>Above 50k but less than 100k</v>
      </c>
      <c r="L231">
        <v>44025</v>
      </c>
      <c r="M231">
        <v>0.3</v>
      </c>
      <c r="N231" t="str">
        <v>Permanent</v>
      </c>
      <c r="O231" t="str">
        <v>Wellington, New Zealand</v>
      </c>
      <c r="P231">
        <v>4.7699999999999996</v>
      </c>
      <c r="Q231" t="str">
        <v>Partime</v>
      </c>
    </row>
    <row r="232" spans="5:17" x14ac:dyDescent="0.35">
      <c r="E232" t="str">
        <v>SQ03491</v>
      </c>
      <c r="F232" t="str">
        <v>Freda</v>
      </c>
      <c r="G232" t="str">
        <v>Legan</v>
      </c>
      <c r="H232" t="str">
        <v>Female</v>
      </c>
      <c r="I232" t="str">
        <v>Sales</v>
      </c>
      <c r="J232">
        <v>102129.37</v>
      </c>
      <c r="K232" t="str">
        <v>Above 100k</v>
      </c>
      <c r="L232">
        <v>44396</v>
      </c>
      <c r="M232">
        <v>1</v>
      </c>
      <c r="N232" t="str">
        <v>Permanent</v>
      </c>
      <c r="O232" t="str">
        <v>Columbus, USA</v>
      </c>
      <c r="P232">
        <v>3.75</v>
      </c>
      <c r="Q232" t="str">
        <v>Fulltime</v>
      </c>
    </row>
    <row r="233" spans="5:17" x14ac:dyDescent="0.35">
      <c r="E233" t="str">
        <v>SQ02371</v>
      </c>
      <c r="F233" t="str">
        <v>Alida</v>
      </c>
      <c r="G233" t="str">
        <v>Welman</v>
      </c>
      <c r="H233" t="str">
        <v>Male</v>
      </c>
      <c r="I233" t="str">
        <v>Human Resources</v>
      </c>
      <c r="J233">
        <v>69862.38</v>
      </c>
      <c r="K233" t="str">
        <v>Above 50k but less than 100k</v>
      </c>
      <c r="L233">
        <v>43458</v>
      </c>
      <c r="M233">
        <v>1</v>
      </c>
      <c r="N233" t="str">
        <v>Permanent</v>
      </c>
      <c r="O233" t="str">
        <v>Wellington, New Zealand</v>
      </c>
      <c r="P233">
        <v>6.32</v>
      </c>
      <c r="Q233" t="str">
        <v>Fulltime</v>
      </c>
    </row>
    <row r="234" spans="5:17" x14ac:dyDescent="0.35">
      <c r="E234" t="str">
        <v>PR01956</v>
      </c>
      <c r="F234" t="str">
        <v>Jamesy</v>
      </c>
      <c r="G234" t="str">
        <v>O'Ferris</v>
      </c>
      <c r="H234" t="str">
        <v>Male</v>
      </c>
      <c r="I234" t="str">
        <v>Accounting</v>
      </c>
      <c r="J234">
        <v>36547.58</v>
      </c>
      <c r="K234" t="str">
        <v>Less than 50k</v>
      </c>
      <c r="L234">
        <v>43416</v>
      </c>
      <c r="M234">
        <v>1</v>
      </c>
      <c r="N234" t="str">
        <v>Permanent</v>
      </c>
      <c r="O234" t="str">
        <v>Remote</v>
      </c>
      <c r="P234">
        <v>6.44</v>
      </c>
      <c r="Q234" t="str">
        <v>Fulltime</v>
      </c>
    </row>
    <row r="235" spans="5:17" x14ac:dyDescent="0.35">
      <c r="E235" t="str">
        <v>TN02674</v>
      </c>
      <c r="F235" t="str">
        <v>Antonetta</v>
      </c>
      <c r="G235" t="str">
        <v>Coggeshall</v>
      </c>
      <c r="H235" t="str">
        <v>Male</v>
      </c>
      <c r="I235" t="str">
        <v>Sales</v>
      </c>
      <c r="J235">
        <v>96753.78</v>
      </c>
      <c r="K235" t="str">
        <v>Above 50k but less than 100k</v>
      </c>
      <c r="L235">
        <v>44494</v>
      </c>
      <c r="M235">
        <v>1</v>
      </c>
      <c r="N235" t="str">
        <v>Permanent</v>
      </c>
      <c r="O235" t="str">
        <v>Auckland, New Zealand</v>
      </c>
      <c r="P235">
        <v>3.48</v>
      </c>
      <c r="Q235" t="str">
        <v>Fulltime</v>
      </c>
    </row>
    <row r="236" spans="5:17" x14ac:dyDescent="0.35">
      <c r="E236" t="str">
        <v>PR00113</v>
      </c>
      <c r="F236" t="str">
        <v>Van</v>
      </c>
      <c r="G236" t="str">
        <v>Tuxwell</v>
      </c>
      <c r="H236" t="str">
        <v>Female</v>
      </c>
      <c r="I236" t="str">
        <v>Business Development</v>
      </c>
      <c r="J236">
        <v>80695.740000000005</v>
      </c>
      <c r="K236" t="str">
        <v>Above 50k but less than 100k</v>
      </c>
      <c r="L236">
        <v>43360</v>
      </c>
      <c r="M236">
        <v>1</v>
      </c>
      <c r="N236" t="str">
        <v>Permanent</v>
      </c>
      <c r="O236" t="str">
        <v>Columbus, USA</v>
      </c>
      <c r="P236">
        <v>6.59</v>
      </c>
      <c r="Q236" t="str">
        <v>Fulltime</v>
      </c>
    </row>
    <row r="237" spans="5:17" x14ac:dyDescent="0.35">
      <c r="E237" t="str">
        <v>TN02205</v>
      </c>
      <c r="F237" t="str">
        <v>Madhumati</v>
      </c>
      <c r="G237" t="str">
        <v>Gazala</v>
      </c>
      <c r="H237" t="str">
        <v>Male</v>
      </c>
      <c r="I237" t="str">
        <v>Research and Development</v>
      </c>
      <c r="J237">
        <v>69709.509999999995</v>
      </c>
      <c r="K237" t="str">
        <v>Above 50k but less than 100k</v>
      </c>
      <c r="L237">
        <v>43472</v>
      </c>
      <c r="M237">
        <v>1</v>
      </c>
      <c r="N237" t="str">
        <v>Permanent</v>
      </c>
      <c r="O237" t="str">
        <v>Hyderabad, India</v>
      </c>
      <c r="P237">
        <v>6.28</v>
      </c>
      <c r="Q237" t="str">
        <v>Fulltime</v>
      </c>
    </row>
    <row r="238" spans="5:17" x14ac:dyDescent="0.35">
      <c r="E238" t="str">
        <v>VT00740</v>
      </c>
      <c r="F238" t="str">
        <v>Chitrasen</v>
      </c>
      <c r="G238" t="str">
        <v>Laul</v>
      </c>
      <c r="H238" t="str">
        <v>Female</v>
      </c>
      <c r="I238" t="str">
        <v>Research and Development</v>
      </c>
      <c r="J238">
        <v>46751.7</v>
      </c>
      <c r="K238" t="str">
        <v>Less than 50k</v>
      </c>
      <c r="L238">
        <v>43843</v>
      </c>
      <c r="M238">
        <v>1</v>
      </c>
      <c r="N238" t="str">
        <v>Fixed Term</v>
      </c>
      <c r="O238" t="str">
        <v>Hyderabad, India</v>
      </c>
      <c r="P238">
        <v>5.27</v>
      </c>
      <c r="Q238" t="str">
        <v>Fulltime</v>
      </c>
    </row>
    <row r="239" spans="5:17" x14ac:dyDescent="0.35">
      <c r="E239" t="str">
        <v>SQ03112</v>
      </c>
      <c r="F239" t="str">
        <v>Kantimoy</v>
      </c>
      <c r="G239" t="str">
        <v>Pritish</v>
      </c>
      <c r="H239" t="str">
        <v>Male</v>
      </c>
      <c r="I239" t="str">
        <v>Product Management</v>
      </c>
      <c r="J239">
        <v>77743.149999999994</v>
      </c>
      <c r="K239" t="str">
        <v>Above 50k but less than 100k</v>
      </c>
      <c r="L239">
        <v>43920</v>
      </c>
      <c r="M239">
        <v>1</v>
      </c>
      <c r="N239" t="str">
        <v>Permanent</v>
      </c>
      <c r="O239" t="str">
        <v>Chennai, India</v>
      </c>
      <c r="P239">
        <v>5.0599999999999996</v>
      </c>
      <c r="Q239" t="str">
        <v>Fulltime</v>
      </c>
    </row>
    <row r="240" spans="5:17" x14ac:dyDescent="0.35">
      <c r="E240" t="str">
        <v>SQ04934</v>
      </c>
      <c r="F240" t="str">
        <v>Pedro</v>
      </c>
      <c r="G240" t="str">
        <v>St.</v>
      </c>
      <c r="H240" t="str">
        <v>Male</v>
      </c>
      <c r="I240" t="str">
        <v>Engineering</v>
      </c>
      <c r="J240">
        <v>0</v>
      </c>
      <c r="K240" t="str">
        <v>Less than 50k</v>
      </c>
      <c r="L240">
        <v>44207</v>
      </c>
      <c r="M240">
        <v>0.7</v>
      </c>
      <c r="N240" t="str">
        <v>Permanent</v>
      </c>
      <c r="O240" t="str">
        <v>Seattle, USA</v>
      </c>
      <c r="P240">
        <v>4.2699999999999996</v>
      </c>
      <c r="Q240" t="str">
        <v>Partime</v>
      </c>
    </row>
    <row r="241" spans="4:17" x14ac:dyDescent="0.35">
      <c r="E241" t="str">
        <v>TN02397</v>
      </c>
      <c r="F241" t="str">
        <v>Mendel</v>
      </c>
      <c r="G241" t="str">
        <v>Gentsch</v>
      </c>
      <c r="H241" t="str">
        <v>Male</v>
      </c>
      <c r="I241" t="str">
        <v>Human Resources</v>
      </c>
      <c r="J241">
        <v>28329.77</v>
      </c>
      <c r="K241" t="str">
        <v>Less than 50k</v>
      </c>
      <c r="L241">
        <v>43402</v>
      </c>
      <c r="M241">
        <v>1</v>
      </c>
      <c r="N241" t="str">
        <v>Permanent</v>
      </c>
      <c r="O241" t="str">
        <v>Seattle, USA</v>
      </c>
      <c r="P241">
        <v>6.48</v>
      </c>
      <c r="Q241" t="str">
        <v>Fulltime</v>
      </c>
    </row>
    <row r="242" spans="4:17" x14ac:dyDescent="0.35">
      <c r="E242" t="str">
        <v>TN02204</v>
      </c>
      <c r="F242" t="str">
        <v>Aldrich</v>
      </c>
      <c r="G242" t="str">
        <v>Glenny</v>
      </c>
      <c r="H242" t="str">
        <v>Male</v>
      </c>
      <c r="I242" t="str">
        <v>Business Development</v>
      </c>
      <c r="J242">
        <v>90884.32</v>
      </c>
      <c r="K242" t="str">
        <v>Above 50k but less than 100k</v>
      </c>
      <c r="L242">
        <v>44039</v>
      </c>
      <c r="M242">
        <v>0.5</v>
      </c>
      <c r="N242" t="str">
        <v>Permanent</v>
      </c>
      <c r="O242" t="str">
        <v>Columbus, USA</v>
      </c>
      <c r="P242">
        <v>4.7300000000000004</v>
      </c>
      <c r="Q242" t="str">
        <v>Partime</v>
      </c>
    </row>
    <row r="243" spans="4:17" x14ac:dyDescent="0.35">
      <c r="E243" t="str">
        <v>VT03771</v>
      </c>
      <c r="F243" t="str">
        <v>Marjie</v>
      </c>
      <c r="G243" t="str">
        <v>Bamford</v>
      </c>
      <c r="H243" t="str">
        <v>Male</v>
      </c>
      <c r="I243" t="str">
        <v>Sales</v>
      </c>
      <c r="J243">
        <v>80772.92</v>
      </c>
      <c r="K243" t="str">
        <v>Above 50k but less than 100k</v>
      </c>
      <c r="L243">
        <v>44137</v>
      </c>
      <c r="M243">
        <v>1</v>
      </c>
      <c r="N243" t="str">
        <v>Temporary</v>
      </c>
      <c r="O243" t="str">
        <v>Remote</v>
      </c>
      <c r="P243">
        <v>4.46</v>
      </c>
      <c r="Q243" t="str">
        <v>Fulltime</v>
      </c>
    </row>
    <row r="244" spans="4:17" x14ac:dyDescent="0.35">
      <c r="E244" t="str">
        <v>SQ04613</v>
      </c>
      <c r="F244" t="str">
        <v>Sarojini</v>
      </c>
      <c r="G244" t="str">
        <v>Naueshwara</v>
      </c>
      <c r="H244" t="str">
        <v>Female</v>
      </c>
      <c r="I244" t="str">
        <v>Human Resources</v>
      </c>
      <c r="J244">
        <v>85264.38</v>
      </c>
      <c r="K244" t="str">
        <v>Above 50k but less than 100k</v>
      </c>
      <c r="L244">
        <v>43220</v>
      </c>
      <c r="M244">
        <v>1</v>
      </c>
      <c r="N244" t="str">
        <v>Permanent</v>
      </c>
      <c r="O244" t="str">
        <v>Chennai, India</v>
      </c>
      <c r="P244">
        <v>6.98</v>
      </c>
      <c r="Q244" t="str">
        <v>Fulltime</v>
      </c>
    </row>
    <row r="245" spans="4:17" x14ac:dyDescent="0.35">
      <c r="E245" t="str">
        <v>VT03421</v>
      </c>
      <c r="F245" t="str">
        <v>Alic</v>
      </c>
      <c r="G245" t="str">
        <v>Bagg</v>
      </c>
      <c r="H245" t="str">
        <v>Male</v>
      </c>
      <c r="I245" t="str">
        <v>Legal</v>
      </c>
      <c r="J245">
        <v>113747.56</v>
      </c>
      <c r="K245" t="str">
        <v>Above 100k</v>
      </c>
      <c r="L245">
        <v>44270</v>
      </c>
      <c r="M245">
        <v>0.7</v>
      </c>
      <c r="N245" t="str">
        <v>Temporary</v>
      </c>
      <c r="O245" t="str">
        <v>Columbus, USA</v>
      </c>
      <c r="P245">
        <v>4.0999999999999996</v>
      </c>
      <c r="Q245" t="str">
        <v>Partime</v>
      </c>
    </row>
    <row r="246" spans="4:17" x14ac:dyDescent="0.35">
      <c r="E246" t="str">
        <v>PR02436</v>
      </c>
      <c r="F246" t="str">
        <v>Marmaduke</v>
      </c>
      <c r="G246" t="str">
        <v>Worssam</v>
      </c>
      <c r="H246" t="str">
        <v>Female</v>
      </c>
      <c r="I246" t="str">
        <v>Engineering</v>
      </c>
      <c r="J246">
        <v>78378.2</v>
      </c>
      <c r="K246" t="str">
        <v>Above 50k but less than 100k</v>
      </c>
      <c r="L246">
        <v>43465</v>
      </c>
      <c r="M246">
        <v>0.4</v>
      </c>
      <c r="N246" t="str">
        <v>Permanent</v>
      </c>
      <c r="O246" t="str">
        <v>Remote</v>
      </c>
      <c r="P246">
        <v>6.3</v>
      </c>
      <c r="Q246" t="str">
        <v>Partime</v>
      </c>
    </row>
    <row r="247" spans="4:17" x14ac:dyDescent="0.35">
      <c r="E247" t="str">
        <v>PR03804</v>
      </c>
      <c r="F247" t="str">
        <v>Sartaj</v>
      </c>
      <c r="G247" t="str">
        <v>Probal</v>
      </c>
      <c r="H247" t="str">
        <v>Male</v>
      </c>
      <c r="I247" t="str">
        <v>Legal</v>
      </c>
      <c r="J247">
        <v>66572.58</v>
      </c>
      <c r="K247" t="str">
        <v>Above 50k but less than 100k</v>
      </c>
      <c r="L247">
        <v>44193</v>
      </c>
      <c r="M247">
        <v>1</v>
      </c>
      <c r="N247" t="str">
        <v>Permanent</v>
      </c>
      <c r="O247" t="str">
        <v>Chennai, India</v>
      </c>
      <c r="P247">
        <v>4.3099999999999996</v>
      </c>
      <c r="Q247" t="str">
        <v>Fulltime</v>
      </c>
    </row>
    <row r="248" spans="4:17" x14ac:dyDescent="0.35">
      <c r="E248" t="str">
        <v>TN02377</v>
      </c>
      <c r="F248" t="str">
        <v>Anjela</v>
      </c>
      <c r="G248" t="str">
        <v>Spancock</v>
      </c>
      <c r="H248" t="str">
        <v>Unkown</v>
      </c>
      <c r="I248" t="str">
        <v>Accounting</v>
      </c>
      <c r="J248">
        <v>98012.63</v>
      </c>
      <c r="K248" t="str">
        <v>Above 50k but less than 100k</v>
      </c>
      <c r="L248">
        <v>43780</v>
      </c>
      <c r="M248">
        <v>1</v>
      </c>
      <c r="N248" t="str">
        <v>Permanent</v>
      </c>
      <c r="O248" t="str">
        <v>Remote</v>
      </c>
      <c r="P248">
        <v>5.44</v>
      </c>
      <c r="Q248" t="str">
        <v>Fulltime</v>
      </c>
    </row>
    <row r="249" spans="4:17" x14ac:dyDescent="0.35">
      <c r="E249" t="str">
        <v>SQ03625</v>
      </c>
      <c r="F249" t="str">
        <v>Fidela</v>
      </c>
      <c r="G249" t="str">
        <v>Artis</v>
      </c>
      <c r="H249" t="str">
        <v>Female</v>
      </c>
      <c r="I249" t="str">
        <v>Sales</v>
      </c>
      <c r="J249">
        <v>78020.39</v>
      </c>
      <c r="K249" t="str">
        <v>Above 50k but less than 100k</v>
      </c>
      <c r="L249">
        <v>43899</v>
      </c>
      <c r="M249">
        <v>1</v>
      </c>
      <c r="N249" t="str">
        <v>Permanent</v>
      </c>
      <c r="O249" t="str">
        <v>Remote</v>
      </c>
      <c r="P249">
        <v>5.12</v>
      </c>
      <c r="Q249" t="str">
        <v>Fulltime</v>
      </c>
    </row>
    <row r="251" spans="4:17" x14ac:dyDescent="0.35">
      <c r="D251" s="3" t="s">
        <v>952</v>
      </c>
      <c r="E251" s="3"/>
      <c r="F251" s="3"/>
      <c r="G251" s="3"/>
      <c r="H251" s="3"/>
      <c r="I251" s="3"/>
    </row>
    <row r="252" spans="4:17" x14ac:dyDescent="0.35">
      <c r="D252" t="s">
        <v>957</v>
      </c>
      <c r="E252">
        <f>COUNTA(Staff[Emp ID])</f>
        <v>265</v>
      </c>
      <c r="F252" s="5">
        <f>AVERAGE(Staff[Salary])</f>
        <v>72467.71532075468</v>
      </c>
    </row>
    <row r="253" spans="4:17" ht="29" x14ac:dyDescent="0.35">
      <c r="D253" s="14" t="s">
        <v>170</v>
      </c>
      <c r="E253" s="14" t="s">
        <v>953</v>
      </c>
      <c r="F253" s="14" t="s">
        <v>954</v>
      </c>
      <c r="G253" s="16" t="s">
        <v>955</v>
      </c>
      <c r="H253" s="16" t="s">
        <v>955</v>
      </c>
      <c r="I253" s="14" t="s">
        <v>956</v>
      </c>
    </row>
    <row r="254" spans="4:17" x14ac:dyDescent="0.35">
      <c r="D254" t="str" cm="1">
        <f t="array" ref="D254:D266">_xlfn._xlws.SORT(_xlfn.UNIQUE(Staff[Department]),,1)</f>
        <v>Accounting</v>
      </c>
      <c r="E254" cm="1">
        <f t="array" ref="E254:E266">COUNTIF(Staff[Department],_xlfn.ANCHORARRAY(D254))</f>
        <v>26</v>
      </c>
      <c r="F254" s="5" cm="1">
        <f t="array" ref="F254:F266">AVERAGEIF(Staff[Department],_xlfn.ANCHORARRAY(D254),Staff[Salary])</f>
        <v>69806.945769230762</v>
      </c>
      <c r="G254" s="15" cm="1">
        <f t="array" ref="G254:G266">_xlfn.ANCHORARRAY(F254)-F252</f>
        <v>-2660.7695515239175</v>
      </c>
      <c r="H254" s="4" cm="1">
        <f t="array" ref="H254:H266">_xlfn.ANCHORARRAY(G254)-G252</f>
        <v>-2660.7695515239175</v>
      </c>
      <c r="I254" cm="1">
        <f t="array" ref="I254:I266">_xlfn.MAXIFS(Staff[Salary],Staff[Department],_xlfn.ANCHORARRAY(D254))</f>
        <v>119022.49</v>
      </c>
    </row>
    <row r="255" spans="4:17" x14ac:dyDescent="0.35">
      <c r="D255" t="str">
        <v>Business Development</v>
      </c>
      <c r="E255">
        <v>26</v>
      </c>
      <c r="F255" s="5">
        <v>79781.805769230792</v>
      </c>
      <c r="G255" s="15">
        <v>7314.0904484761122</v>
      </c>
      <c r="H255" s="4">
        <v>7314.0904484761122</v>
      </c>
      <c r="I255">
        <v>110042.37</v>
      </c>
    </row>
    <row r="256" spans="4:17" x14ac:dyDescent="0.35">
      <c r="D256" t="str">
        <v>Engeneering</v>
      </c>
      <c r="E256">
        <v>8</v>
      </c>
      <c r="F256" s="5">
        <v>91179.293750000012</v>
      </c>
      <c r="G256" s="15">
        <v>18711.578429245332</v>
      </c>
      <c r="H256" s="4">
        <v>18711.578429245332</v>
      </c>
      <c r="I256">
        <v>120000</v>
      </c>
    </row>
    <row r="257" spans="4:9" x14ac:dyDescent="0.35">
      <c r="D257" t="str">
        <v>Engineering</v>
      </c>
      <c r="E257">
        <v>19</v>
      </c>
      <c r="F257" s="5">
        <v>73787.007368421066</v>
      </c>
      <c r="G257" s="15">
        <v>1319.2920476663858</v>
      </c>
      <c r="H257" s="4">
        <v>1319.2920476663858</v>
      </c>
      <c r="I257">
        <v>118976.16</v>
      </c>
    </row>
    <row r="258" spans="4:9" x14ac:dyDescent="0.35">
      <c r="D258" t="str">
        <v>Human Resources</v>
      </c>
      <c r="E258">
        <v>22</v>
      </c>
      <c r="F258" s="5">
        <v>73109.377727272731</v>
      </c>
      <c r="G258" s="15">
        <v>641.66240651805128</v>
      </c>
      <c r="H258" s="4">
        <v>641.66240651805128</v>
      </c>
      <c r="I258">
        <v>103494.94</v>
      </c>
    </row>
    <row r="259" spans="4:9" x14ac:dyDescent="0.35">
      <c r="D259" t="str">
        <v>Legal</v>
      </c>
      <c r="E259">
        <v>23</v>
      </c>
      <c r="F259" s="5">
        <v>61395.342173913035</v>
      </c>
      <c r="G259" s="15">
        <v>-11072.373146841644</v>
      </c>
      <c r="H259" s="4">
        <v>-11072.373146841644</v>
      </c>
      <c r="I259">
        <v>113747.56</v>
      </c>
    </row>
    <row r="260" spans="4:9" x14ac:dyDescent="0.35">
      <c r="D260" t="str">
        <v>Marketing</v>
      </c>
      <c r="E260">
        <v>12</v>
      </c>
      <c r="F260" s="5">
        <v>64441.299999999996</v>
      </c>
      <c r="G260" s="15">
        <v>-8026.4153207546842</v>
      </c>
      <c r="H260" s="4">
        <v>-8026.4153207546842</v>
      </c>
      <c r="I260">
        <v>104903.79</v>
      </c>
    </row>
    <row r="261" spans="4:9" x14ac:dyDescent="0.35">
      <c r="D261" t="str">
        <v>Product Management</v>
      </c>
      <c r="E261">
        <v>29</v>
      </c>
      <c r="F261" s="5">
        <v>75179.064482758607</v>
      </c>
      <c r="G261" s="15">
        <v>2711.3491620039276</v>
      </c>
      <c r="H261" s="4">
        <v>2711.3491620039276</v>
      </c>
      <c r="I261">
        <v>115191.38</v>
      </c>
    </row>
    <row r="262" spans="4:9" x14ac:dyDescent="0.35">
      <c r="D262" t="str">
        <v>Research and Development</v>
      </c>
      <c r="E262">
        <v>19</v>
      </c>
      <c r="F262" s="5">
        <v>63389.146315789476</v>
      </c>
      <c r="G262" s="15">
        <v>-9078.5690049652039</v>
      </c>
      <c r="H262" s="4">
        <v>-9078.5690049652039</v>
      </c>
      <c r="I262">
        <v>99683.67</v>
      </c>
    </row>
    <row r="263" spans="4:9" x14ac:dyDescent="0.35">
      <c r="D263" t="str">
        <v>Sales</v>
      </c>
      <c r="E263">
        <v>18</v>
      </c>
      <c r="F263" s="5">
        <v>71897.095555555556</v>
      </c>
      <c r="G263" s="15">
        <v>-570.61976519912423</v>
      </c>
      <c r="H263" s="4">
        <v>-570.61976519912423</v>
      </c>
      <c r="I263">
        <v>102129.37</v>
      </c>
    </row>
    <row r="264" spans="4:9" x14ac:dyDescent="0.35">
      <c r="D264" t="str">
        <v>Services</v>
      </c>
      <c r="E264">
        <v>21</v>
      </c>
      <c r="F264" s="5">
        <v>74673.97476190477</v>
      </c>
      <c r="G264" s="15">
        <v>2206.2594411500904</v>
      </c>
      <c r="H264" s="4">
        <v>2206.2594411500904</v>
      </c>
      <c r="I264">
        <v>120000</v>
      </c>
    </row>
    <row r="265" spans="4:9" x14ac:dyDescent="0.35">
      <c r="D265" t="str">
        <v>Support</v>
      </c>
      <c r="E265">
        <v>18</v>
      </c>
      <c r="F265" s="5">
        <v>62741.763888888876</v>
      </c>
      <c r="G265" s="15">
        <v>-9725.9514318658039</v>
      </c>
      <c r="H265" s="4">
        <v>-9725.9514318658039</v>
      </c>
      <c r="I265">
        <v>104802.63</v>
      </c>
    </row>
    <row r="266" spans="4:9" x14ac:dyDescent="0.35">
      <c r="D266" t="str">
        <v>Training</v>
      </c>
      <c r="E266">
        <v>24</v>
      </c>
      <c r="F266" s="5">
        <v>83883.965000000011</v>
      </c>
      <c r="G266" s="15">
        <v>11416.249679245331</v>
      </c>
      <c r="H266" s="4">
        <v>11416.249679245331</v>
      </c>
      <c r="I266">
        <v>116767.63</v>
      </c>
    </row>
  </sheetData>
  <mergeCells count="9">
    <mergeCell ref="D62:F62"/>
    <mergeCell ref="D79:F79"/>
    <mergeCell ref="D87:F87"/>
    <mergeCell ref="D108:F108"/>
    <mergeCell ref="D251:I251"/>
    <mergeCell ref="D2:F2"/>
    <mergeCell ref="D19:F19"/>
    <mergeCell ref="D24:F24"/>
    <mergeCell ref="D47:F47"/>
  </mergeCells>
  <conditionalFormatting sqref="H254:H266">
    <cfRule type="dataBar" priority="1">
      <dataBar showValue="0">
        <cfvo type="min"/>
        <cfvo type="max"/>
        <color rgb="FF638EC6"/>
      </dataBar>
      <extLst>
        <ext xmlns:x14="http://schemas.microsoft.com/office/spreadsheetml/2009/9/main" uri="{B025F937-C7B1-47D3-B67F-A62EFF666E3E}">
          <x14:id>{37E90B04-805A-45D3-8265-F18610ACC4B0}</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7E90B04-805A-45D3-8265-F18610ACC4B0}">
            <x14:dataBar minLength="0" maxLength="100" gradient="0">
              <x14:cfvo type="autoMin"/>
              <x14:cfvo type="autoMax"/>
              <x14:negativeFillColor rgb="FFFF0000"/>
              <x14:axisColor rgb="FF000000"/>
            </x14:dataBar>
          </x14:cfRule>
          <xm:sqref>H254:H266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7824-081A-4392-9C72-86EA92B914B7}">
  <dimension ref="A1:K1001"/>
  <sheetViews>
    <sheetView workbookViewId="0">
      <selection activeCell="K3" sqref="K3"/>
    </sheetView>
  </sheetViews>
  <sheetFormatPr defaultRowHeight="14.5" x14ac:dyDescent="0.35"/>
  <cols>
    <col min="1" max="1" width="12.90625" customWidth="1"/>
    <col min="2" max="2" width="13.26953125" customWidth="1"/>
    <col min="3" max="3" width="8.26953125" bestFit="1" customWidth="1"/>
    <col min="4" max="4" width="18.08984375" bestFit="1" customWidth="1"/>
    <col min="5" max="5" width="15" bestFit="1" customWidth="1"/>
    <col min="6" max="6" width="18.08984375" bestFit="1" customWidth="1"/>
    <col min="7" max="7" width="18.6328125" bestFit="1" customWidth="1"/>
    <col min="9" max="9" width="13.36328125" bestFit="1" customWidth="1"/>
    <col min="10" max="10" width="16.81640625" bestFit="1" customWidth="1"/>
  </cols>
  <sheetData>
    <row r="1" spans="1:11" x14ac:dyDescent="0.35">
      <c r="A1" s="23" t="s">
        <v>958</v>
      </c>
      <c r="B1" s="24" t="s">
        <v>959</v>
      </c>
      <c r="C1" s="25" t="s">
        <v>960</v>
      </c>
      <c r="D1" s="26" t="s">
        <v>961</v>
      </c>
      <c r="E1" s="26" t="s">
        <v>962</v>
      </c>
      <c r="F1" s="24" t="s">
        <v>963</v>
      </c>
      <c r="G1" s="27" t="s">
        <v>964</v>
      </c>
      <c r="H1" s="36" t="s">
        <v>2004</v>
      </c>
      <c r="I1" s="36" t="s">
        <v>2005</v>
      </c>
      <c r="J1" s="36" t="s">
        <v>2014</v>
      </c>
      <c r="K1" s="36" t="s">
        <v>2015</v>
      </c>
    </row>
    <row r="2" spans="1:11" x14ac:dyDescent="0.35">
      <c r="A2" s="21" t="s">
        <v>965</v>
      </c>
      <c r="B2" s="18" t="s">
        <v>966</v>
      </c>
      <c r="C2" s="18">
        <v>116</v>
      </c>
      <c r="D2" s="19" t="s">
        <v>967</v>
      </c>
      <c r="E2" s="20">
        <v>44927</v>
      </c>
      <c r="F2" s="18">
        <v>128</v>
      </c>
      <c r="G2" s="22">
        <v>4.9000000000000004</v>
      </c>
      <c r="H2">
        <f>IF(MONTH(Call_Center[[#This Row],[Date of Call]])&lt;=6,2023,2024)</f>
        <v>2023</v>
      </c>
      <c r="I2" t="str">
        <f>TEXT(Call_Center[[#This Row],[Date of Call]],"DDDD")</f>
        <v>Sunday</v>
      </c>
      <c r="J2" t="str" cm="1">
        <f t="array" ref="J2">_xlfn.IFS(Call_Center[[#This Row],[Duration]]&lt;=10,"Under 10 mins",Call_Center[[#This Row],[Duration]]&lt;=30,"10 to 30 min",Call_Center[[#This Row],[Duration]]&lt;=60,"30 to 60 min",Call_Center[[#This Row],[Duration]]&lt;=120,"1 to 2 hours",TRUE,"More than 2 hours")</f>
        <v>1 to 2 hours</v>
      </c>
      <c r="K2">
        <f>ROUND(Call_Center[[#This Row],[Satisfaction Rating]],0)</f>
        <v>5</v>
      </c>
    </row>
    <row r="3" spans="1:11" x14ac:dyDescent="0.35">
      <c r="A3" s="21" t="s">
        <v>968</v>
      </c>
      <c r="B3" s="18" t="s">
        <v>969</v>
      </c>
      <c r="C3" s="18">
        <v>119</v>
      </c>
      <c r="D3" s="19" t="s">
        <v>967</v>
      </c>
      <c r="E3" s="20">
        <v>44927</v>
      </c>
      <c r="F3" s="18">
        <v>135</v>
      </c>
      <c r="G3" s="22">
        <v>2.9</v>
      </c>
      <c r="H3">
        <f>IF(MONTH(Call_Center[[#This Row],[Date of Call]])&lt;=6,2023,2024)</f>
        <v>2023</v>
      </c>
      <c r="I3" t="str">
        <f>TEXT(Call_Center[[#This Row],[Date of Call]],"DDDD")</f>
        <v>Sunday</v>
      </c>
      <c r="J3" t="str" cm="1">
        <f t="array" ref="J3">_xlfn.IFS(Call_Center[[#This Row],[Duration]]&lt;=10,"Under 10 mins",Call_Center[[#This Row],[Duration]]&lt;=30,"10 to 30 min",Call_Center[[#This Row],[Duration]]&lt;=60,"30 to 60 min",Call_Center[[#This Row],[Duration]]&lt;=120,"1 to 2 hours",TRUE,"More than 2 hours")</f>
        <v>1 to 2 hours</v>
      </c>
      <c r="K3">
        <f>ROUND(Call_Center[[#This Row],[Satisfaction Rating]],0)</f>
        <v>3</v>
      </c>
    </row>
    <row r="4" spans="1:11" x14ac:dyDescent="0.35">
      <c r="A4" s="21" t="s">
        <v>970</v>
      </c>
      <c r="B4" s="18" t="s">
        <v>971</v>
      </c>
      <c r="C4" s="18">
        <v>68</v>
      </c>
      <c r="D4" s="19" t="s">
        <v>972</v>
      </c>
      <c r="E4" s="20">
        <v>44927</v>
      </c>
      <c r="F4" s="18">
        <v>66</v>
      </c>
      <c r="G4" s="22">
        <v>4.7</v>
      </c>
      <c r="H4">
        <f>IF(MONTH(Call_Center[[#This Row],[Date of Call]])&lt;=6,2023,2024)</f>
        <v>2023</v>
      </c>
      <c r="I4" t="str">
        <f>TEXT(Call_Center[[#This Row],[Date of Call]],"DDDD")</f>
        <v>Sunday</v>
      </c>
      <c r="J4" t="str" cm="1">
        <f t="array" ref="J4">_xlfn.IFS(Call_Center[[#This Row],[Duration]]&lt;=10,"Under 10 mins",Call_Center[[#This Row],[Duration]]&lt;=30,"10 to 30 min",Call_Center[[#This Row],[Duration]]&lt;=60,"30 to 60 min",Call_Center[[#This Row],[Duration]]&lt;=120,"1 to 2 hours",TRUE,"More than 2 hours")</f>
        <v>1 to 2 hours</v>
      </c>
      <c r="K4">
        <f>ROUND(Call_Center[[#This Row],[Satisfaction Rating]],0)</f>
        <v>5</v>
      </c>
    </row>
    <row r="5" spans="1:11" x14ac:dyDescent="0.35">
      <c r="A5" s="21" t="s">
        <v>973</v>
      </c>
      <c r="B5" s="18" t="s">
        <v>974</v>
      </c>
      <c r="C5" s="18">
        <v>119</v>
      </c>
      <c r="D5" s="19" t="s">
        <v>972</v>
      </c>
      <c r="E5" s="20">
        <v>44927</v>
      </c>
      <c r="F5" s="18">
        <v>22</v>
      </c>
      <c r="G5" s="22">
        <v>2.9</v>
      </c>
      <c r="H5">
        <f>IF(MONTH(Call_Center[[#This Row],[Date of Call]])&lt;=6,2023,2024)</f>
        <v>2023</v>
      </c>
      <c r="I5" t="str">
        <f>TEXT(Call_Center[[#This Row],[Date of Call]],"DDDD")</f>
        <v>Sunday</v>
      </c>
      <c r="J5" t="str" cm="1">
        <f t="array" ref="J5">_xlfn.IFS(Call_Center[[#This Row],[Duration]]&lt;=10,"Under 10 mins",Call_Center[[#This Row],[Duration]]&lt;=30,"10 to 30 min",Call_Center[[#This Row],[Duration]]&lt;=60,"30 to 60 min",Call_Center[[#This Row],[Duration]]&lt;=120,"1 to 2 hours",TRUE,"More than 2 hours")</f>
        <v>1 to 2 hours</v>
      </c>
      <c r="K5">
        <f>ROUND(Call_Center[[#This Row],[Satisfaction Rating]],0)</f>
        <v>3</v>
      </c>
    </row>
    <row r="6" spans="1:11" x14ac:dyDescent="0.35">
      <c r="A6" s="21" t="s">
        <v>975</v>
      </c>
      <c r="B6" s="18" t="s">
        <v>976</v>
      </c>
      <c r="C6" s="18">
        <v>128</v>
      </c>
      <c r="D6" s="19" t="s">
        <v>977</v>
      </c>
      <c r="E6" s="20">
        <v>44928</v>
      </c>
      <c r="F6" s="18">
        <v>31</v>
      </c>
      <c r="G6" s="22">
        <v>2.8</v>
      </c>
      <c r="H6">
        <f>IF(MONTH(Call_Center[[#This Row],[Date of Call]])&lt;=6,2023,2024)</f>
        <v>2023</v>
      </c>
      <c r="I6" t="str">
        <f>TEXT(Call_Center[[#This Row],[Date of Call]],"DDDD")</f>
        <v>Monday</v>
      </c>
      <c r="J6" t="str" cm="1">
        <f t="array" ref="J6">_xlfn.IFS(Call_Center[[#This Row],[Duration]]&lt;=10,"Under 10 mins",Call_Center[[#This Row],[Duration]]&lt;=30,"10 to 30 min",Call_Center[[#This Row],[Duration]]&lt;=60,"30 to 60 min",Call_Center[[#This Row],[Duration]]&lt;=120,"1 to 2 hours",TRUE,"More than 2 hours")</f>
        <v>More than 2 hours</v>
      </c>
      <c r="K6">
        <f>ROUND(Call_Center[[#This Row],[Satisfaction Rating]],0)</f>
        <v>3</v>
      </c>
    </row>
    <row r="7" spans="1:11" x14ac:dyDescent="0.35">
      <c r="A7" s="21" t="s">
        <v>978</v>
      </c>
      <c r="B7" s="18" t="s">
        <v>976</v>
      </c>
      <c r="C7" s="18">
        <v>49</v>
      </c>
      <c r="D7" s="19" t="s">
        <v>972</v>
      </c>
      <c r="E7" s="20">
        <v>44929</v>
      </c>
      <c r="F7" s="18">
        <v>135</v>
      </c>
      <c r="G7" s="22">
        <v>4.8</v>
      </c>
      <c r="H7">
        <f>IF(MONTH(Call_Center[[#This Row],[Date of Call]])&lt;=6,2023,2024)</f>
        <v>2023</v>
      </c>
      <c r="I7" t="str">
        <f>TEXT(Call_Center[[#This Row],[Date of Call]],"DDDD")</f>
        <v>Tuesday</v>
      </c>
      <c r="J7" t="str" cm="1">
        <f t="array" ref="J7">_xlfn.IFS(Call_Center[[#This Row],[Duration]]&lt;=10,"Under 10 mins",Call_Center[[#This Row],[Duration]]&lt;=30,"10 to 30 min",Call_Center[[#This Row],[Duration]]&lt;=60,"30 to 60 min",Call_Center[[#This Row],[Duration]]&lt;=120,"1 to 2 hours",TRUE,"More than 2 hours")</f>
        <v>30 to 60 min</v>
      </c>
      <c r="K7">
        <f>ROUND(Call_Center[[#This Row],[Satisfaction Rating]],0)</f>
        <v>5</v>
      </c>
    </row>
    <row r="8" spans="1:11" x14ac:dyDescent="0.35">
      <c r="A8" s="21" t="s">
        <v>979</v>
      </c>
      <c r="B8" s="18" t="s">
        <v>980</v>
      </c>
      <c r="C8" s="18">
        <v>84</v>
      </c>
      <c r="D8" s="19" t="s">
        <v>967</v>
      </c>
      <c r="E8" s="20">
        <v>44929</v>
      </c>
      <c r="F8" s="18">
        <v>60</v>
      </c>
      <c r="G8" s="22">
        <v>4.7</v>
      </c>
      <c r="H8">
        <f>IF(MONTH(Call_Center[[#This Row],[Date of Call]])&lt;=6,2023,2024)</f>
        <v>2023</v>
      </c>
      <c r="I8" t="str">
        <f>TEXT(Call_Center[[#This Row],[Date of Call]],"DDDD")</f>
        <v>Tuesday</v>
      </c>
      <c r="J8" t="str" cm="1">
        <f t="array" ref="J8">_xlfn.IFS(Call_Center[[#This Row],[Duration]]&lt;=10,"Under 10 mins",Call_Center[[#This Row],[Duration]]&lt;=30,"10 to 30 min",Call_Center[[#This Row],[Duration]]&lt;=60,"30 to 60 min",Call_Center[[#This Row],[Duration]]&lt;=120,"1 to 2 hours",TRUE,"More than 2 hours")</f>
        <v>1 to 2 hours</v>
      </c>
      <c r="K8">
        <f>ROUND(Call_Center[[#This Row],[Satisfaction Rating]],0)</f>
        <v>5</v>
      </c>
    </row>
    <row r="9" spans="1:11" x14ac:dyDescent="0.35">
      <c r="A9" s="21" t="s">
        <v>981</v>
      </c>
      <c r="B9" s="18" t="s">
        <v>966</v>
      </c>
      <c r="C9" s="18">
        <v>103</v>
      </c>
      <c r="D9" s="19" t="s">
        <v>982</v>
      </c>
      <c r="E9" s="20">
        <v>44929</v>
      </c>
      <c r="F9" s="18">
        <v>148</v>
      </c>
      <c r="G9" s="22">
        <v>4.4000000000000004</v>
      </c>
      <c r="H9">
        <f>IF(MONTH(Call_Center[[#This Row],[Date of Call]])&lt;=6,2023,2024)</f>
        <v>2023</v>
      </c>
      <c r="I9" t="str">
        <f>TEXT(Call_Center[[#This Row],[Date of Call]],"DDDD")</f>
        <v>Tuesday</v>
      </c>
      <c r="J9" t="str" cm="1">
        <f t="array" ref="J9">_xlfn.IFS(Call_Center[[#This Row],[Duration]]&lt;=10,"Under 10 mins",Call_Center[[#This Row],[Duration]]&lt;=30,"10 to 30 min",Call_Center[[#This Row],[Duration]]&lt;=60,"30 to 60 min",Call_Center[[#This Row],[Duration]]&lt;=120,"1 to 2 hours",TRUE,"More than 2 hours")</f>
        <v>1 to 2 hours</v>
      </c>
      <c r="K9">
        <f>ROUND(Call_Center[[#This Row],[Satisfaction Rating]],0)</f>
        <v>4</v>
      </c>
    </row>
    <row r="10" spans="1:11" x14ac:dyDescent="0.35">
      <c r="A10" s="21" t="s">
        <v>983</v>
      </c>
      <c r="B10" s="18" t="s">
        <v>971</v>
      </c>
      <c r="C10" s="18">
        <v>31</v>
      </c>
      <c r="D10" s="19" t="s">
        <v>972</v>
      </c>
      <c r="E10" s="20">
        <v>44929</v>
      </c>
      <c r="F10" s="18">
        <v>135</v>
      </c>
      <c r="G10" s="22">
        <v>3.6</v>
      </c>
      <c r="H10">
        <f>IF(MONTH(Call_Center[[#This Row],[Date of Call]])&lt;=6,2023,2024)</f>
        <v>2023</v>
      </c>
      <c r="I10" t="str">
        <f>TEXT(Call_Center[[#This Row],[Date of Call]],"DDDD")</f>
        <v>Tuesday</v>
      </c>
      <c r="J10" t="str" cm="1">
        <f t="array" ref="J10">_xlfn.IFS(Call_Center[[#This Row],[Duration]]&lt;=10,"Under 10 mins",Call_Center[[#This Row],[Duration]]&lt;=30,"10 to 30 min",Call_Center[[#This Row],[Duration]]&lt;=60,"30 to 60 min",Call_Center[[#This Row],[Duration]]&lt;=120,"1 to 2 hours",TRUE,"More than 2 hours")</f>
        <v>30 to 60 min</v>
      </c>
      <c r="K10">
        <f>ROUND(Call_Center[[#This Row],[Satisfaction Rating]],0)</f>
        <v>4</v>
      </c>
    </row>
    <row r="11" spans="1:11" x14ac:dyDescent="0.35">
      <c r="A11" s="21" t="s">
        <v>984</v>
      </c>
      <c r="B11" s="18" t="s">
        <v>985</v>
      </c>
      <c r="C11" s="18">
        <v>44</v>
      </c>
      <c r="D11" s="19" t="s">
        <v>986</v>
      </c>
      <c r="E11" s="20">
        <v>44929</v>
      </c>
      <c r="F11" s="18">
        <v>105</v>
      </c>
      <c r="G11" s="22">
        <v>2.9</v>
      </c>
      <c r="H11">
        <f>IF(MONTH(Call_Center[[#This Row],[Date of Call]])&lt;=6,2023,2024)</f>
        <v>2023</v>
      </c>
      <c r="I11" t="str">
        <f>TEXT(Call_Center[[#This Row],[Date of Call]],"DDDD")</f>
        <v>Tuesday</v>
      </c>
      <c r="J11" t="str" cm="1">
        <f t="array" ref="J11">_xlfn.IFS(Call_Center[[#This Row],[Duration]]&lt;=10,"Under 10 mins",Call_Center[[#This Row],[Duration]]&lt;=30,"10 to 30 min",Call_Center[[#This Row],[Duration]]&lt;=60,"30 to 60 min",Call_Center[[#This Row],[Duration]]&lt;=120,"1 to 2 hours",TRUE,"More than 2 hours")</f>
        <v>30 to 60 min</v>
      </c>
      <c r="K11">
        <f>ROUND(Call_Center[[#This Row],[Satisfaction Rating]],0)</f>
        <v>3</v>
      </c>
    </row>
    <row r="12" spans="1:11" x14ac:dyDescent="0.35">
      <c r="A12" s="21" t="s">
        <v>987</v>
      </c>
      <c r="B12" s="18" t="s">
        <v>976</v>
      </c>
      <c r="C12" s="18">
        <v>102</v>
      </c>
      <c r="D12" s="19" t="s">
        <v>972</v>
      </c>
      <c r="E12" s="20">
        <v>44929</v>
      </c>
      <c r="F12" s="18">
        <v>69</v>
      </c>
      <c r="G12" s="22">
        <v>4.9000000000000004</v>
      </c>
      <c r="H12">
        <f>IF(MONTH(Call_Center[[#This Row],[Date of Call]])&lt;=6,2023,2024)</f>
        <v>2023</v>
      </c>
      <c r="I12" t="str">
        <f>TEXT(Call_Center[[#This Row],[Date of Call]],"DDDD")</f>
        <v>Tuesday</v>
      </c>
      <c r="J12" t="str" cm="1">
        <f t="array" ref="J12">_xlfn.IFS(Call_Center[[#This Row],[Duration]]&lt;=10,"Under 10 mins",Call_Center[[#This Row],[Duration]]&lt;=30,"10 to 30 min",Call_Center[[#This Row],[Duration]]&lt;=60,"30 to 60 min",Call_Center[[#This Row],[Duration]]&lt;=120,"1 to 2 hours",TRUE,"More than 2 hours")</f>
        <v>1 to 2 hours</v>
      </c>
      <c r="K12">
        <f>ROUND(Call_Center[[#This Row],[Satisfaction Rating]],0)</f>
        <v>5</v>
      </c>
    </row>
    <row r="13" spans="1:11" x14ac:dyDescent="0.35">
      <c r="A13" s="21" t="s">
        <v>988</v>
      </c>
      <c r="B13" s="18" t="s">
        <v>989</v>
      </c>
      <c r="C13" s="18">
        <v>135</v>
      </c>
      <c r="D13" s="19" t="s">
        <v>967</v>
      </c>
      <c r="E13" s="20">
        <v>44929</v>
      </c>
      <c r="F13" s="18">
        <v>46</v>
      </c>
      <c r="G13" s="22">
        <v>3.4</v>
      </c>
      <c r="H13">
        <f>IF(MONTH(Call_Center[[#This Row],[Date of Call]])&lt;=6,2023,2024)</f>
        <v>2023</v>
      </c>
      <c r="I13" t="str">
        <f>TEXT(Call_Center[[#This Row],[Date of Call]],"DDDD")</f>
        <v>Tuesday</v>
      </c>
      <c r="J13" t="str" cm="1">
        <f t="array" ref="J13">_xlfn.IFS(Call_Center[[#This Row],[Duration]]&lt;=10,"Under 10 mins",Call_Center[[#This Row],[Duration]]&lt;=30,"10 to 30 min",Call_Center[[#This Row],[Duration]]&lt;=60,"30 to 60 min",Call_Center[[#This Row],[Duration]]&lt;=120,"1 to 2 hours",TRUE,"More than 2 hours")</f>
        <v>More than 2 hours</v>
      </c>
      <c r="K13">
        <f>ROUND(Call_Center[[#This Row],[Satisfaction Rating]],0)</f>
        <v>3</v>
      </c>
    </row>
    <row r="14" spans="1:11" x14ac:dyDescent="0.35">
      <c r="A14" s="21" t="s">
        <v>990</v>
      </c>
      <c r="B14" s="18" t="s">
        <v>991</v>
      </c>
      <c r="C14" s="18">
        <v>98</v>
      </c>
      <c r="D14" s="19" t="s">
        <v>972</v>
      </c>
      <c r="E14" s="20">
        <v>44930</v>
      </c>
      <c r="F14" s="18">
        <v>108</v>
      </c>
      <c r="G14" s="22">
        <v>3.5</v>
      </c>
      <c r="H14">
        <f>IF(MONTH(Call_Center[[#This Row],[Date of Call]])&lt;=6,2023,2024)</f>
        <v>2023</v>
      </c>
      <c r="I14" t="str">
        <f>TEXT(Call_Center[[#This Row],[Date of Call]],"DDDD")</f>
        <v>Wednesday</v>
      </c>
      <c r="J14" t="str" cm="1">
        <f t="array" ref="J14">_xlfn.IFS(Call_Center[[#This Row],[Duration]]&lt;=10,"Under 10 mins",Call_Center[[#This Row],[Duration]]&lt;=30,"10 to 30 min",Call_Center[[#This Row],[Duration]]&lt;=60,"30 to 60 min",Call_Center[[#This Row],[Duration]]&lt;=120,"1 to 2 hours",TRUE,"More than 2 hours")</f>
        <v>1 to 2 hours</v>
      </c>
      <c r="K14">
        <f>ROUND(Call_Center[[#This Row],[Satisfaction Rating]],0)</f>
        <v>4</v>
      </c>
    </row>
    <row r="15" spans="1:11" x14ac:dyDescent="0.35">
      <c r="A15" s="21" t="s">
        <v>992</v>
      </c>
      <c r="B15" s="18" t="s">
        <v>985</v>
      </c>
      <c r="C15" s="18">
        <v>139</v>
      </c>
      <c r="D15" s="19" t="s">
        <v>972</v>
      </c>
      <c r="E15" s="20">
        <v>44930</v>
      </c>
      <c r="F15" s="18">
        <v>96</v>
      </c>
      <c r="G15" s="22">
        <v>4</v>
      </c>
      <c r="H15">
        <f>IF(MONTH(Call_Center[[#This Row],[Date of Call]])&lt;=6,2023,2024)</f>
        <v>2023</v>
      </c>
      <c r="I15" t="str">
        <f>TEXT(Call_Center[[#This Row],[Date of Call]],"DDDD")</f>
        <v>Wednesday</v>
      </c>
      <c r="J15" t="str" cm="1">
        <f t="array" ref="J15">_xlfn.IFS(Call_Center[[#This Row],[Duration]]&lt;=10,"Under 10 mins",Call_Center[[#This Row],[Duration]]&lt;=30,"10 to 30 min",Call_Center[[#This Row],[Duration]]&lt;=60,"30 to 60 min",Call_Center[[#This Row],[Duration]]&lt;=120,"1 to 2 hours",TRUE,"More than 2 hours")</f>
        <v>More than 2 hours</v>
      </c>
      <c r="K15">
        <f>ROUND(Call_Center[[#This Row],[Satisfaction Rating]],0)</f>
        <v>4</v>
      </c>
    </row>
    <row r="16" spans="1:11" x14ac:dyDescent="0.35">
      <c r="A16" s="21" t="s">
        <v>993</v>
      </c>
      <c r="B16" s="18" t="s">
        <v>989</v>
      </c>
      <c r="C16" s="18">
        <v>48</v>
      </c>
      <c r="D16" s="19" t="s">
        <v>977</v>
      </c>
      <c r="E16" s="20">
        <v>44930</v>
      </c>
      <c r="F16" s="18">
        <v>68</v>
      </c>
      <c r="G16" s="22">
        <v>4.9000000000000004</v>
      </c>
      <c r="H16">
        <f>IF(MONTH(Call_Center[[#This Row],[Date of Call]])&lt;=6,2023,2024)</f>
        <v>2023</v>
      </c>
      <c r="I16" t="str">
        <f>TEXT(Call_Center[[#This Row],[Date of Call]],"DDDD")</f>
        <v>Wednesday</v>
      </c>
      <c r="J16" t="str" cm="1">
        <f t="array" ref="J16">_xlfn.IFS(Call_Center[[#This Row],[Duration]]&lt;=10,"Under 10 mins",Call_Center[[#This Row],[Duration]]&lt;=30,"10 to 30 min",Call_Center[[#This Row],[Duration]]&lt;=60,"30 to 60 min",Call_Center[[#This Row],[Duration]]&lt;=120,"1 to 2 hours",TRUE,"More than 2 hours")</f>
        <v>30 to 60 min</v>
      </c>
      <c r="K16">
        <f>ROUND(Call_Center[[#This Row],[Satisfaction Rating]],0)</f>
        <v>5</v>
      </c>
    </row>
    <row r="17" spans="1:11" x14ac:dyDescent="0.35">
      <c r="A17" s="21" t="s">
        <v>994</v>
      </c>
      <c r="B17" s="18" t="s">
        <v>985</v>
      </c>
      <c r="C17" s="18">
        <v>176</v>
      </c>
      <c r="D17" s="19" t="s">
        <v>967</v>
      </c>
      <c r="E17" s="20">
        <v>44931</v>
      </c>
      <c r="F17" s="18">
        <v>24</v>
      </c>
      <c r="G17" s="22">
        <v>4.8</v>
      </c>
      <c r="H17">
        <f>IF(MONTH(Call_Center[[#This Row],[Date of Call]])&lt;=6,2023,2024)</f>
        <v>2023</v>
      </c>
      <c r="I17" t="str">
        <f>TEXT(Call_Center[[#This Row],[Date of Call]],"DDDD")</f>
        <v>Thursday</v>
      </c>
      <c r="J17" t="str" cm="1">
        <f t="array" ref="J17">_xlfn.IFS(Call_Center[[#This Row],[Duration]]&lt;=10,"Under 10 mins",Call_Center[[#This Row],[Duration]]&lt;=30,"10 to 30 min",Call_Center[[#This Row],[Duration]]&lt;=60,"30 to 60 min",Call_Center[[#This Row],[Duration]]&lt;=120,"1 to 2 hours",TRUE,"More than 2 hours")</f>
        <v>More than 2 hours</v>
      </c>
      <c r="K17">
        <f>ROUND(Call_Center[[#This Row],[Satisfaction Rating]],0)</f>
        <v>5</v>
      </c>
    </row>
    <row r="18" spans="1:11" x14ac:dyDescent="0.35">
      <c r="A18" s="21" t="s">
        <v>995</v>
      </c>
      <c r="B18" s="18" t="s">
        <v>985</v>
      </c>
      <c r="C18" s="18">
        <v>99</v>
      </c>
      <c r="D18" s="19" t="s">
        <v>977</v>
      </c>
      <c r="E18" s="20">
        <v>44931</v>
      </c>
      <c r="F18" s="18">
        <v>195</v>
      </c>
      <c r="G18" s="22">
        <v>3.9</v>
      </c>
      <c r="H18">
        <f>IF(MONTH(Call_Center[[#This Row],[Date of Call]])&lt;=6,2023,2024)</f>
        <v>2023</v>
      </c>
      <c r="I18" t="str">
        <f>TEXT(Call_Center[[#This Row],[Date of Call]],"DDDD")</f>
        <v>Thursday</v>
      </c>
      <c r="J18" t="str" cm="1">
        <f t="array" ref="J18">_xlfn.IFS(Call_Center[[#This Row],[Duration]]&lt;=10,"Under 10 mins",Call_Center[[#This Row],[Duration]]&lt;=30,"10 to 30 min",Call_Center[[#This Row],[Duration]]&lt;=60,"30 to 60 min",Call_Center[[#This Row],[Duration]]&lt;=120,"1 to 2 hours",TRUE,"More than 2 hours")</f>
        <v>1 to 2 hours</v>
      </c>
      <c r="K18">
        <f>ROUND(Call_Center[[#This Row],[Satisfaction Rating]],0)</f>
        <v>4</v>
      </c>
    </row>
    <row r="19" spans="1:11" x14ac:dyDescent="0.35">
      <c r="A19" s="21" t="s">
        <v>996</v>
      </c>
      <c r="B19" s="18" t="s">
        <v>997</v>
      </c>
      <c r="C19" s="18">
        <v>28</v>
      </c>
      <c r="D19" s="19" t="s">
        <v>986</v>
      </c>
      <c r="E19" s="20">
        <v>44931</v>
      </c>
      <c r="F19" s="18">
        <v>28</v>
      </c>
      <c r="G19" s="22">
        <v>3.8</v>
      </c>
      <c r="H19">
        <f>IF(MONTH(Call_Center[[#This Row],[Date of Call]])&lt;=6,2023,2024)</f>
        <v>2023</v>
      </c>
      <c r="I19" t="str">
        <f>TEXT(Call_Center[[#This Row],[Date of Call]],"DDDD")</f>
        <v>Thursday</v>
      </c>
      <c r="J19" t="str" cm="1">
        <f t="array" ref="J19">_xlfn.IFS(Call_Center[[#This Row],[Duration]]&lt;=10,"Under 10 mins",Call_Center[[#This Row],[Duration]]&lt;=30,"10 to 30 min",Call_Center[[#This Row],[Duration]]&lt;=60,"30 to 60 min",Call_Center[[#This Row],[Duration]]&lt;=120,"1 to 2 hours",TRUE,"More than 2 hours")</f>
        <v>10 to 30 min</v>
      </c>
      <c r="K19">
        <f>ROUND(Call_Center[[#This Row],[Satisfaction Rating]],0)</f>
        <v>4</v>
      </c>
    </row>
    <row r="20" spans="1:11" x14ac:dyDescent="0.35">
      <c r="A20" s="21" t="s">
        <v>998</v>
      </c>
      <c r="B20" s="18" t="s">
        <v>980</v>
      </c>
      <c r="C20" s="18">
        <v>54</v>
      </c>
      <c r="D20" s="19" t="s">
        <v>972</v>
      </c>
      <c r="E20" s="20">
        <v>44931</v>
      </c>
      <c r="F20" s="18">
        <v>170</v>
      </c>
      <c r="G20" s="22">
        <v>4.3</v>
      </c>
      <c r="H20">
        <f>IF(MONTH(Call_Center[[#This Row],[Date of Call]])&lt;=6,2023,2024)</f>
        <v>2023</v>
      </c>
      <c r="I20" t="str">
        <f>TEXT(Call_Center[[#This Row],[Date of Call]],"DDDD")</f>
        <v>Thursday</v>
      </c>
      <c r="J20" t="str" cm="1">
        <f t="array" ref="J20">_xlfn.IFS(Call_Center[[#This Row],[Duration]]&lt;=10,"Under 10 mins",Call_Center[[#This Row],[Duration]]&lt;=30,"10 to 30 min",Call_Center[[#This Row],[Duration]]&lt;=60,"30 to 60 min",Call_Center[[#This Row],[Duration]]&lt;=120,"1 to 2 hours",TRUE,"More than 2 hours")</f>
        <v>30 to 60 min</v>
      </c>
      <c r="K20">
        <f>ROUND(Call_Center[[#This Row],[Satisfaction Rating]],0)</f>
        <v>4</v>
      </c>
    </row>
    <row r="21" spans="1:11" x14ac:dyDescent="0.35">
      <c r="A21" s="21" t="s">
        <v>999</v>
      </c>
      <c r="B21" s="18" t="s">
        <v>1000</v>
      </c>
      <c r="C21" s="18">
        <v>48</v>
      </c>
      <c r="D21" s="19" t="s">
        <v>967</v>
      </c>
      <c r="E21" s="20">
        <v>44932</v>
      </c>
      <c r="F21" s="18">
        <v>30</v>
      </c>
      <c r="G21" s="22">
        <v>4.4000000000000004</v>
      </c>
      <c r="H21">
        <f>IF(MONTH(Call_Center[[#This Row],[Date of Call]])&lt;=6,2023,2024)</f>
        <v>2023</v>
      </c>
      <c r="I21" t="str">
        <f>TEXT(Call_Center[[#This Row],[Date of Call]],"DDDD")</f>
        <v>Friday</v>
      </c>
      <c r="J21" t="str" cm="1">
        <f t="array" ref="J21">_xlfn.IFS(Call_Center[[#This Row],[Duration]]&lt;=10,"Under 10 mins",Call_Center[[#This Row],[Duration]]&lt;=30,"10 to 30 min",Call_Center[[#This Row],[Duration]]&lt;=60,"30 to 60 min",Call_Center[[#This Row],[Duration]]&lt;=120,"1 to 2 hours",TRUE,"More than 2 hours")</f>
        <v>30 to 60 min</v>
      </c>
      <c r="K21">
        <f>ROUND(Call_Center[[#This Row],[Satisfaction Rating]],0)</f>
        <v>4</v>
      </c>
    </row>
    <row r="22" spans="1:11" x14ac:dyDescent="0.35">
      <c r="A22" s="21" t="s">
        <v>1001</v>
      </c>
      <c r="B22" s="18" t="s">
        <v>969</v>
      </c>
      <c r="C22" s="18">
        <v>128</v>
      </c>
      <c r="D22" s="19" t="s">
        <v>967</v>
      </c>
      <c r="E22" s="20">
        <v>44932</v>
      </c>
      <c r="F22" s="18">
        <v>72</v>
      </c>
      <c r="G22" s="22">
        <v>5</v>
      </c>
      <c r="H22">
        <f>IF(MONTH(Call_Center[[#This Row],[Date of Call]])&lt;=6,2023,2024)</f>
        <v>2023</v>
      </c>
      <c r="I22" t="str">
        <f>TEXT(Call_Center[[#This Row],[Date of Call]],"DDDD")</f>
        <v>Friday</v>
      </c>
      <c r="J22" t="str" cm="1">
        <f t="array" ref="J22">_xlfn.IFS(Call_Center[[#This Row],[Duration]]&lt;=10,"Under 10 mins",Call_Center[[#This Row],[Duration]]&lt;=30,"10 to 30 min",Call_Center[[#This Row],[Duration]]&lt;=60,"30 to 60 min",Call_Center[[#This Row],[Duration]]&lt;=120,"1 to 2 hours",TRUE,"More than 2 hours")</f>
        <v>More than 2 hours</v>
      </c>
      <c r="K22">
        <f>ROUND(Call_Center[[#This Row],[Satisfaction Rating]],0)</f>
        <v>5</v>
      </c>
    </row>
    <row r="23" spans="1:11" x14ac:dyDescent="0.35">
      <c r="A23" s="21" t="s">
        <v>1002</v>
      </c>
      <c r="B23" s="18" t="s">
        <v>969</v>
      </c>
      <c r="C23" s="18">
        <v>38</v>
      </c>
      <c r="D23" s="19" t="s">
        <v>982</v>
      </c>
      <c r="E23" s="20">
        <v>44933</v>
      </c>
      <c r="F23" s="18">
        <v>92</v>
      </c>
      <c r="G23" s="22">
        <v>4.9000000000000004</v>
      </c>
      <c r="H23">
        <f>IF(MONTH(Call_Center[[#This Row],[Date of Call]])&lt;=6,2023,2024)</f>
        <v>2023</v>
      </c>
      <c r="I23" t="str">
        <f>TEXT(Call_Center[[#This Row],[Date of Call]],"DDDD")</f>
        <v>Saturday</v>
      </c>
      <c r="J23" t="str" cm="1">
        <f t="array" ref="J23">_xlfn.IFS(Call_Center[[#This Row],[Duration]]&lt;=10,"Under 10 mins",Call_Center[[#This Row],[Duration]]&lt;=30,"10 to 30 min",Call_Center[[#This Row],[Duration]]&lt;=60,"30 to 60 min",Call_Center[[#This Row],[Duration]]&lt;=120,"1 to 2 hours",TRUE,"More than 2 hours")</f>
        <v>30 to 60 min</v>
      </c>
      <c r="K23">
        <f>ROUND(Call_Center[[#This Row],[Satisfaction Rating]],0)</f>
        <v>5</v>
      </c>
    </row>
    <row r="24" spans="1:11" x14ac:dyDescent="0.35">
      <c r="A24" s="21" t="s">
        <v>1003</v>
      </c>
      <c r="B24" s="18" t="s">
        <v>966</v>
      </c>
      <c r="C24" s="18">
        <v>67</v>
      </c>
      <c r="D24" s="19" t="s">
        <v>982</v>
      </c>
      <c r="E24" s="20">
        <v>44934</v>
      </c>
      <c r="F24" s="18">
        <v>165</v>
      </c>
      <c r="G24" s="22">
        <v>4.5</v>
      </c>
      <c r="H24">
        <f>IF(MONTH(Call_Center[[#This Row],[Date of Call]])&lt;=6,2023,2024)</f>
        <v>2023</v>
      </c>
      <c r="I24" t="str">
        <f>TEXT(Call_Center[[#This Row],[Date of Call]],"DDDD")</f>
        <v>Sunday</v>
      </c>
      <c r="J24" t="str" cm="1">
        <f t="array" ref="J24">_xlfn.IFS(Call_Center[[#This Row],[Duration]]&lt;=10,"Under 10 mins",Call_Center[[#This Row],[Duration]]&lt;=30,"10 to 30 min",Call_Center[[#This Row],[Duration]]&lt;=60,"30 to 60 min",Call_Center[[#This Row],[Duration]]&lt;=120,"1 to 2 hours",TRUE,"More than 2 hours")</f>
        <v>1 to 2 hours</v>
      </c>
      <c r="K24">
        <f>ROUND(Call_Center[[#This Row],[Satisfaction Rating]],0)</f>
        <v>5</v>
      </c>
    </row>
    <row r="25" spans="1:11" x14ac:dyDescent="0.35">
      <c r="A25" s="21" t="s">
        <v>1004</v>
      </c>
      <c r="B25" s="18" t="s">
        <v>1005</v>
      </c>
      <c r="C25" s="18">
        <v>58</v>
      </c>
      <c r="D25" s="19" t="s">
        <v>972</v>
      </c>
      <c r="E25" s="20">
        <v>44934</v>
      </c>
      <c r="F25" s="18">
        <v>140</v>
      </c>
      <c r="G25" s="22">
        <v>2.1</v>
      </c>
      <c r="H25">
        <f>IF(MONTH(Call_Center[[#This Row],[Date of Call]])&lt;=6,2023,2024)</f>
        <v>2023</v>
      </c>
      <c r="I25" t="str">
        <f>TEXT(Call_Center[[#This Row],[Date of Call]],"DDDD")</f>
        <v>Sunday</v>
      </c>
      <c r="J25" t="str" cm="1">
        <f t="array" ref="J25">_xlfn.IFS(Call_Center[[#This Row],[Duration]]&lt;=10,"Under 10 mins",Call_Center[[#This Row],[Duration]]&lt;=30,"10 to 30 min",Call_Center[[#This Row],[Duration]]&lt;=60,"30 to 60 min",Call_Center[[#This Row],[Duration]]&lt;=120,"1 to 2 hours",TRUE,"More than 2 hours")</f>
        <v>30 to 60 min</v>
      </c>
      <c r="K25">
        <f>ROUND(Call_Center[[#This Row],[Satisfaction Rating]],0)</f>
        <v>2</v>
      </c>
    </row>
    <row r="26" spans="1:11" x14ac:dyDescent="0.35">
      <c r="A26" s="21" t="s">
        <v>1006</v>
      </c>
      <c r="B26" s="18" t="s">
        <v>985</v>
      </c>
      <c r="C26" s="18">
        <v>54</v>
      </c>
      <c r="D26" s="19" t="s">
        <v>977</v>
      </c>
      <c r="E26" s="20">
        <v>44934</v>
      </c>
      <c r="F26" s="18">
        <v>111</v>
      </c>
      <c r="G26" s="22">
        <v>3.3</v>
      </c>
      <c r="H26">
        <f>IF(MONTH(Call_Center[[#This Row],[Date of Call]])&lt;=6,2023,2024)</f>
        <v>2023</v>
      </c>
      <c r="I26" t="str">
        <f>TEXT(Call_Center[[#This Row],[Date of Call]],"DDDD")</f>
        <v>Sunday</v>
      </c>
      <c r="J26" t="str" cm="1">
        <f t="array" ref="J26">_xlfn.IFS(Call_Center[[#This Row],[Duration]]&lt;=10,"Under 10 mins",Call_Center[[#This Row],[Duration]]&lt;=30,"10 to 30 min",Call_Center[[#This Row],[Duration]]&lt;=60,"30 to 60 min",Call_Center[[#This Row],[Duration]]&lt;=120,"1 to 2 hours",TRUE,"More than 2 hours")</f>
        <v>30 to 60 min</v>
      </c>
      <c r="K26">
        <f>ROUND(Call_Center[[#This Row],[Satisfaction Rating]],0)</f>
        <v>3</v>
      </c>
    </row>
    <row r="27" spans="1:11" x14ac:dyDescent="0.35">
      <c r="A27" s="21" t="s">
        <v>1007</v>
      </c>
      <c r="B27" s="18" t="s">
        <v>1008</v>
      </c>
      <c r="C27" s="18">
        <v>28</v>
      </c>
      <c r="D27" s="19" t="s">
        <v>967</v>
      </c>
      <c r="E27" s="20">
        <v>44935</v>
      </c>
      <c r="F27" s="18">
        <v>63</v>
      </c>
      <c r="G27" s="22">
        <v>4.0999999999999996</v>
      </c>
      <c r="H27">
        <f>IF(MONTH(Call_Center[[#This Row],[Date of Call]])&lt;=6,2023,2024)</f>
        <v>2023</v>
      </c>
      <c r="I27" t="str">
        <f>TEXT(Call_Center[[#This Row],[Date of Call]],"DDDD")</f>
        <v>Monday</v>
      </c>
      <c r="J27" t="str" cm="1">
        <f t="array" ref="J27">_xlfn.IFS(Call_Center[[#This Row],[Duration]]&lt;=10,"Under 10 mins",Call_Center[[#This Row],[Duration]]&lt;=30,"10 to 30 min",Call_Center[[#This Row],[Duration]]&lt;=60,"30 to 60 min",Call_Center[[#This Row],[Duration]]&lt;=120,"1 to 2 hours",TRUE,"More than 2 hours")</f>
        <v>10 to 30 min</v>
      </c>
      <c r="K27">
        <f>ROUND(Call_Center[[#This Row],[Satisfaction Rating]],0)</f>
        <v>4</v>
      </c>
    </row>
    <row r="28" spans="1:11" x14ac:dyDescent="0.35">
      <c r="A28" s="21" t="s">
        <v>1009</v>
      </c>
      <c r="B28" s="18" t="s">
        <v>991</v>
      </c>
      <c r="C28" s="18">
        <v>73</v>
      </c>
      <c r="D28" s="19" t="s">
        <v>967</v>
      </c>
      <c r="E28" s="20">
        <v>44935</v>
      </c>
      <c r="F28" s="18">
        <v>80</v>
      </c>
      <c r="G28" s="22">
        <v>4.2</v>
      </c>
      <c r="H28">
        <f>IF(MONTH(Call_Center[[#This Row],[Date of Call]])&lt;=6,2023,2024)</f>
        <v>2023</v>
      </c>
      <c r="I28" t="str">
        <f>TEXT(Call_Center[[#This Row],[Date of Call]],"DDDD")</f>
        <v>Monday</v>
      </c>
      <c r="J28" t="str" cm="1">
        <f t="array" ref="J28">_xlfn.IFS(Call_Center[[#This Row],[Duration]]&lt;=10,"Under 10 mins",Call_Center[[#This Row],[Duration]]&lt;=30,"10 to 30 min",Call_Center[[#This Row],[Duration]]&lt;=60,"30 to 60 min",Call_Center[[#This Row],[Duration]]&lt;=120,"1 to 2 hours",TRUE,"More than 2 hours")</f>
        <v>1 to 2 hours</v>
      </c>
      <c r="K28">
        <f>ROUND(Call_Center[[#This Row],[Satisfaction Rating]],0)</f>
        <v>4</v>
      </c>
    </row>
    <row r="29" spans="1:11" x14ac:dyDescent="0.35">
      <c r="A29" s="21" t="s">
        <v>1010</v>
      </c>
      <c r="B29" s="18" t="s">
        <v>976</v>
      </c>
      <c r="C29" s="18">
        <v>81</v>
      </c>
      <c r="D29" s="19" t="s">
        <v>967</v>
      </c>
      <c r="E29" s="20">
        <v>44936</v>
      </c>
      <c r="F29" s="18">
        <v>50</v>
      </c>
      <c r="G29" s="22">
        <v>4.5999999999999996</v>
      </c>
      <c r="H29">
        <f>IF(MONTH(Call_Center[[#This Row],[Date of Call]])&lt;=6,2023,2024)</f>
        <v>2023</v>
      </c>
      <c r="I29" t="str">
        <f>TEXT(Call_Center[[#This Row],[Date of Call]],"DDDD")</f>
        <v>Tuesday</v>
      </c>
      <c r="J29" t="str" cm="1">
        <f t="array" ref="J29">_xlfn.IFS(Call_Center[[#This Row],[Duration]]&lt;=10,"Under 10 mins",Call_Center[[#This Row],[Duration]]&lt;=30,"10 to 30 min",Call_Center[[#This Row],[Duration]]&lt;=60,"30 to 60 min",Call_Center[[#This Row],[Duration]]&lt;=120,"1 to 2 hours",TRUE,"More than 2 hours")</f>
        <v>1 to 2 hours</v>
      </c>
      <c r="K29">
        <f>ROUND(Call_Center[[#This Row],[Satisfaction Rating]],0)</f>
        <v>5</v>
      </c>
    </row>
    <row r="30" spans="1:11" x14ac:dyDescent="0.35">
      <c r="A30" s="21" t="s">
        <v>1011</v>
      </c>
      <c r="B30" s="18" t="s">
        <v>997</v>
      </c>
      <c r="C30" s="18">
        <v>31</v>
      </c>
      <c r="D30" s="19" t="s">
        <v>982</v>
      </c>
      <c r="E30" s="20">
        <v>44936</v>
      </c>
      <c r="F30" s="18">
        <v>123</v>
      </c>
      <c r="G30" s="22">
        <v>2.9</v>
      </c>
      <c r="H30">
        <f>IF(MONTH(Call_Center[[#This Row],[Date of Call]])&lt;=6,2023,2024)</f>
        <v>2023</v>
      </c>
      <c r="I30" t="str">
        <f>TEXT(Call_Center[[#This Row],[Date of Call]],"DDDD")</f>
        <v>Tuesday</v>
      </c>
      <c r="J30" t="str" cm="1">
        <f t="array" ref="J30">_xlfn.IFS(Call_Center[[#This Row],[Duration]]&lt;=10,"Under 10 mins",Call_Center[[#This Row],[Duration]]&lt;=30,"10 to 30 min",Call_Center[[#This Row],[Duration]]&lt;=60,"30 to 60 min",Call_Center[[#This Row],[Duration]]&lt;=120,"1 to 2 hours",TRUE,"More than 2 hours")</f>
        <v>30 to 60 min</v>
      </c>
      <c r="K30">
        <f>ROUND(Call_Center[[#This Row],[Satisfaction Rating]],0)</f>
        <v>3</v>
      </c>
    </row>
    <row r="31" spans="1:11" x14ac:dyDescent="0.35">
      <c r="A31" s="21" t="s">
        <v>1012</v>
      </c>
      <c r="B31" s="18" t="s">
        <v>1005</v>
      </c>
      <c r="C31" s="18">
        <v>155</v>
      </c>
      <c r="D31" s="19" t="s">
        <v>977</v>
      </c>
      <c r="E31" s="20">
        <v>44936</v>
      </c>
      <c r="F31" s="18">
        <v>110</v>
      </c>
      <c r="G31" s="22">
        <v>4.8</v>
      </c>
      <c r="H31">
        <f>IF(MONTH(Call_Center[[#This Row],[Date of Call]])&lt;=6,2023,2024)</f>
        <v>2023</v>
      </c>
      <c r="I31" t="str">
        <f>TEXT(Call_Center[[#This Row],[Date of Call]],"DDDD")</f>
        <v>Tuesday</v>
      </c>
      <c r="J31" t="str" cm="1">
        <f t="array" ref="J31">_xlfn.IFS(Call_Center[[#This Row],[Duration]]&lt;=10,"Under 10 mins",Call_Center[[#This Row],[Duration]]&lt;=30,"10 to 30 min",Call_Center[[#This Row],[Duration]]&lt;=60,"30 to 60 min",Call_Center[[#This Row],[Duration]]&lt;=120,"1 to 2 hours",TRUE,"More than 2 hours")</f>
        <v>More than 2 hours</v>
      </c>
      <c r="K31">
        <f>ROUND(Call_Center[[#This Row],[Satisfaction Rating]],0)</f>
        <v>5</v>
      </c>
    </row>
    <row r="32" spans="1:11" x14ac:dyDescent="0.35">
      <c r="A32" s="21" t="s">
        <v>1013</v>
      </c>
      <c r="B32" s="18" t="s">
        <v>997</v>
      </c>
      <c r="C32" s="18">
        <v>80</v>
      </c>
      <c r="D32" s="19" t="s">
        <v>967</v>
      </c>
      <c r="E32" s="20">
        <v>44936</v>
      </c>
      <c r="F32" s="18">
        <v>140</v>
      </c>
      <c r="G32" s="22">
        <v>4.2</v>
      </c>
      <c r="H32">
        <f>IF(MONTH(Call_Center[[#This Row],[Date of Call]])&lt;=6,2023,2024)</f>
        <v>2023</v>
      </c>
      <c r="I32" t="str">
        <f>TEXT(Call_Center[[#This Row],[Date of Call]],"DDDD")</f>
        <v>Tuesday</v>
      </c>
      <c r="J32" t="str" cm="1">
        <f t="array" ref="J32">_xlfn.IFS(Call_Center[[#This Row],[Duration]]&lt;=10,"Under 10 mins",Call_Center[[#This Row],[Duration]]&lt;=30,"10 to 30 min",Call_Center[[#This Row],[Duration]]&lt;=60,"30 to 60 min",Call_Center[[#This Row],[Duration]]&lt;=120,"1 to 2 hours",TRUE,"More than 2 hours")</f>
        <v>1 to 2 hours</v>
      </c>
      <c r="K32">
        <f>ROUND(Call_Center[[#This Row],[Satisfaction Rating]],0)</f>
        <v>4</v>
      </c>
    </row>
    <row r="33" spans="1:11" x14ac:dyDescent="0.35">
      <c r="A33" s="21" t="s">
        <v>1014</v>
      </c>
      <c r="B33" s="18" t="s">
        <v>976</v>
      </c>
      <c r="C33" s="18">
        <v>82</v>
      </c>
      <c r="D33" s="19" t="s">
        <v>967</v>
      </c>
      <c r="E33" s="20">
        <v>44938</v>
      </c>
      <c r="F33" s="18">
        <v>42</v>
      </c>
      <c r="G33" s="22">
        <v>3.7</v>
      </c>
      <c r="H33">
        <f>IF(MONTH(Call_Center[[#This Row],[Date of Call]])&lt;=6,2023,2024)</f>
        <v>2023</v>
      </c>
      <c r="I33" t="str">
        <f>TEXT(Call_Center[[#This Row],[Date of Call]],"DDDD")</f>
        <v>Thursday</v>
      </c>
      <c r="J33" t="str" cm="1">
        <f t="array" ref="J33">_xlfn.IFS(Call_Center[[#This Row],[Duration]]&lt;=10,"Under 10 mins",Call_Center[[#This Row],[Duration]]&lt;=30,"10 to 30 min",Call_Center[[#This Row],[Duration]]&lt;=60,"30 to 60 min",Call_Center[[#This Row],[Duration]]&lt;=120,"1 to 2 hours",TRUE,"More than 2 hours")</f>
        <v>1 to 2 hours</v>
      </c>
      <c r="K33">
        <f>ROUND(Call_Center[[#This Row],[Satisfaction Rating]],0)</f>
        <v>4</v>
      </c>
    </row>
    <row r="34" spans="1:11" x14ac:dyDescent="0.35">
      <c r="A34" s="21" t="s">
        <v>1015</v>
      </c>
      <c r="B34" s="18" t="s">
        <v>976</v>
      </c>
      <c r="C34" s="18">
        <v>29</v>
      </c>
      <c r="D34" s="19" t="s">
        <v>977</v>
      </c>
      <c r="E34" s="20">
        <v>44938</v>
      </c>
      <c r="F34" s="18">
        <v>170</v>
      </c>
      <c r="G34" s="22">
        <v>5</v>
      </c>
      <c r="H34">
        <f>IF(MONTH(Call_Center[[#This Row],[Date of Call]])&lt;=6,2023,2024)</f>
        <v>2023</v>
      </c>
      <c r="I34" t="str">
        <f>TEXT(Call_Center[[#This Row],[Date of Call]],"DDDD")</f>
        <v>Thursday</v>
      </c>
      <c r="J34" t="str" cm="1">
        <f t="array" ref="J34">_xlfn.IFS(Call_Center[[#This Row],[Duration]]&lt;=10,"Under 10 mins",Call_Center[[#This Row],[Duration]]&lt;=30,"10 to 30 min",Call_Center[[#This Row],[Duration]]&lt;=60,"30 to 60 min",Call_Center[[#This Row],[Duration]]&lt;=120,"1 to 2 hours",TRUE,"More than 2 hours")</f>
        <v>10 to 30 min</v>
      </c>
      <c r="K34">
        <f>ROUND(Call_Center[[#This Row],[Satisfaction Rating]],0)</f>
        <v>5</v>
      </c>
    </row>
    <row r="35" spans="1:11" x14ac:dyDescent="0.35">
      <c r="A35" s="21" t="s">
        <v>1016</v>
      </c>
      <c r="B35" s="18" t="s">
        <v>1000</v>
      </c>
      <c r="C35" s="18">
        <v>160</v>
      </c>
      <c r="D35" s="19" t="s">
        <v>972</v>
      </c>
      <c r="E35" s="20">
        <v>44940</v>
      </c>
      <c r="F35" s="18">
        <v>105</v>
      </c>
      <c r="G35" s="22">
        <v>5</v>
      </c>
      <c r="H35">
        <f>IF(MONTH(Call_Center[[#This Row],[Date of Call]])&lt;=6,2023,2024)</f>
        <v>2023</v>
      </c>
      <c r="I35" t="str">
        <f>TEXT(Call_Center[[#This Row],[Date of Call]],"DDDD")</f>
        <v>Saturday</v>
      </c>
      <c r="J35" t="str" cm="1">
        <f t="array" ref="J35">_xlfn.IFS(Call_Center[[#This Row],[Duration]]&lt;=10,"Under 10 mins",Call_Center[[#This Row],[Duration]]&lt;=30,"10 to 30 min",Call_Center[[#This Row],[Duration]]&lt;=60,"30 to 60 min",Call_Center[[#This Row],[Duration]]&lt;=120,"1 to 2 hours",TRUE,"More than 2 hours")</f>
        <v>More than 2 hours</v>
      </c>
      <c r="K35">
        <f>ROUND(Call_Center[[#This Row],[Satisfaction Rating]],0)</f>
        <v>5</v>
      </c>
    </row>
    <row r="36" spans="1:11" x14ac:dyDescent="0.35">
      <c r="A36" s="21" t="s">
        <v>1017</v>
      </c>
      <c r="B36" s="18" t="s">
        <v>1018</v>
      </c>
      <c r="C36" s="18">
        <v>105</v>
      </c>
      <c r="D36" s="19" t="s">
        <v>967</v>
      </c>
      <c r="E36" s="20">
        <v>44941</v>
      </c>
      <c r="F36" s="18">
        <v>125</v>
      </c>
      <c r="G36" s="22">
        <v>4.8</v>
      </c>
      <c r="H36">
        <f>IF(MONTH(Call_Center[[#This Row],[Date of Call]])&lt;=6,2023,2024)</f>
        <v>2023</v>
      </c>
      <c r="I36" t="str">
        <f>TEXT(Call_Center[[#This Row],[Date of Call]],"DDDD")</f>
        <v>Sunday</v>
      </c>
      <c r="J36" t="str" cm="1">
        <f t="array" ref="J36">_xlfn.IFS(Call_Center[[#This Row],[Duration]]&lt;=10,"Under 10 mins",Call_Center[[#This Row],[Duration]]&lt;=30,"10 to 30 min",Call_Center[[#This Row],[Duration]]&lt;=60,"30 to 60 min",Call_Center[[#This Row],[Duration]]&lt;=120,"1 to 2 hours",TRUE,"More than 2 hours")</f>
        <v>1 to 2 hours</v>
      </c>
      <c r="K36">
        <f>ROUND(Call_Center[[#This Row],[Satisfaction Rating]],0)</f>
        <v>5</v>
      </c>
    </row>
    <row r="37" spans="1:11" x14ac:dyDescent="0.35">
      <c r="A37" s="21" t="s">
        <v>1019</v>
      </c>
      <c r="B37" s="18" t="s">
        <v>997</v>
      </c>
      <c r="C37" s="18">
        <v>75</v>
      </c>
      <c r="D37" s="19" t="s">
        <v>986</v>
      </c>
      <c r="E37" s="20">
        <v>44941</v>
      </c>
      <c r="F37" s="18">
        <v>26</v>
      </c>
      <c r="G37" s="22">
        <v>2.4</v>
      </c>
      <c r="H37">
        <f>IF(MONTH(Call_Center[[#This Row],[Date of Call]])&lt;=6,2023,2024)</f>
        <v>2023</v>
      </c>
      <c r="I37" t="str">
        <f>TEXT(Call_Center[[#This Row],[Date of Call]],"DDDD")</f>
        <v>Sunday</v>
      </c>
      <c r="J37" t="str" cm="1">
        <f t="array" ref="J37">_xlfn.IFS(Call_Center[[#This Row],[Duration]]&lt;=10,"Under 10 mins",Call_Center[[#This Row],[Duration]]&lt;=30,"10 to 30 min",Call_Center[[#This Row],[Duration]]&lt;=60,"30 to 60 min",Call_Center[[#This Row],[Duration]]&lt;=120,"1 to 2 hours",TRUE,"More than 2 hours")</f>
        <v>1 to 2 hours</v>
      </c>
      <c r="K37">
        <f>ROUND(Call_Center[[#This Row],[Satisfaction Rating]],0)</f>
        <v>2</v>
      </c>
    </row>
    <row r="38" spans="1:11" x14ac:dyDescent="0.35">
      <c r="A38" s="21" t="s">
        <v>1020</v>
      </c>
      <c r="B38" s="18" t="s">
        <v>1005</v>
      </c>
      <c r="C38" s="18">
        <v>94</v>
      </c>
      <c r="D38" s="19" t="s">
        <v>986</v>
      </c>
      <c r="E38" s="20">
        <v>44942</v>
      </c>
      <c r="F38" s="18">
        <v>120</v>
      </c>
      <c r="G38" s="22">
        <v>3.1</v>
      </c>
      <c r="H38">
        <f>IF(MONTH(Call_Center[[#This Row],[Date of Call]])&lt;=6,2023,2024)</f>
        <v>2023</v>
      </c>
      <c r="I38" t="str">
        <f>TEXT(Call_Center[[#This Row],[Date of Call]],"DDDD")</f>
        <v>Monday</v>
      </c>
      <c r="J38" t="str" cm="1">
        <f t="array" ref="J38">_xlfn.IFS(Call_Center[[#This Row],[Duration]]&lt;=10,"Under 10 mins",Call_Center[[#This Row],[Duration]]&lt;=30,"10 to 30 min",Call_Center[[#This Row],[Duration]]&lt;=60,"30 to 60 min",Call_Center[[#This Row],[Duration]]&lt;=120,"1 to 2 hours",TRUE,"More than 2 hours")</f>
        <v>1 to 2 hours</v>
      </c>
      <c r="K38">
        <f>ROUND(Call_Center[[#This Row],[Satisfaction Rating]],0)</f>
        <v>3</v>
      </c>
    </row>
    <row r="39" spans="1:11" x14ac:dyDescent="0.35">
      <c r="A39" s="21" t="s">
        <v>1021</v>
      </c>
      <c r="B39" s="18" t="s">
        <v>969</v>
      </c>
      <c r="C39" s="18">
        <v>90</v>
      </c>
      <c r="D39" s="19" t="s">
        <v>972</v>
      </c>
      <c r="E39" s="20">
        <v>44942</v>
      </c>
      <c r="F39" s="18">
        <v>132</v>
      </c>
      <c r="G39" s="22">
        <v>3.2</v>
      </c>
      <c r="H39">
        <f>IF(MONTH(Call_Center[[#This Row],[Date of Call]])&lt;=6,2023,2024)</f>
        <v>2023</v>
      </c>
      <c r="I39" t="str">
        <f>TEXT(Call_Center[[#This Row],[Date of Call]],"DDDD")</f>
        <v>Monday</v>
      </c>
      <c r="J39" t="str" cm="1">
        <f t="array" ref="J39">_xlfn.IFS(Call_Center[[#This Row],[Duration]]&lt;=10,"Under 10 mins",Call_Center[[#This Row],[Duration]]&lt;=30,"10 to 30 min",Call_Center[[#This Row],[Duration]]&lt;=60,"30 to 60 min",Call_Center[[#This Row],[Duration]]&lt;=120,"1 to 2 hours",TRUE,"More than 2 hours")</f>
        <v>1 to 2 hours</v>
      </c>
      <c r="K39">
        <f>ROUND(Call_Center[[#This Row],[Satisfaction Rating]],0)</f>
        <v>3</v>
      </c>
    </row>
    <row r="40" spans="1:11" x14ac:dyDescent="0.35">
      <c r="A40" s="21" t="s">
        <v>1022</v>
      </c>
      <c r="B40" s="18" t="s">
        <v>1005</v>
      </c>
      <c r="C40" s="18">
        <v>81</v>
      </c>
      <c r="D40" s="19" t="s">
        <v>982</v>
      </c>
      <c r="E40" s="20">
        <v>44943</v>
      </c>
      <c r="F40" s="18">
        <v>86</v>
      </c>
      <c r="G40" s="22">
        <v>2.4</v>
      </c>
      <c r="H40">
        <f>IF(MONTH(Call_Center[[#This Row],[Date of Call]])&lt;=6,2023,2024)</f>
        <v>2023</v>
      </c>
      <c r="I40" t="str">
        <f>TEXT(Call_Center[[#This Row],[Date of Call]],"DDDD")</f>
        <v>Tuesday</v>
      </c>
      <c r="J40" t="str" cm="1">
        <f t="array" ref="J40">_xlfn.IFS(Call_Center[[#This Row],[Duration]]&lt;=10,"Under 10 mins",Call_Center[[#This Row],[Duration]]&lt;=30,"10 to 30 min",Call_Center[[#This Row],[Duration]]&lt;=60,"30 to 60 min",Call_Center[[#This Row],[Duration]]&lt;=120,"1 to 2 hours",TRUE,"More than 2 hours")</f>
        <v>1 to 2 hours</v>
      </c>
      <c r="K40">
        <f>ROUND(Call_Center[[#This Row],[Satisfaction Rating]],0)</f>
        <v>2</v>
      </c>
    </row>
    <row r="41" spans="1:11" x14ac:dyDescent="0.35">
      <c r="A41" s="21" t="s">
        <v>1023</v>
      </c>
      <c r="B41" s="18" t="s">
        <v>997</v>
      </c>
      <c r="C41" s="18">
        <v>106</v>
      </c>
      <c r="D41" s="19" t="s">
        <v>967</v>
      </c>
      <c r="E41" s="20">
        <v>44943</v>
      </c>
      <c r="F41" s="18">
        <v>108</v>
      </c>
      <c r="G41" s="22">
        <v>5</v>
      </c>
      <c r="H41">
        <f>IF(MONTH(Call_Center[[#This Row],[Date of Call]])&lt;=6,2023,2024)</f>
        <v>2023</v>
      </c>
      <c r="I41" t="str">
        <f>TEXT(Call_Center[[#This Row],[Date of Call]],"DDDD")</f>
        <v>Tuesday</v>
      </c>
      <c r="J41" t="str" cm="1">
        <f t="array" ref="J41">_xlfn.IFS(Call_Center[[#This Row],[Duration]]&lt;=10,"Under 10 mins",Call_Center[[#This Row],[Duration]]&lt;=30,"10 to 30 min",Call_Center[[#This Row],[Duration]]&lt;=60,"30 to 60 min",Call_Center[[#This Row],[Duration]]&lt;=120,"1 to 2 hours",TRUE,"More than 2 hours")</f>
        <v>1 to 2 hours</v>
      </c>
      <c r="K41">
        <f>ROUND(Call_Center[[#This Row],[Satisfaction Rating]],0)</f>
        <v>5</v>
      </c>
    </row>
    <row r="42" spans="1:11" x14ac:dyDescent="0.35">
      <c r="A42" s="21" t="s">
        <v>1024</v>
      </c>
      <c r="B42" s="18" t="s">
        <v>969</v>
      </c>
      <c r="C42" s="18">
        <v>74</v>
      </c>
      <c r="D42" s="19" t="s">
        <v>982</v>
      </c>
      <c r="E42" s="20">
        <v>44943</v>
      </c>
      <c r="F42" s="18">
        <v>96</v>
      </c>
      <c r="G42" s="22">
        <v>4.7</v>
      </c>
      <c r="H42">
        <f>IF(MONTH(Call_Center[[#This Row],[Date of Call]])&lt;=6,2023,2024)</f>
        <v>2023</v>
      </c>
      <c r="I42" t="str">
        <f>TEXT(Call_Center[[#This Row],[Date of Call]],"DDDD")</f>
        <v>Tuesday</v>
      </c>
      <c r="J42" t="str" cm="1">
        <f t="array" ref="J42">_xlfn.IFS(Call_Center[[#This Row],[Duration]]&lt;=10,"Under 10 mins",Call_Center[[#This Row],[Duration]]&lt;=30,"10 to 30 min",Call_Center[[#This Row],[Duration]]&lt;=60,"30 to 60 min",Call_Center[[#This Row],[Duration]]&lt;=120,"1 to 2 hours",TRUE,"More than 2 hours")</f>
        <v>1 to 2 hours</v>
      </c>
      <c r="K42">
        <f>ROUND(Call_Center[[#This Row],[Satisfaction Rating]],0)</f>
        <v>5</v>
      </c>
    </row>
    <row r="43" spans="1:11" x14ac:dyDescent="0.35">
      <c r="A43" s="21" t="s">
        <v>1025</v>
      </c>
      <c r="B43" s="18" t="s">
        <v>985</v>
      </c>
      <c r="C43" s="18">
        <v>105</v>
      </c>
      <c r="D43" s="19" t="s">
        <v>972</v>
      </c>
      <c r="E43" s="20">
        <v>44944</v>
      </c>
      <c r="F43" s="18">
        <v>80</v>
      </c>
      <c r="G43" s="22">
        <v>4.7</v>
      </c>
      <c r="H43">
        <f>IF(MONTH(Call_Center[[#This Row],[Date of Call]])&lt;=6,2023,2024)</f>
        <v>2023</v>
      </c>
      <c r="I43" t="str">
        <f>TEXT(Call_Center[[#This Row],[Date of Call]],"DDDD")</f>
        <v>Wednesday</v>
      </c>
      <c r="J43" t="str" cm="1">
        <f t="array" ref="J43">_xlfn.IFS(Call_Center[[#This Row],[Duration]]&lt;=10,"Under 10 mins",Call_Center[[#This Row],[Duration]]&lt;=30,"10 to 30 min",Call_Center[[#This Row],[Duration]]&lt;=60,"30 to 60 min",Call_Center[[#This Row],[Duration]]&lt;=120,"1 to 2 hours",TRUE,"More than 2 hours")</f>
        <v>1 to 2 hours</v>
      </c>
      <c r="K43">
        <f>ROUND(Call_Center[[#This Row],[Satisfaction Rating]],0)</f>
        <v>5</v>
      </c>
    </row>
    <row r="44" spans="1:11" x14ac:dyDescent="0.35">
      <c r="A44" s="21" t="s">
        <v>1026</v>
      </c>
      <c r="B44" s="18" t="s">
        <v>997</v>
      </c>
      <c r="C44" s="18">
        <v>89</v>
      </c>
      <c r="D44" s="19" t="s">
        <v>967</v>
      </c>
      <c r="E44" s="20">
        <v>44944</v>
      </c>
      <c r="F44" s="18">
        <v>155</v>
      </c>
      <c r="G44" s="22">
        <v>4.0999999999999996</v>
      </c>
      <c r="H44">
        <f>IF(MONTH(Call_Center[[#This Row],[Date of Call]])&lt;=6,2023,2024)</f>
        <v>2023</v>
      </c>
      <c r="I44" t="str">
        <f>TEXT(Call_Center[[#This Row],[Date of Call]],"DDDD")</f>
        <v>Wednesday</v>
      </c>
      <c r="J44" t="str" cm="1">
        <f t="array" ref="J44">_xlfn.IFS(Call_Center[[#This Row],[Duration]]&lt;=10,"Under 10 mins",Call_Center[[#This Row],[Duration]]&lt;=30,"10 to 30 min",Call_Center[[#This Row],[Duration]]&lt;=60,"30 to 60 min",Call_Center[[#This Row],[Duration]]&lt;=120,"1 to 2 hours",TRUE,"More than 2 hours")</f>
        <v>1 to 2 hours</v>
      </c>
      <c r="K44">
        <f>ROUND(Call_Center[[#This Row],[Satisfaction Rating]],0)</f>
        <v>4</v>
      </c>
    </row>
    <row r="45" spans="1:11" x14ac:dyDescent="0.35">
      <c r="A45" s="21" t="s">
        <v>1027</v>
      </c>
      <c r="B45" s="18" t="s">
        <v>989</v>
      </c>
      <c r="C45" s="18">
        <v>132</v>
      </c>
      <c r="D45" s="19" t="s">
        <v>986</v>
      </c>
      <c r="E45" s="20">
        <v>44944</v>
      </c>
      <c r="F45" s="18">
        <v>168</v>
      </c>
      <c r="G45" s="22">
        <v>4.0999999999999996</v>
      </c>
      <c r="H45">
        <f>IF(MONTH(Call_Center[[#This Row],[Date of Call]])&lt;=6,2023,2024)</f>
        <v>2023</v>
      </c>
      <c r="I45" t="str">
        <f>TEXT(Call_Center[[#This Row],[Date of Call]],"DDDD")</f>
        <v>Wednesday</v>
      </c>
      <c r="J45" t="str" cm="1">
        <f t="array" ref="J45">_xlfn.IFS(Call_Center[[#This Row],[Duration]]&lt;=10,"Under 10 mins",Call_Center[[#This Row],[Duration]]&lt;=30,"10 to 30 min",Call_Center[[#This Row],[Duration]]&lt;=60,"30 to 60 min",Call_Center[[#This Row],[Duration]]&lt;=120,"1 to 2 hours",TRUE,"More than 2 hours")</f>
        <v>More than 2 hours</v>
      </c>
      <c r="K45">
        <f>ROUND(Call_Center[[#This Row],[Satisfaction Rating]],0)</f>
        <v>4</v>
      </c>
    </row>
    <row r="46" spans="1:11" x14ac:dyDescent="0.35">
      <c r="A46" s="21" t="s">
        <v>1028</v>
      </c>
      <c r="B46" s="18" t="s">
        <v>1018</v>
      </c>
      <c r="C46" s="18">
        <v>105</v>
      </c>
      <c r="D46" s="19" t="s">
        <v>977</v>
      </c>
      <c r="E46" s="20">
        <v>44944</v>
      </c>
      <c r="F46" s="18">
        <v>56</v>
      </c>
      <c r="G46" s="22">
        <v>3.6</v>
      </c>
      <c r="H46">
        <f>IF(MONTH(Call_Center[[#This Row],[Date of Call]])&lt;=6,2023,2024)</f>
        <v>2023</v>
      </c>
      <c r="I46" t="str">
        <f>TEXT(Call_Center[[#This Row],[Date of Call]],"DDDD")</f>
        <v>Wednesday</v>
      </c>
      <c r="J46" t="str" cm="1">
        <f t="array" ref="J46">_xlfn.IFS(Call_Center[[#This Row],[Duration]]&lt;=10,"Under 10 mins",Call_Center[[#This Row],[Duration]]&lt;=30,"10 to 30 min",Call_Center[[#This Row],[Duration]]&lt;=60,"30 to 60 min",Call_Center[[#This Row],[Duration]]&lt;=120,"1 to 2 hours",TRUE,"More than 2 hours")</f>
        <v>1 to 2 hours</v>
      </c>
      <c r="K46">
        <f>ROUND(Call_Center[[#This Row],[Satisfaction Rating]],0)</f>
        <v>4</v>
      </c>
    </row>
    <row r="47" spans="1:11" x14ac:dyDescent="0.35">
      <c r="A47" s="21" t="s">
        <v>1029</v>
      </c>
      <c r="B47" s="18" t="s">
        <v>976</v>
      </c>
      <c r="C47" s="18">
        <v>13</v>
      </c>
      <c r="D47" s="19" t="s">
        <v>986</v>
      </c>
      <c r="E47" s="20">
        <v>44945</v>
      </c>
      <c r="F47" s="18">
        <v>32</v>
      </c>
      <c r="G47" s="22">
        <v>4.4000000000000004</v>
      </c>
      <c r="H47">
        <f>IF(MONTH(Call_Center[[#This Row],[Date of Call]])&lt;=6,2023,2024)</f>
        <v>2023</v>
      </c>
      <c r="I47" t="str">
        <f>TEXT(Call_Center[[#This Row],[Date of Call]],"DDDD")</f>
        <v>Thursday</v>
      </c>
      <c r="J47" t="str" cm="1">
        <f t="array" ref="J47">_xlfn.IFS(Call_Center[[#This Row],[Duration]]&lt;=10,"Under 10 mins",Call_Center[[#This Row],[Duration]]&lt;=30,"10 to 30 min",Call_Center[[#This Row],[Duration]]&lt;=60,"30 to 60 min",Call_Center[[#This Row],[Duration]]&lt;=120,"1 to 2 hours",TRUE,"More than 2 hours")</f>
        <v>10 to 30 min</v>
      </c>
      <c r="K47">
        <f>ROUND(Call_Center[[#This Row],[Satisfaction Rating]],0)</f>
        <v>4</v>
      </c>
    </row>
    <row r="48" spans="1:11" x14ac:dyDescent="0.35">
      <c r="A48" s="21" t="s">
        <v>1030</v>
      </c>
      <c r="B48" s="18" t="s">
        <v>974</v>
      </c>
      <c r="C48" s="18">
        <v>131</v>
      </c>
      <c r="D48" s="19" t="s">
        <v>977</v>
      </c>
      <c r="E48" s="20">
        <v>44945</v>
      </c>
      <c r="F48" s="18">
        <v>78</v>
      </c>
      <c r="G48" s="22">
        <v>4.4000000000000004</v>
      </c>
      <c r="H48">
        <f>IF(MONTH(Call_Center[[#This Row],[Date of Call]])&lt;=6,2023,2024)</f>
        <v>2023</v>
      </c>
      <c r="I48" t="str">
        <f>TEXT(Call_Center[[#This Row],[Date of Call]],"DDDD")</f>
        <v>Thursday</v>
      </c>
      <c r="J48" t="str" cm="1">
        <f t="array" ref="J48">_xlfn.IFS(Call_Center[[#This Row],[Duration]]&lt;=10,"Under 10 mins",Call_Center[[#This Row],[Duration]]&lt;=30,"10 to 30 min",Call_Center[[#This Row],[Duration]]&lt;=60,"30 to 60 min",Call_Center[[#This Row],[Duration]]&lt;=120,"1 to 2 hours",TRUE,"More than 2 hours")</f>
        <v>More than 2 hours</v>
      </c>
      <c r="K48">
        <f>ROUND(Call_Center[[#This Row],[Satisfaction Rating]],0)</f>
        <v>4</v>
      </c>
    </row>
    <row r="49" spans="1:11" x14ac:dyDescent="0.35">
      <c r="A49" s="21" t="s">
        <v>1031</v>
      </c>
      <c r="B49" s="18" t="s">
        <v>969</v>
      </c>
      <c r="C49" s="18">
        <v>104</v>
      </c>
      <c r="D49" s="19" t="s">
        <v>967</v>
      </c>
      <c r="E49" s="20">
        <v>44945</v>
      </c>
      <c r="F49" s="18">
        <v>86</v>
      </c>
      <c r="G49" s="22">
        <v>4</v>
      </c>
      <c r="H49">
        <f>IF(MONTH(Call_Center[[#This Row],[Date of Call]])&lt;=6,2023,2024)</f>
        <v>2023</v>
      </c>
      <c r="I49" t="str">
        <f>TEXT(Call_Center[[#This Row],[Date of Call]],"DDDD")</f>
        <v>Thursday</v>
      </c>
      <c r="J49" t="str" cm="1">
        <f t="array" ref="J49">_xlfn.IFS(Call_Center[[#This Row],[Duration]]&lt;=10,"Under 10 mins",Call_Center[[#This Row],[Duration]]&lt;=30,"10 to 30 min",Call_Center[[#This Row],[Duration]]&lt;=60,"30 to 60 min",Call_Center[[#This Row],[Duration]]&lt;=120,"1 to 2 hours",TRUE,"More than 2 hours")</f>
        <v>1 to 2 hours</v>
      </c>
      <c r="K49">
        <f>ROUND(Call_Center[[#This Row],[Satisfaction Rating]],0)</f>
        <v>4</v>
      </c>
    </row>
    <row r="50" spans="1:11" x14ac:dyDescent="0.35">
      <c r="A50" s="21" t="s">
        <v>1032</v>
      </c>
      <c r="B50" s="18" t="s">
        <v>966</v>
      </c>
      <c r="C50" s="18">
        <v>90</v>
      </c>
      <c r="D50" s="19" t="s">
        <v>972</v>
      </c>
      <c r="E50" s="20">
        <v>44946</v>
      </c>
      <c r="F50" s="18">
        <v>64</v>
      </c>
      <c r="G50" s="22">
        <v>3.8</v>
      </c>
      <c r="H50">
        <f>IF(MONTH(Call_Center[[#This Row],[Date of Call]])&lt;=6,2023,2024)</f>
        <v>2023</v>
      </c>
      <c r="I50" t="str">
        <f>TEXT(Call_Center[[#This Row],[Date of Call]],"DDDD")</f>
        <v>Friday</v>
      </c>
      <c r="J50" t="str" cm="1">
        <f t="array" ref="J50">_xlfn.IFS(Call_Center[[#This Row],[Duration]]&lt;=10,"Under 10 mins",Call_Center[[#This Row],[Duration]]&lt;=30,"10 to 30 min",Call_Center[[#This Row],[Duration]]&lt;=60,"30 to 60 min",Call_Center[[#This Row],[Duration]]&lt;=120,"1 to 2 hours",TRUE,"More than 2 hours")</f>
        <v>1 to 2 hours</v>
      </c>
      <c r="K50">
        <f>ROUND(Call_Center[[#This Row],[Satisfaction Rating]],0)</f>
        <v>4</v>
      </c>
    </row>
    <row r="51" spans="1:11" x14ac:dyDescent="0.35">
      <c r="A51" s="21" t="s">
        <v>1033</v>
      </c>
      <c r="B51" s="18" t="s">
        <v>1008</v>
      </c>
      <c r="C51" s="18">
        <v>37</v>
      </c>
      <c r="D51" s="19" t="s">
        <v>972</v>
      </c>
      <c r="E51" s="20">
        <v>44946</v>
      </c>
      <c r="F51" s="18">
        <v>96</v>
      </c>
      <c r="G51" s="22">
        <v>3.6</v>
      </c>
      <c r="H51">
        <f>IF(MONTH(Call_Center[[#This Row],[Date of Call]])&lt;=6,2023,2024)</f>
        <v>2023</v>
      </c>
      <c r="I51" t="str">
        <f>TEXT(Call_Center[[#This Row],[Date of Call]],"DDDD")</f>
        <v>Friday</v>
      </c>
      <c r="J51" t="str" cm="1">
        <f t="array" ref="J51">_xlfn.IFS(Call_Center[[#This Row],[Duration]]&lt;=10,"Under 10 mins",Call_Center[[#This Row],[Duration]]&lt;=30,"10 to 30 min",Call_Center[[#This Row],[Duration]]&lt;=60,"30 to 60 min",Call_Center[[#This Row],[Duration]]&lt;=120,"1 to 2 hours",TRUE,"More than 2 hours")</f>
        <v>30 to 60 min</v>
      </c>
      <c r="K51">
        <f>ROUND(Call_Center[[#This Row],[Satisfaction Rating]],0)</f>
        <v>4</v>
      </c>
    </row>
    <row r="52" spans="1:11" x14ac:dyDescent="0.35">
      <c r="A52" s="21" t="s">
        <v>1034</v>
      </c>
      <c r="B52" s="18" t="s">
        <v>991</v>
      </c>
      <c r="C52" s="18">
        <v>149</v>
      </c>
      <c r="D52" s="19" t="s">
        <v>977</v>
      </c>
      <c r="E52" s="20">
        <v>44946</v>
      </c>
      <c r="F52" s="18">
        <v>72</v>
      </c>
      <c r="G52" s="22">
        <v>4.3</v>
      </c>
      <c r="H52">
        <f>IF(MONTH(Call_Center[[#This Row],[Date of Call]])&lt;=6,2023,2024)</f>
        <v>2023</v>
      </c>
      <c r="I52" t="str">
        <f>TEXT(Call_Center[[#This Row],[Date of Call]],"DDDD")</f>
        <v>Friday</v>
      </c>
      <c r="J52" t="str" cm="1">
        <f t="array" ref="J52">_xlfn.IFS(Call_Center[[#This Row],[Duration]]&lt;=10,"Under 10 mins",Call_Center[[#This Row],[Duration]]&lt;=30,"10 to 30 min",Call_Center[[#This Row],[Duration]]&lt;=60,"30 to 60 min",Call_Center[[#This Row],[Duration]]&lt;=120,"1 to 2 hours",TRUE,"More than 2 hours")</f>
        <v>More than 2 hours</v>
      </c>
      <c r="K52">
        <f>ROUND(Call_Center[[#This Row],[Satisfaction Rating]],0)</f>
        <v>4</v>
      </c>
    </row>
    <row r="53" spans="1:11" x14ac:dyDescent="0.35">
      <c r="A53" s="21" t="s">
        <v>1035</v>
      </c>
      <c r="B53" s="18" t="s">
        <v>989</v>
      </c>
      <c r="C53" s="18">
        <v>100</v>
      </c>
      <c r="D53" s="19" t="s">
        <v>982</v>
      </c>
      <c r="E53" s="20">
        <v>44947</v>
      </c>
      <c r="F53" s="18">
        <v>135</v>
      </c>
      <c r="G53" s="22">
        <v>3.8</v>
      </c>
      <c r="H53">
        <f>IF(MONTH(Call_Center[[#This Row],[Date of Call]])&lt;=6,2023,2024)</f>
        <v>2023</v>
      </c>
      <c r="I53" t="str">
        <f>TEXT(Call_Center[[#This Row],[Date of Call]],"DDDD")</f>
        <v>Saturday</v>
      </c>
      <c r="J53" t="str" cm="1">
        <f t="array" ref="J53">_xlfn.IFS(Call_Center[[#This Row],[Duration]]&lt;=10,"Under 10 mins",Call_Center[[#This Row],[Duration]]&lt;=30,"10 to 30 min",Call_Center[[#This Row],[Duration]]&lt;=60,"30 to 60 min",Call_Center[[#This Row],[Duration]]&lt;=120,"1 to 2 hours",TRUE,"More than 2 hours")</f>
        <v>1 to 2 hours</v>
      </c>
      <c r="K53">
        <f>ROUND(Call_Center[[#This Row],[Satisfaction Rating]],0)</f>
        <v>4</v>
      </c>
    </row>
    <row r="54" spans="1:11" x14ac:dyDescent="0.35">
      <c r="A54" s="21" t="s">
        <v>1036</v>
      </c>
      <c r="B54" s="18" t="s">
        <v>989</v>
      </c>
      <c r="C54" s="18">
        <v>79</v>
      </c>
      <c r="D54" s="19" t="s">
        <v>986</v>
      </c>
      <c r="E54" s="20">
        <v>44947</v>
      </c>
      <c r="F54" s="18">
        <v>140</v>
      </c>
      <c r="G54" s="22">
        <v>4.5</v>
      </c>
      <c r="H54">
        <f>IF(MONTH(Call_Center[[#This Row],[Date of Call]])&lt;=6,2023,2024)</f>
        <v>2023</v>
      </c>
      <c r="I54" t="str">
        <f>TEXT(Call_Center[[#This Row],[Date of Call]],"DDDD")</f>
        <v>Saturday</v>
      </c>
      <c r="J54" t="str" cm="1">
        <f t="array" ref="J54">_xlfn.IFS(Call_Center[[#This Row],[Duration]]&lt;=10,"Under 10 mins",Call_Center[[#This Row],[Duration]]&lt;=30,"10 to 30 min",Call_Center[[#This Row],[Duration]]&lt;=60,"30 to 60 min",Call_Center[[#This Row],[Duration]]&lt;=120,"1 to 2 hours",TRUE,"More than 2 hours")</f>
        <v>1 to 2 hours</v>
      </c>
      <c r="K54">
        <f>ROUND(Call_Center[[#This Row],[Satisfaction Rating]],0)</f>
        <v>5</v>
      </c>
    </row>
    <row r="55" spans="1:11" x14ac:dyDescent="0.35">
      <c r="A55" s="21" t="s">
        <v>1037</v>
      </c>
      <c r="B55" s="18" t="s">
        <v>1038</v>
      </c>
      <c r="C55" s="18">
        <v>157</v>
      </c>
      <c r="D55" s="19" t="s">
        <v>977</v>
      </c>
      <c r="E55" s="20">
        <v>44947</v>
      </c>
      <c r="F55" s="18">
        <v>69</v>
      </c>
      <c r="G55" s="22">
        <v>4.5</v>
      </c>
      <c r="H55">
        <f>IF(MONTH(Call_Center[[#This Row],[Date of Call]])&lt;=6,2023,2024)</f>
        <v>2023</v>
      </c>
      <c r="I55" t="str">
        <f>TEXT(Call_Center[[#This Row],[Date of Call]],"DDDD")</f>
        <v>Saturday</v>
      </c>
      <c r="J55" t="str" cm="1">
        <f t="array" ref="J55">_xlfn.IFS(Call_Center[[#This Row],[Duration]]&lt;=10,"Under 10 mins",Call_Center[[#This Row],[Duration]]&lt;=30,"10 to 30 min",Call_Center[[#This Row],[Duration]]&lt;=60,"30 to 60 min",Call_Center[[#This Row],[Duration]]&lt;=120,"1 to 2 hours",TRUE,"More than 2 hours")</f>
        <v>More than 2 hours</v>
      </c>
      <c r="K55">
        <f>ROUND(Call_Center[[#This Row],[Satisfaction Rating]],0)</f>
        <v>5</v>
      </c>
    </row>
    <row r="56" spans="1:11" x14ac:dyDescent="0.35">
      <c r="A56" s="21" t="s">
        <v>1039</v>
      </c>
      <c r="B56" s="18" t="s">
        <v>989</v>
      </c>
      <c r="C56" s="18">
        <v>59</v>
      </c>
      <c r="D56" s="19" t="s">
        <v>967</v>
      </c>
      <c r="E56" s="20">
        <v>44948</v>
      </c>
      <c r="F56" s="18">
        <v>136</v>
      </c>
      <c r="G56" s="22">
        <v>4.5999999999999996</v>
      </c>
      <c r="H56">
        <f>IF(MONTH(Call_Center[[#This Row],[Date of Call]])&lt;=6,2023,2024)</f>
        <v>2023</v>
      </c>
      <c r="I56" t="str">
        <f>TEXT(Call_Center[[#This Row],[Date of Call]],"DDDD")</f>
        <v>Sunday</v>
      </c>
      <c r="J56" t="str" cm="1">
        <f t="array" ref="J56">_xlfn.IFS(Call_Center[[#This Row],[Duration]]&lt;=10,"Under 10 mins",Call_Center[[#This Row],[Duration]]&lt;=30,"10 to 30 min",Call_Center[[#This Row],[Duration]]&lt;=60,"30 to 60 min",Call_Center[[#This Row],[Duration]]&lt;=120,"1 to 2 hours",TRUE,"More than 2 hours")</f>
        <v>30 to 60 min</v>
      </c>
      <c r="K56">
        <f>ROUND(Call_Center[[#This Row],[Satisfaction Rating]],0)</f>
        <v>5</v>
      </c>
    </row>
    <row r="57" spans="1:11" x14ac:dyDescent="0.35">
      <c r="A57" s="21" t="s">
        <v>1040</v>
      </c>
      <c r="B57" s="18" t="s">
        <v>1008</v>
      </c>
      <c r="C57" s="18">
        <v>83</v>
      </c>
      <c r="D57" s="19" t="s">
        <v>977</v>
      </c>
      <c r="E57" s="20">
        <v>44948</v>
      </c>
      <c r="F57" s="18">
        <v>28</v>
      </c>
      <c r="G57" s="22">
        <v>4.5</v>
      </c>
      <c r="H57">
        <f>IF(MONTH(Call_Center[[#This Row],[Date of Call]])&lt;=6,2023,2024)</f>
        <v>2023</v>
      </c>
      <c r="I57" t="str">
        <f>TEXT(Call_Center[[#This Row],[Date of Call]],"DDDD")</f>
        <v>Sunday</v>
      </c>
      <c r="J57" t="str" cm="1">
        <f t="array" ref="J57">_xlfn.IFS(Call_Center[[#This Row],[Duration]]&lt;=10,"Under 10 mins",Call_Center[[#This Row],[Duration]]&lt;=30,"10 to 30 min",Call_Center[[#This Row],[Duration]]&lt;=60,"30 to 60 min",Call_Center[[#This Row],[Duration]]&lt;=120,"1 to 2 hours",TRUE,"More than 2 hours")</f>
        <v>1 to 2 hours</v>
      </c>
      <c r="K57">
        <f>ROUND(Call_Center[[#This Row],[Satisfaction Rating]],0)</f>
        <v>5</v>
      </c>
    </row>
    <row r="58" spans="1:11" x14ac:dyDescent="0.35">
      <c r="A58" s="21" t="s">
        <v>1041</v>
      </c>
      <c r="B58" s="18" t="s">
        <v>1038</v>
      </c>
      <c r="C58" s="18">
        <v>58</v>
      </c>
      <c r="D58" s="19" t="s">
        <v>972</v>
      </c>
      <c r="E58" s="20">
        <v>44949</v>
      </c>
      <c r="F58" s="18">
        <v>135</v>
      </c>
      <c r="G58" s="22">
        <v>3.3</v>
      </c>
      <c r="H58">
        <f>IF(MONTH(Call_Center[[#This Row],[Date of Call]])&lt;=6,2023,2024)</f>
        <v>2023</v>
      </c>
      <c r="I58" t="str">
        <f>TEXT(Call_Center[[#This Row],[Date of Call]],"DDDD")</f>
        <v>Monday</v>
      </c>
      <c r="J58" t="str" cm="1">
        <f t="array" ref="J58">_xlfn.IFS(Call_Center[[#This Row],[Duration]]&lt;=10,"Under 10 mins",Call_Center[[#This Row],[Duration]]&lt;=30,"10 to 30 min",Call_Center[[#This Row],[Duration]]&lt;=60,"30 to 60 min",Call_Center[[#This Row],[Duration]]&lt;=120,"1 to 2 hours",TRUE,"More than 2 hours")</f>
        <v>30 to 60 min</v>
      </c>
      <c r="K58">
        <f>ROUND(Call_Center[[#This Row],[Satisfaction Rating]],0)</f>
        <v>3</v>
      </c>
    </row>
    <row r="59" spans="1:11" x14ac:dyDescent="0.35">
      <c r="A59" s="21" t="s">
        <v>1042</v>
      </c>
      <c r="B59" s="18" t="s">
        <v>1005</v>
      </c>
      <c r="C59" s="18">
        <v>118</v>
      </c>
      <c r="D59" s="19" t="s">
        <v>972</v>
      </c>
      <c r="E59" s="20">
        <v>44949</v>
      </c>
      <c r="F59" s="18">
        <v>126</v>
      </c>
      <c r="G59" s="22">
        <v>2.2999999999999998</v>
      </c>
      <c r="H59">
        <f>IF(MONTH(Call_Center[[#This Row],[Date of Call]])&lt;=6,2023,2024)</f>
        <v>2023</v>
      </c>
      <c r="I59" t="str">
        <f>TEXT(Call_Center[[#This Row],[Date of Call]],"DDDD")</f>
        <v>Monday</v>
      </c>
      <c r="J59" t="str" cm="1">
        <f t="array" ref="J59">_xlfn.IFS(Call_Center[[#This Row],[Duration]]&lt;=10,"Under 10 mins",Call_Center[[#This Row],[Duration]]&lt;=30,"10 to 30 min",Call_Center[[#This Row],[Duration]]&lt;=60,"30 to 60 min",Call_Center[[#This Row],[Duration]]&lt;=120,"1 to 2 hours",TRUE,"More than 2 hours")</f>
        <v>1 to 2 hours</v>
      </c>
      <c r="K59">
        <f>ROUND(Call_Center[[#This Row],[Satisfaction Rating]],0)</f>
        <v>2</v>
      </c>
    </row>
    <row r="60" spans="1:11" x14ac:dyDescent="0.35">
      <c r="A60" s="21" t="s">
        <v>1043</v>
      </c>
      <c r="B60" s="18" t="s">
        <v>976</v>
      </c>
      <c r="C60" s="18">
        <v>63</v>
      </c>
      <c r="D60" s="19" t="s">
        <v>967</v>
      </c>
      <c r="E60" s="20">
        <v>44949</v>
      </c>
      <c r="F60" s="18">
        <v>160</v>
      </c>
      <c r="G60" s="22">
        <v>4.3</v>
      </c>
      <c r="H60">
        <f>IF(MONTH(Call_Center[[#This Row],[Date of Call]])&lt;=6,2023,2024)</f>
        <v>2023</v>
      </c>
      <c r="I60" t="str">
        <f>TEXT(Call_Center[[#This Row],[Date of Call]],"DDDD")</f>
        <v>Monday</v>
      </c>
      <c r="J60" t="str" cm="1">
        <f t="array" ref="J60">_xlfn.IFS(Call_Center[[#This Row],[Duration]]&lt;=10,"Under 10 mins",Call_Center[[#This Row],[Duration]]&lt;=30,"10 to 30 min",Call_Center[[#This Row],[Duration]]&lt;=60,"30 to 60 min",Call_Center[[#This Row],[Duration]]&lt;=120,"1 to 2 hours",TRUE,"More than 2 hours")</f>
        <v>1 to 2 hours</v>
      </c>
      <c r="K60">
        <f>ROUND(Call_Center[[#This Row],[Satisfaction Rating]],0)</f>
        <v>4</v>
      </c>
    </row>
    <row r="61" spans="1:11" x14ac:dyDescent="0.35">
      <c r="A61" s="21" t="s">
        <v>1044</v>
      </c>
      <c r="B61" s="18" t="s">
        <v>1038</v>
      </c>
      <c r="C61" s="18">
        <v>95</v>
      </c>
      <c r="D61" s="19" t="s">
        <v>972</v>
      </c>
      <c r="E61" s="20">
        <v>44950</v>
      </c>
      <c r="F61" s="18">
        <v>48</v>
      </c>
      <c r="G61" s="22">
        <v>4.5999999999999996</v>
      </c>
      <c r="H61">
        <f>IF(MONTH(Call_Center[[#This Row],[Date of Call]])&lt;=6,2023,2024)</f>
        <v>2023</v>
      </c>
      <c r="I61" t="str">
        <f>TEXT(Call_Center[[#This Row],[Date of Call]],"DDDD")</f>
        <v>Tuesday</v>
      </c>
      <c r="J61" t="str" cm="1">
        <f t="array" ref="J61">_xlfn.IFS(Call_Center[[#This Row],[Duration]]&lt;=10,"Under 10 mins",Call_Center[[#This Row],[Duration]]&lt;=30,"10 to 30 min",Call_Center[[#This Row],[Duration]]&lt;=60,"30 to 60 min",Call_Center[[#This Row],[Duration]]&lt;=120,"1 to 2 hours",TRUE,"More than 2 hours")</f>
        <v>1 to 2 hours</v>
      </c>
      <c r="K61">
        <f>ROUND(Call_Center[[#This Row],[Satisfaction Rating]],0)</f>
        <v>5</v>
      </c>
    </row>
    <row r="62" spans="1:11" x14ac:dyDescent="0.35">
      <c r="A62" s="21" t="s">
        <v>1045</v>
      </c>
      <c r="B62" s="18" t="s">
        <v>989</v>
      </c>
      <c r="C62" s="18">
        <v>74</v>
      </c>
      <c r="D62" s="19" t="s">
        <v>977</v>
      </c>
      <c r="E62" s="20">
        <v>44950</v>
      </c>
      <c r="F62" s="18">
        <v>66</v>
      </c>
      <c r="G62" s="22">
        <v>4</v>
      </c>
      <c r="H62">
        <f>IF(MONTH(Call_Center[[#This Row],[Date of Call]])&lt;=6,2023,2024)</f>
        <v>2023</v>
      </c>
      <c r="I62" t="str">
        <f>TEXT(Call_Center[[#This Row],[Date of Call]],"DDDD")</f>
        <v>Tuesday</v>
      </c>
      <c r="J62" t="str" cm="1">
        <f t="array" ref="J62">_xlfn.IFS(Call_Center[[#This Row],[Duration]]&lt;=10,"Under 10 mins",Call_Center[[#This Row],[Duration]]&lt;=30,"10 to 30 min",Call_Center[[#This Row],[Duration]]&lt;=60,"30 to 60 min",Call_Center[[#This Row],[Duration]]&lt;=120,"1 to 2 hours",TRUE,"More than 2 hours")</f>
        <v>1 to 2 hours</v>
      </c>
      <c r="K62">
        <f>ROUND(Call_Center[[#This Row],[Satisfaction Rating]],0)</f>
        <v>4</v>
      </c>
    </row>
    <row r="63" spans="1:11" x14ac:dyDescent="0.35">
      <c r="A63" s="21" t="s">
        <v>1046</v>
      </c>
      <c r="B63" s="18" t="s">
        <v>985</v>
      </c>
      <c r="C63" s="18">
        <v>130</v>
      </c>
      <c r="D63" s="19" t="s">
        <v>982</v>
      </c>
      <c r="E63" s="20">
        <v>44950</v>
      </c>
      <c r="F63" s="18">
        <v>126</v>
      </c>
      <c r="G63" s="22">
        <v>2.5</v>
      </c>
      <c r="H63">
        <f>IF(MONTH(Call_Center[[#This Row],[Date of Call]])&lt;=6,2023,2024)</f>
        <v>2023</v>
      </c>
      <c r="I63" t="str">
        <f>TEXT(Call_Center[[#This Row],[Date of Call]],"DDDD")</f>
        <v>Tuesday</v>
      </c>
      <c r="J63" t="str" cm="1">
        <f t="array" ref="J63">_xlfn.IFS(Call_Center[[#This Row],[Duration]]&lt;=10,"Under 10 mins",Call_Center[[#This Row],[Duration]]&lt;=30,"10 to 30 min",Call_Center[[#This Row],[Duration]]&lt;=60,"30 to 60 min",Call_Center[[#This Row],[Duration]]&lt;=120,"1 to 2 hours",TRUE,"More than 2 hours")</f>
        <v>More than 2 hours</v>
      </c>
      <c r="K63">
        <f>ROUND(Call_Center[[#This Row],[Satisfaction Rating]],0)</f>
        <v>3</v>
      </c>
    </row>
    <row r="64" spans="1:11" x14ac:dyDescent="0.35">
      <c r="A64" s="21" t="s">
        <v>1047</v>
      </c>
      <c r="B64" s="18" t="s">
        <v>1005</v>
      </c>
      <c r="C64" s="18">
        <v>110</v>
      </c>
      <c r="D64" s="19" t="s">
        <v>986</v>
      </c>
      <c r="E64" s="20">
        <v>44950</v>
      </c>
      <c r="F64" s="18">
        <v>96</v>
      </c>
      <c r="G64" s="22">
        <v>5</v>
      </c>
      <c r="H64">
        <f>IF(MONTH(Call_Center[[#This Row],[Date of Call]])&lt;=6,2023,2024)</f>
        <v>2023</v>
      </c>
      <c r="I64" t="str">
        <f>TEXT(Call_Center[[#This Row],[Date of Call]],"DDDD")</f>
        <v>Tuesday</v>
      </c>
      <c r="J64" t="str" cm="1">
        <f t="array" ref="J64">_xlfn.IFS(Call_Center[[#This Row],[Duration]]&lt;=10,"Under 10 mins",Call_Center[[#This Row],[Duration]]&lt;=30,"10 to 30 min",Call_Center[[#This Row],[Duration]]&lt;=60,"30 to 60 min",Call_Center[[#This Row],[Duration]]&lt;=120,"1 to 2 hours",TRUE,"More than 2 hours")</f>
        <v>1 to 2 hours</v>
      </c>
      <c r="K64">
        <f>ROUND(Call_Center[[#This Row],[Satisfaction Rating]],0)</f>
        <v>5</v>
      </c>
    </row>
    <row r="65" spans="1:11" x14ac:dyDescent="0.35">
      <c r="A65" s="21" t="s">
        <v>1048</v>
      </c>
      <c r="B65" s="18" t="s">
        <v>989</v>
      </c>
      <c r="C65" s="18">
        <v>71</v>
      </c>
      <c r="D65" s="19" t="s">
        <v>967</v>
      </c>
      <c r="E65" s="20">
        <v>44951</v>
      </c>
      <c r="F65" s="18">
        <v>90</v>
      </c>
      <c r="G65" s="22">
        <v>3.8</v>
      </c>
      <c r="H65">
        <f>IF(MONTH(Call_Center[[#This Row],[Date of Call]])&lt;=6,2023,2024)</f>
        <v>2023</v>
      </c>
      <c r="I65" t="str">
        <f>TEXT(Call_Center[[#This Row],[Date of Call]],"DDDD")</f>
        <v>Wednesday</v>
      </c>
      <c r="J65" t="str" cm="1">
        <f t="array" ref="J65">_xlfn.IFS(Call_Center[[#This Row],[Duration]]&lt;=10,"Under 10 mins",Call_Center[[#This Row],[Duration]]&lt;=30,"10 to 30 min",Call_Center[[#This Row],[Duration]]&lt;=60,"30 to 60 min",Call_Center[[#This Row],[Duration]]&lt;=120,"1 to 2 hours",TRUE,"More than 2 hours")</f>
        <v>1 to 2 hours</v>
      </c>
      <c r="K65">
        <f>ROUND(Call_Center[[#This Row],[Satisfaction Rating]],0)</f>
        <v>4</v>
      </c>
    </row>
    <row r="66" spans="1:11" x14ac:dyDescent="0.35">
      <c r="A66" s="21" t="s">
        <v>1049</v>
      </c>
      <c r="B66" s="18" t="s">
        <v>1018</v>
      </c>
      <c r="C66" s="18">
        <v>147</v>
      </c>
      <c r="D66" s="19" t="s">
        <v>982</v>
      </c>
      <c r="E66" s="20">
        <v>44951</v>
      </c>
      <c r="F66" s="18">
        <v>105</v>
      </c>
      <c r="G66" s="22">
        <v>4.4000000000000004</v>
      </c>
      <c r="H66">
        <f>IF(MONTH(Call_Center[[#This Row],[Date of Call]])&lt;=6,2023,2024)</f>
        <v>2023</v>
      </c>
      <c r="I66" t="str">
        <f>TEXT(Call_Center[[#This Row],[Date of Call]],"DDDD")</f>
        <v>Wednesday</v>
      </c>
      <c r="J66" t="str" cm="1">
        <f t="array" ref="J66">_xlfn.IFS(Call_Center[[#This Row],[Duration]]&lt;=10,"Under 10 mins",Call_Center[[#This Row],[Duration]]&lt;=30,"10 to 30 min",Call_Center[[#This Row],[Duration]]&lt;=60,"30 to 60 min",Call_Center[[#This Row],[Duration]]&lt;=120,"1 to 2 hours",TRUE,"More than 2 hours")</f>
        <v>More than 2 hours</v>
      </c>
      <c r="K66">
        <f>ROUND(Call_Center[[#This Row],[Satisfaction Rating]],0)</f>
        <v>4</v>
      </c>
    </row>
    <row r="67" spans="1:11" x14ac:dyDescent="0.35">
      <c r="A67" s="21" t="s">
        <v>1050</v>
      </c>
      <c r="B67" s="18" t="s">
        <v>969</v>
      </c>
      <c r="C67" s="18">
        <v>69</v>
      </c>
      <c r="D67" s="19" t="s">
        <v>972</v>
      </c>
      <c r="E67" s="20">
        <v>44952</v>
      </c>
      <c r="F67" s="18">
        <v>40</v>
      </c>
      <c r="G67" s="22">
        <v>3.8</v>
      </c>
      <c r="H67">
        <f>IF(MONTH(Call_Center[[#This Row],[Date of Call]])&lt;=6,2023,2024)</f>
        <v>2023</v>
      </c>
      <c r="I67" t="str">
        <f>TEXT(Call_Center[[#This Row],[Date of Call]],"DDDD")</f>
        <v>Thursday</v>
      </c>
      <c r="J67" t="str" cm="1">
        <f t="array" ref="J67">_xlfn.IFS(Call_Center[[#This Row],[Duration]]&lt;=10,"Under 10 mins",Call_Center[[#This Row],[Duration]]&lt;=30,"10 to 30 min",Call_Center[[#This Row],[Duration]]&lt;=60,"30 to 60 min",Call_Center[[#This Row],[Duration]]&lt;=120,"1 to 2 hours",TRUE,"More than 2 hours")</f>
        <v>1 to 2 hours</v>
      </c>
      <c r="K67">
        <f>ROUND(Call_Center[[#This Row],[Satisfaction Rating]],0)</f>
        <v>4</v>
      </c>
    </row>
    <row r="68" spans="1:11" x14ac:dyDescent="0.35">
      <c r="A68" s="21" t="s">
        <v>1051</v>
      </c>
      <c r="B68" s="18" t="s">
        <v>1005</v>
      </c>
      <c r="C68" s="18">
        <v>50</v>
      </c>
      <c r="D68" s="19" t="s">
        <v>967</v>
      </c>
      <c r="E68" s="20">
        <v>44952</v>
      </c>
      <c r="F68" s="18">
        <v>60</v>
      </c>
      <c r="G68" s="22">
        <v>2</v>
      </c>
      <c r="H68">
        <f>IF(MONTH(Call_Center[[#This Row],[Date of Call]])&lt;=6,2023,2024)</f>
        <v>2023</v>
      </c>
      <c r="I68" t="str">
        <f>TEXT(Call_Center[[#This Row],[Date of Call]],"DDDD")</f>
        <v>Thursday</v>
      </c>
      <c r="J68" t="str" cm="1">
        <f t="array" ref="J68">_xlfn.IFS(Call_Center[[#This Row],[Duration]]&lt;=10,"Under 10 mins",Call_Center[[#This Row],[Duration]]&lt;=30,"10 to 30 min",Call_Center[[#This Row],[Duration]]&lt;=60,"30 to 60 min",Call_Center[[#This Row],[Duration]]&lt;=120,"1 to 2 hours",TRUE,"More than 2 hours")</f>
        <v>30 to 60 min</v>
      </c>
      <c r="K68">
        <f>ROUND(Call_Center[[#This Row],[Satisfaction Rating]],0)</f>
        <v>2</v>
      </c>
    </row>
    <row r="69" spans="1:11" x14ac:dyDescent="0.35">
      <c r="A69" s="21" t="s">
        <v>1052</v>
      </c>
      <c r="B69" s="18" t="s">
        <v>985</v>
      </c>
      <c r="C69" s="18">
        <v>124</v>
      </c>
      <c r="D69" s="19" t="s">
        <v>982</v>
      </c>
      <c r="E69" s="20">
        <v>44953</v>
      </c>
      <c r="F69" s="18">
        <v>215</v>
      </c>
      <c r="G69" s="22">
        <v>4.0999999999999996</v>
      </c>
      <c r="H69">
        <f>IF(MONTH(Call_Center[[#This Row],[Date of Call]])&lt;=6,2023,2024)</f>
        <v>2023</v>
      </c>
      <c r="I69" t="str">
        <f>TEXT(Call_Center[[#This Row],[Date of Call]],"DDDD")</f>
        <v>Friday</v>
      </c>
      <c r="J69" t="str" cm="1">
        <f t="array" ref="J69">_xlfn.IFS(Call_Center[[#This Row],[Duration]]&lt;=10,"Under 10 mins",Call_Center[[#This Row],[Duration]]&lt;=30,"10 to 30 min",Call_Center[[#This Row],[Duration]]&lt;=60,"30 to 60 min",Call_Center[[#This Row],[Duration]]&lt;=120,"1 to 2 hours",TRUE,"More than 2 hours")</f>
        <v>More than 2 hours</v>
      </c>
      <c r="K69">
        <f>ROUND(Call_Center[[#This Row],[Satisfaction Rating]],0)</f>
        <v>4</v>
      </c>
    </row>
    <row r="70" spans="1:11" x14ac:dyDescent="0.35">
      <c r="A70" s="21" t="s">
        <v>1053</v>
      </c>
      <c r="B70" s="18" t="s">
        <v>971</v>
      </c>
      <c r="C70" s="18">
        <v>81</v>
      </c>
      <c r="D70" s="19" t="s">
        <v>977</v>
      </c>
      <c r="E70" s="20">
        <v>44953</v>
      </c>
      <c r="F70" s="18">
        <v>156</v>
      </c>
      <c r="G70" s="22">
        <v>2.6</v>
      </c>
      <c r="H70">
        <f>IF(MONTH(Call_Center[[#This Row],[Date of Call]])&lt;=6,2023,2024)</f>
        <v>2023</v>
      </c>
      <c r="I70" t="str">
        <f>TEXT(Call_Center[[#This Row],[Date of Call]],"DDDD")</f>
        <v>Friday</v>
      </c>
      <c r="J70" t="str" cm="1">
        <f t="array" ref="J70">_xlfn.IFS(Call_Center[[#This Row],[Duration]]&lt;=10,"Under 10 mins",Call_Center[[#This Row],[Duration]]&lt;=30,"10 to 30 min",Call_Center[[#This Row],[Duration]]&lt;=60,"30 to 60 min",Call_Center[[#This Row],[Duration]]&lt;=120,"1 to 2 hours",TRUE,"More than 2 hours")</f>
        <v>1 to 2 hours</v>
      </c>
      <c r="K70">
        <f>ROUND(Call_Center[[#This Row],[Satisfaction Rating]],0)</f>
        <v>3</v>
      </c>
    </row>
    <row r="71" spans="1:11" x14ac:dyDescent="0.35">
      <c r="A71" s="21" t="s">
        <v>1054</v>
      </c>
      <c r="B71" s="18" t="s">
        <v>1000</v>
      </c>
      <c r="C71" s="18">
        <v>141</v>
      </c>
      <c r="D71" s="19" t="s">
        <v>986</v>
      </c>
      <c r="E71" s="20">
        <v>44953</v>
      </c>
      <c r="F71" s="18">
        <v>54</v>
      </c>
      <c r="G71" s="22">
        <v>0</v>
      </c>
      <c r="H71">
        <f>IF(MONTH(Call_Center[[#This Row],[Date of Call]])&lt;=6,2023,2024)</f>
        <v>2023</v>
      </c>
      <c r="I71" t="str">
        <f>TEXT(Call_Center[[#This Row],[Date of Call]],"DDDD")</f>
        <v>Friday</v>
      </c>
      <c r="J71" t="str" cm="1">
        <f t="array" ref="J71">_xlfn.IFS(Call_Center[[#This Row],[Duration]]&lt;=10,"Under 10 mins",Call_Center[[#This Row],[Duration]]&lt;=30,"10 to 30 min",Call_Center[[#This Row],[Duration]]&lt;=60,"30 to 60 min",Call_Center[[#This Row],[Duration]]&lt;=120,"1 to 2 hours",TRUE,"More than 2 hours")</f>
        <v>More than 2 hours</v>
      </c>
      <c r="K71">
        <f>ROUND(Call_Center[[#This Row],[Satisfaction Rating]],0)</f>
        <v>0</v>
      </c>
    </row>
    <row r="72" spans="1:11" x14ac:dyDescent="0.35">
      <c r="A72" s="21" t="s">
        <v>1055</v>
      </c>
      <c r="B72" s="18" t="s">
        <v>1000</v>
      </c>
      <c r="C72" s="18">
        <v>168</v>
      </c>
      <c r="D72" s="19" t="s">
        <v>986</v>
      </c>
      <c r="E72" s="20">
        <v>44954</v>
      </c>
      <c r="F72" s="18">
        <v>160</v>
      </c>
      <c r="G72" s="22">
        <v>3.9</v>
      </c>
      <c r="H72">
        <f>IF(MONTH(Call_Center[[#This Row],[Date of Call]])&lt;=6,2023,2024)</f>
        <v>2023</v>
      </c>
      <c r="I72" t="str">
        <f>TEXT(Call_Center[[#This Row],[Date of Call]],"DDDD")</f>
        <v>Saturday</v>
      </c>
      <c r="J72" t="str" cm="1">
        <f t="array" ref="J72">_xlfn.IFS(Call_Center[[#This Row],[Duration]]&lt;=10,"Under 10 mins",Call_Center[[#This Row],[Duration]]&lt;=30,"10 to 30 min",Call_Center[[#This Row],[Duration]]&lt;=60,"30 to 60 min",Call_Center[[#This Row],[Duration]]&lt;=120,"1 to 2 hours",TRUE,"More than 2 hours")</f>
        <v>More than 2 hours</v>
      </c>
      <c r="K72">
        <f>ROUND(Call_Center[[#This Row],[Satisfaction Rating]],0)</f>
        <v>4</v>
      </c>
    </row>
    <row r="73" spans="1:11" x14ac:dyDescent="0.35">
      <c r="A73" s="21" t="s">
        <v>1056</v>
      </c>
      <c r="B73" s="18" t="s">
        <v>1018</v>
      </c>
      <c r="C73" s="18">
        <v>101</v>
      </c>
      <c r="D73" s="19" t="s">
        <v>977</v>
      </c>
      <c r="E73" s="20">
        <v>44954</v>
      </c>
      <c r="F73" s="18">
        <v>80</v>
      </c>
      <c r="G73" s="22">
        <v>4.8</v>
      </c>
      <c r="H73">
        <f>IF(MONTH(Call_Center[[#This Row],[Date of Call]])&lt;=6,2023,2024)</f>
        <v>2023</v>
      </c>
      <c r="I73" t="str">
        <f>TEXT(Call_Center[[#This Row],[Date of Call]],"DDDD")</f>
        <v>Saturday</v>
      </c>
      <c r="J73" t="str" cm="1">
        <f t="array" ref="J73">_xlfn.IFS(Call_Center[[#This Row],[Duration]]&lt;=10,"Under 10 mins",Call_Center[[#This Row],[Duration]]&lt;=30,"10 to 30 min",Call_Center[[#This Row],[Duration]]&lt;=60,"30 to 60 min",Call_Center[[#This Row],[Duration]]&lt;=120,"1 to 2 hours",TRUE,"More than 2 hours")</f>
        <v>1 to 2 hours</v>
      </c>
      <c r="K73">
        <f>ROUND(Call_Center[[#This Row],[Satisfaction Rating]],0)</f>
        <v>5</v>
      </c>
    </row>
    <row r="74" spans="1:11" x14ac:dyDescent="0.35">
      <c r="A74" s="21" t="s">
        <v>1057</v>
      </c>
      <c r="B74" s="18" t="s">
        <v>989</v>
      </c>
      <c r="C74" s="18">
        <v>67</v>
      </c>
      <c r="D74" s="19" t="s">
        <v>977</v>
      </c>
      <c r="E74" s="20">
        <v>44954</v>
      </c>
      <c r="F74" s="18">
        <v>168</v>
      </c>
      <c r="G74" s="22">
        <v>2.6</v>
      </c>
      <c r="H74">
        <f>IF(MONTH(Call_Center[[#This Row],[Date of Call]])&lt;=6,2023,2024)</f>
        <v>2023</v>
      </c>
      <c r="I74" t="str">
        <f>TEXT(Call_Center[[#This Row],[Date of Call]],"DDDD")</f>
        <v>Saturday</v>
      </c>
      <c r="J74" t="str" cm="1">
        <f t="array" ref="J74">_xlfn.IFS(Call_Center[[#This Row],[Duration]]&lt;=10,"Under 10 mins",Call_Center[[#This Row],[Duration]]&lt;=30,"10 to 30 min",Call_Center[[#This Row],[Duration]]&lt;=60,"30 to 60 min",Call_Center[[#This Row],[Duration]]&lt;=120,"1 to 2 hours",TRUE,"More than 2 hours")</f>
        <v>1 to 2 hours</v>
      </c>
      <c r="K74">
        <f>ROUND(Call_Center[[#This Row],[Satisfaction Rating]],0)</f>
        <v>3</v>
      </c>
    </row>
    <row r="75" spans="1:11" x14ac:dyDescent="0.35">
      <c r="A75" s="21" t="s">
        <v>1058</v>
      </c>
      <c r="B75" s="18" t="s">
        <v>1038</v>
      </c>
      <c r="C75" s="18">
        <v>114</v>
      </c>
      <c r="D75" s="19" t="s">
        <v>986</v>
      </c>
      <c r="E75" s="20">
        <v>44956</v>
      </c>
      <c r="F75" s="18">
        <v>42</v>
      </c>
      <c r="G75" s="22">
        <v>2.6</v>
      </c>
      <c r="H75">
        <f>IF(MONTH(Call_Center[[#This Row],[Date of Call]])&lt;=6,2023,2024)</f>
        <v>2023</v>
      </c>
      <c r="I75" t="str">
        <f>TEXT(Call_Center[[#This Row],[Date of Call]],"DDDD")</f>
        <v>Monday</v>
      </c>
      <c r="J75" t="str" cm="1">
        <f t="array" ref="J75">_xlfn.IFS(Call_Center[[#This Row],[Duration]]&lt;=10,"Under 10 mins",Call_Center[[#This Row],[Duration]]&lt;=30,"10 to 30 min",Call_Center[[#This Row],[Duration]]&lt;=60,"30 to 60 min",Call_Center[[#This Row],[Duration]]&lt;=120,"1 to 2 hours",TRUE,"More than 2 hours")</f>
        <v>1 to 2 hours</v>
      </c>
      <c r="K75">
        <f>ROUND(Call_Center[[#This Row],[Satisfaction Rating]],0)</f>
        <v>3</v>
      </c>
    </row>
    <row r="76" spans="1:11" x14ac:dyDescent="0.35">
      <c r="A76" s="21" t="s">
        <v>1059</v>
      </c>
      <c r="B76" s="18" t="s">
        <v>971</v>
      </c>
      <c r="C76" s="18">
        <v>42</v>
      </c>
      <c r="D76" s="19" t="s">
        <v>977</v>
      </c>
      <c r="E76" s="20">
        <v>44956</v>
      </c>
      <c r="F76" s="18">
        <v>205</v>
      </c>
      <c r="G76" s="22">
        <v>3.6</v>
      </c>
      <c r="H76">
        <f>IF(MONTH(Call_Center[[#This Row],[Date of Call]])&lt;=6,2023,2024)</f>
        <v>2023</v>
      </c>
      <c r="I76" t="str">
        <f>TEXT(Call_Center[[#This Row],[Date of Call]],"DDDD")</f>
        <v>Monday</v>
      </c>
      <c r="J76" t="str" cm="1">
        <f t="array" ref="J76">_xlfn.IFS(Call_Center[[#This Row],[Duration]]&lt;=10,"Under 10 mins",Call_Center[[#This Row],[Duration]]&lt;=30,"10 to 30 min",Call_Center[[#This Row],[Duration]]&lt;=60,"30 to 60 min",Call_Center[[#This Row],[Duration]]&lt;=120,"1 to 2 hours",TRUE,"More than 2 hours")</f>
        <v>30 to 60 min</v>
      </c>
      <c r="K76">
        <f>ROUND(Call_Center[[#This Row],[Satisfaction Rating]],0)</f>
        <v>4</v>
      </c>
    </row>
    <row r="77" spans="1:11" x14ac:dyDescent="0.35">
      <c r="A77" s="21" t="s">
        <v>1060</v>
      </c>
      <c r="B77" s="18" t="s">
        <v>976</v>
      </c>
      <c r="C77" s="18">
        <v>69</v>
      </c>
      <c r="D77" s="19" t="s">
        <v>986</v>
      </c>
      <c r="E77" s="20">
        <v>44956</v>
      </c>
      <c r="F77" s="18">
        <v>108</v>
      </c>
      <c r="G77" s="22">
        <v>3.3</v>
      </c>
      <c r="H77">
        <f>IF(MONTH(Call_Center[[#This Row],[Date of Call]])&lt;=6,2023,2024)</f>
        <v>2023</v>
      </c>
      <c r="I77" t="str">
        <f>TEXT(Call_Center[[#This Row],[Date of Call]],"DDDD")</f>
        <v>Monday</v>
      </c>
      <c r="J77" t="str" cm="1">
        <f t="array" ref="J77">_xlfn.IFS(Call_Center[[#This Row],[Duration]]&lt;=10,"Under 10 mins",Call_Center[[#This Row],[Duration]]&lt;=30,"10 to 30 min",Call_Center[[#This Row],[Duration]]&lt;=60,"30 to 60 min",Call_Center[[#This Row],[Duration]]&lt;=120,"1 to 2 hours",TRUE,"More than 2 hours")</f>
        <v>1 to 2 hours</v>
      </c>
      <c r="K77">
        <f>ROUND(Call_Center[[#This Row],[Satisfaction Rating]],0)</f>
        <v>3</v>
      </c>
    </row>
    <row r="78" spans="1:11" x14ac:dyDescent="0.35">
      <c r="A78" s="21" t="s">
        <v>1061</v>
      </c>
      <c r="B78" s="18" t="s">
        <v>985</v>
      </c>
      <c r="C78" s="18">
        <v>145</v>
      </c>
      <c r="D78" s="19" t="s">
        <v>972</v>
      </c>
      <c r="E78" s="20">
        <v>44956</v>
      </c>
      <c r="F78" s="18">
        <v>78</v>
      </c>
      <c r="G78" s="22">
        <v>1.9</v>
      </c>
      <c r="H78">
        <f>IF(MONTH(Call_Center[[#This Row],[Date of Call]])&lt;=6,2023,2024)</f>
        <v>2023</v>
      </c>
      <c r="I78" t="str">
        <f>TEXT(Call_Center[[#This Row],[Date of Call]],"DDDD")</f>
        <v>Monday</v>
      </c>
      <c r="J78" t="str" cm="1">
        <f t="array" ref="J78">_xlfn.IFS(Call_Center[[#This Row],[Duration]]&lt;=10,"Under 10 mins",Call_Center[[#This Row],[Duration]]&lt;=30,"10 to 30 min",Call_Center[[#This Row],[Duration]]&lt;=60,"30 to 60 min",Call_Center[[#This Row],[Duration]]&lt;=120,"1 to 2 hours",TRUE,"More than 2 hours")</f>
        <v>More than 2 hours</v>
      </c>
      <c r="K78">
        <f>ROUND(Call_Center[[#This Row],[Satisfaction Rating]],0)</f>
        <v>2</v>
      </c>
    </row>
    <row r="79" spans="1:11" x14ac:dyDescent="0.35">
      <c r="A79" s="21" t="s">
        <v>1062</v>
      </c>
      <c r="B79" s="18" t="s">
        <v>969</v>
      </c>
      <c r="C79" s="18">
        <v>43</v>
      </c>
      <c r="D79" s="19" t="s">
        <v>986</v>
      </c>
      <c r="E79" s="20">
        <v>44956</v>
      </c>
      <c r="F79" s="18">
        <v>23</v>
      </c>
      <c r="G79" s="22">
        <v>4.9000000000000004</v>
      </c>
      <c r="H79">
        <f>IF(MONTH(Call_Center[[#This Row],[Date of Call]])&lt;=6,2023,2024)</f>
        <v>2023</v>
      </c>
      <c r="I79" t="str">
        <f>TEXT(Call_Center[[#This Row],[Date of Call]],"DDDD")</f>
        <v>Monday</v>
      </c>
      <c r="J79" t="str" cm="1">
        <f t="array" ref="J79">_xlfn.IFS(Call_Center[[#This Row],[Duration]]&lt;=10,"Under 10 mins",Call_Center[[#This Row],[Duration]]&lt;=30,"10 to 30 min",Call_Center[[#This Row],[Duration]]&lt;=60,"30 to 60 min",Call_Center[[#This Row],[Duration]]&lt;=120,"1 to 2 hours",TRUE,"More than 2 hours")</f>
        <v>30 to 60 min</v>
      </c>
      <c r="K79">
        <f>ROUND(Call_Center[[#This Row],[Satisfaction Rating]],0)</f>
        <v>5</v>
      </c>
    </row>
    <row r="80" spans="1:11" x14ac:dyDescent="0.35">
      <c r="A80" s="21" t="s">
        <v>1063</v>
      </c>
      <c r="B80" s="18" t="s">
        <v>976</v>
      </c>
      <c r="C80" s="18">
        <v>62</v>
      </c>
      <c r="D80" s="19" t="s">
        <v>967</v>
      </c>
      <c r="E80" s="20">
        <v>44957</v>
      </c>
      <c r="F80" s="18">
        <v>99</v>
      </c>
      <c r="G80" s="22">
        <v>3.6</v>
      </c>
      <c r="H80">
        <f>IF(MONTH(Call_Center[[#This Row],[Date of Call]])&lt;=6,2023,2024)</f>
        <v>2023</v>
      </c>
      <c r="I80" t="str">
        <f>TEXT(Call_Center[[#This Row],[Date of Call]],"DDDD")</f>
        <v>Tuesday</v>
      </c>
      <c r="J80" t="str" cm="1">
        <f t="array" ref="J80">_xlfn.IFS(Call_Center[[#This Row],[Duration]]&lt;=10,"Under 10 mins",Call_Center[[#This Row],[Duration]]&lt;=30,"10 to 30 min",Call_Center[[#This Row],[Duration]]&lt;=60,"30 to 60 min",Call_Center[[#This Row],[Duration]]&lt;=120,"1 to 2 hours",TRUE,"More than 2 hours")</f>
        <v>1 to 2 hours</v>
      </c>
      <c r="K80">
        <f>ROUND(Call_Center[[#This Row],[Satisfaction Rating]],0)</f>
        <v>4</v>
      </c>
    </row>
    <row r="81" spans="1:11" x14ac:dyDescent="0.35">
      <c r="A81" s="21" t="s">
        <v>1064</v>
      </c>
      <c r="B81" s="18" t="s">
        <v>997</v>
      </c>
      <c r="C81" s="18">
        <v>79</v>
      </c>
      <c r="D81" s="19" t="s">
        <v>986</v>
      </c>
      <c r="E81" s="20">
        <v>44958</v>
      </c>
      <c r="F81" s="18">
        <v>148</v>
      </c>
      <c r="G81" s="22">
        <v>4.5</v>
      </c>
      <c r="H81">
        <f>IF(MONTH(Call_Center[[#This Row],[Date of Call]])&lt;=6,2023,2024)</f>
        <v>2023</v>
      </c>
      <c r="I81" t="str">
        <f>TEXT(Call_Center[[#This Row],[Date of Call]],"DDDD")</f>
        <v>Wednesday</v>
      </c>
      <c r="J81" t="str" cm="1">
        <f t="array" ref="J81">_xlfn.IFS(Call_Center[[#This Row],[Duration]]&lt;=10,"Under 10 mins",Call_Center[[#This Row],[Duration]]&lt;=30,"10 to 30 min",Call_Center[[#This Row],[Duration]]&lt;=60,"30 to 60 min",Call_Center[[#This Row],[Duration]]&lt;=120,"1 to 2 hours",TRUE,"More than 2 hours")</f>
        <v>1 to 2 hours</v>
      </c>
      <c r="K81">
        <f>ROUND(Call_Center[[#This Row],[Satisfaction Rating]],0)</f>
        <v>5</v>
      </c>
    </row>
    <row r="82" spans="1:11" x14ac:dyDescent="0.35">
      <c r="A82" s="21" t="s">
        <v>1065</v>
      </c>
      <c r="B82" s="18" t="s">
        <v>985</v>
      </c>
      <c r="C82" s="18">
        <v>45</v>
      </c>
      <c r="D82" s="19" t="s">
        <v>982</v>
      </c>
      <c r="E82" s="20">
        <v>44958</v>
      </c>
      <c r="F82" s="18">
        <v>34</v>
      </c>
      <c r="G82" s="22">
        <v>3.7</v>
      </c>
      <c r="H82">
        <f>IF(MONTH(Call_Center[[#This Row],[Date of Call]])&lt;=6,2023,2024)</f>
        <v>2023</v>
      </c>
      <c r="I82" t="str">
        <f>TEXT(Call_Center[[#This Row],[Date of Call]],"DDDD")</f>
        <v>Wednesday</v>
      </c>
      <c r="J82" t="str" cm="1">
        <f t="array" ref="J82">_xlfn.IFS(Call_Center[[#This Row],[Duration]]&lt;=10,"Under 10 mins",Call_Center[[#This Row],[Duration]]&lt;=30,"10 to 30 min",Call_Center[[#This Row],[Duration]]&lt;=60,"30 to 60 min",Call_Center[[#This Row],[Duration]]&lt;=120,"1 to 2 hours",TRUE,"More than 2 hours")</f>
        <v>30 to 60 min</v>
      </c>
      <c r="K82">
        <f>ROUND(Call_Center[[#This Row],[Satisfaction Rating]],0)</f>
        <v>4</v>
      </c>
    </row>
    <row r="83" spans="1:11" x14ac:dyDescent="0.35">
      <c r="A83" s="21" t="s">
        <v>1066</v>
      </c>
      <c r="B83" s="18" t="s">
        <v>976</v>
      </c>
      <c r="C83" s="18">
        <v>137</v>
      </c>
      <c r="D83" s="19" t="s">
        <v>986</v>
      </c>
      <c r="E83" s="20">
        <v>44958</v>
      </c>
      <c r="F83" s="18">
        <v>86</v>
      </c>
      <c r="G83" s="22">
        <v>4.8</v>
      </c>
      <c r="H83">
        <f>IF(MONTH(Call_Center[[#This Row],[Date of Call]])&lt;=6,2023,2024)</f>
        <v>2023</v>
      </c>
      <c r="I83" t="str">
        <f>TEXT(Call_Center[[#This Row],[Date of Call]],"DDDD")</f>
        <v>Wednesday</v>
      </c>
      <c r="J83" t="str" cm="1">
        <f t="array" ref="J83">_xlfn.IFS(Call_Center[[#This Row],[Duration]]&lt;=10,"Under 10 mins",Call_Center[[#This Row],[Duration]]&lt;=30,"10 to 30 min",Call_Center[[#This Row],[Duration]]&lt;=60,"30 to 60 min",Call_Center[[#This Row],[Duration]]&lt;=120,"1 to 2 hours",TRUE,"More than 2 hours")</f>
        <v>More than 2 hours</v>
      </c>
      <c r="K83">
        <f>ROUND(Call_Center[[#This Row],[Satisfaction Rating]],0)</f>
        <v>5</v>
      </c>
    </row>
    <row r="84" spans="1:11" x14ac:dyDescent="0.35">
      <c r="A84" s="21" t="s">
        <v>1067</v>
      </c>
      <c r="B84" s="18" t="s">
        <v>1038</v>
      </c>
      <c r="C84" s="18">
        <v>109</v>
      </c>
      <c r="D84" s="19" t="s">
        <v>967</v>
      </c>
      <c r="E84" s="20">
        <v>44958</v>
      </c>
      <c r="F84" s="18">
        <v>105</v>
      </c>
      <c r="G84" s="22">
        <v>3.3</v>
      </c>
      <c r="H84">
        <f>IF(MONTH(Call_Center[[#This Row],[Date of Call]])&lt;=6,2023,2024)</f>
        <v>2023</v>
      </c>
      <c r="I84" t="str">
        <f>TEXT(Call_Center[[#This Row],[Date of Call]],"DDDD")</f>
        <v>Wednesday</v>
      </c>
      <c r="J84" t="str" cm="1">
        <f t="array" ref="J84">_xlfn.IFS(Call_Center[[#This Row],[Duration]]&lt;=10,"Under 10 mins",Call_Center[[#This Row],[Duration]]&lt;=30,"10 to 30 min",Call_Center[[#This Row],[Duration]]&lt;=60,"30 to 60 min",Call_Center[[#This Row],[Duration]]&lt;=120,"1 to 2 hours",TRUE,"More than 2 hours")</f>
        <v>1 to 2 hours</v>
      </c>
      <c r="K84">
        <f>ROUND(Call_Center[[#This Row],[Satisfaction Rating]],0)</f>
        <v>3</v>
      </c>
    </row>
    <row r="85" spans="1:11" x14ac:dyDescent="0.35">
      <c r="A85" s="21" t="s">
        <v>1068</v>
      </c>
      <c r="B85" s="18" t="s">
        <v>969</v>
      </c>
      <c r="C85" s="18">
        <v>78</v>
      </c>
      <c r="D85" s="19" t="s">
        <v>967</v>
      </c>
      <c r="E85" s="20">
        <v>44958</v>
      </c>
      <c r="F85" s="18">
        <v>62</v>
      </c>
      <c r="G85" s="22">
        <v>3.1</v>
      </c>
      <c r="H85">
        <f>IF(MONTH(Call_Center[[#This Row],[Date of Call]])&lt;=6,2023,2024)</f>
        <v>2023</v>
      </c>
      <c r="I85" t="str">
        <f>TEXT(Call_Center[[#This Row],[Date of Call]],"DDDD")</f>
        <v>Wednesday</v>
      </c>
      <c r="J85" t="str" cm="1">
        <f t="array" ref="J85">_xlfn.IFS(Call_Center[[#This Row],[Duration]]&lt;=10,"Under 10 mins",Call_Center[[#This Row],[Duration]]&lt;=30,"10 to 30 min",Call_Center[[#This Row],[Duration]]&lt;=60,"30 to 60 min",Call_Center[[#This Row],[Duration]]&lt;=120,"1 to 2 hours",TRUE,"More than 2 hours")</f>
        <v>1 to 2 hours</v>
      </c>
      <c r="K85">
        <f>ROUND(Call_Center[[#This Row],[Satisfaction Rating]],0)</f>
        <v>3</v>
      </c>
    </row>
    <row r="86" spans="1:11" x14ac:dyDescent="0.35">
      <c r="A86" s="21" t="s">
        <v>1069</v>
      </c>
      <c r="B86" s="18" t="s">
        <v>976</v>
      </c>
      <c r="C86" s="18">
        <v>137</v>
      </c>
      <c r="D86" s="19" t="s">
        <v>982</v>
      </c>
      <c r="E86" s="20">
        <v>44958</v>
      </c>
      <c r="F86" s="18">
        <v>90</v>
      </c>
      <c r="G86" s="22">
        <v>4.0999999999999996</v>
      </c>
      <c r="H86">
        <f>IF(MONTH(Call_Center[[#This Row],[Date of Call]])&lt;=6,2023,2024)</f>
        <v>2023</v>
      </c>
      <c r="I86" t="str">
        <f>TEXT(Call_Center[[#This Row],[Date of Call]],"DDDD")</f>
        <v>Wednesday</v>
      </c>
      <c r="J86" t="str" cm="1">
        <f t="array" ref="J86">_xlfn.IFS(Call_Center[[#This Row],[Duration]]&lt;=10,"Under 10 mins",Call_Center[[#This Row],[Duration]]&lt;=30,"10 to 30 min",Call_Center[[#This Row],[Duration]]&lt;=60,"30 to 60 min",Call_Center[[#This Row],[Duration]]&lt;=120,"1 to 2 hours",TRUE,"More than 2 hours")</f>
        <v>More than 2 hours</v>
      </c>
      <c r="K86">
        <f>ROUND(Call_Center[[#This Row],[Satisfaction Rating]],0)</f>
        <v>4</v>
      </c>
    </row>
    <row r="87" spans="1:11" x14ac:dyDescent="0.35">
      <c r="A87" s="21" t="s">
        <v>1070</v>
      </c>
      <c r="B87" s="18" t="s">
        <v>974</v>
      </c>
      <c r="C87" s="18">
        <v>99</v>
      </c>
      <c r="D87" s="19" t="s">
        <v>967</v>
      </c>
      <c r="E87" s="20">
        <v>44959</v>
      </c>
      <c r="F87" s="18">
        <v>112</v>
      </c>
      <c r="G87" s="22">
        <v>4.9000000000000004</v>
      </c>
      <c r="H87">
        <f>IF(MONTH(Call_Center[[#This Row],[Date of Call]])&lt;=6,2023,2024)</f>
        <v>2023</v>
      </c>
      <c r="I87" t="str">
        <f>TEXT(Call_Center[[#This Row],[Date of Call]],"DDDD")</f>
        <v>Thursday</v>
      </c>
      <c r="J87" t="str" cm="1">
        <f t="array" ref="J87">_xlfn.IFS(Call_Center[[#This Row],[Duration]]&lt;=10,"Under 10 mins",Call_Center[[#This Row],[Duration]]&lt;=30,"10 to 30 min",Call_Center[[#This Row],[Duration]]&lt;=60,"30 to 60 min",Call_Center[[#This Row],[Duration]]&lt;=120,"1 to 2 hours",TRUE,"More than 2 hours")</f>
        <v>1 to 2 hours</v>
      </c>
      <c r="K87">
        <f>ROUND(Call_Center[[#This Row],[Satisfaction Rating]],0)</f>
        <v>5</v>
      </c>
    </row>
    <row r="88" spans="1:11" x14ac:dyDescent="0.35">
      <c r="A88" s="21" t="s">
        <v>1071</v>
      </c>
      <c r="B88" s="18" t="s">
        <v>1005</v>
      </c>
      <c r="C88" s="18">
        <v>100</v>
      </c>
      <c r="D88" s="19" t="s">
        <v>967</v>
      </c>
      <c r="E88" s="20">
        <v>44959</v>
      </c>
      <c r="F88" s="18">
        <v>135</v>
      </c>
      <c r="G88" s="22">
        <v>4</v>
      </c>
      <c r="H88">
        <f>IF(MONTH(Call_Center[[#This Row],[Date of Call]])&lt;=6,2023,2024)</f>
        <v>2023</v>
      </c>
      <c r="I88" t="str">
        <f>TEXT(Call_Center[[#This Row],[Date of Call]],"DDDD")</f>
        <v>Thursday</v>
      </c>
      <c r="J88" t="str" cm="1">
        <f t="array" ref="J88">_xlfn.IFS(Call_Center[[#This Row],[Duration]]&lt;=10,"Under 10 mins",Call_Center[[#This Row],[Duration]]&lt;=30,"10 to 30 min",Call_Center[[#This Row],[Duration]]&lt;=60,"30 to 60 min",Call_Center[[#This Row],[Duration]]&lt;=120,"1 to 2 hours",TRUE,"More than 2 hours")</f>
        <v>1 to 2 hours</v>
      </c>
      <c r="K88">
        <f>ROUND(Call_Center[[#This Row],[Satisfaction Rating]],0)</f>
        <v>4</v>
      </c>
    </row>
    <row r="89" spans="1:11" x14ac:dyDescent="0.35">
      <c r="A89" s="21" t="s">
        <v>1072</v>
      </c>
      <c r="B89" s="18" t="s">
        <v>969</v>
      </c>
      <c r="C89" s="18">
        <v>47</v>
      </c>
      <c r="D89" s="19" t="s">
        <v>972</v>
      </c>
      <c r="E89" s="20">
        <v>44959</v>
      </c>
      <c r="F89" s="18">
        <v>34</v>
      </c>
      <c r="G89" s="22">
        <v>2.1</v>
      </c>
      <c r="H89">
        <f>IF(MONTH(Call_Center[[#This Row],[Date of Call]])&lt;=6,2023,2024)</f>
        <v>2023</v>
      </c>
      <c r="I89" t="str">
        <f>TEXT(Call_Center[[#This Row],[Date of Call]],"DDDD")</f>
        <v>Thursday</v>
      </c>
      <c r="J89" t="str" cm="1">
        <f t="array" ref="J89">_xlfn.IFS(Call_Center[[#This Row],[Duration]]&lt;=10,"Under 10 mins",Call_Center[[#This Row],[Duration]]&lt;=30,"10 to 30 min",Call_Center[[#This Row],[Duration]]&lt;=60,"30 to 60 min",Call_Center[[#This Row],[Duration]]&lt;=120,"1 to 2 hours",TRUE,"More than 2 hours")</f>
        <v>30 to 60 min</v>
      </c>
      <c r="K89">
        <f>ROUND(Call_Center[[#This Row],[Satisfaction Rating]],0)</f>
        <v>2</v>
      </c>
    </row>
    <row r="90" spans="1:11" x14ac:dyDescent="0.35">
      <c r="A90" s="21" t="s">
        <v>1073</v>
      </c>
      <c r="B90" s="18" t="s">
        <v>1038</v>
      </c>
      <c r="C90" s="18">
        <v>87</v>
      </c>
      <c r="D90" s="19" t="s">
        <v>977</v>
      </c>
      <c r="E90" s="20">
        <v>44959</v>
      </c>
      <c r="F90" s="18">
        <v>155</v>
      </c>
      <c r="G90" s="22">
        <v>4.5</v>
      </c>
      <c r="H90">
        <f>IF(MONTH(Call_Center[[#This Row],[Date of Call]])&lt;=6,2023,2024)</f>
        <v>2023</v>
      </c>
      <c r="I90" t="str">
        <f>TEXT(Call_Center[[#This Row],[Date of Call]],"DDDD")</f>
        <v>Thursday</v>
      </c>
      <c r="J90" t="str" cm="1">
        <f t="array" ref="J90">_xlfn.IFS(Call_Center[[#This Row],[Duration]]&lt;=10,"Under 10 mins",Call_Center[[#This Row],[Duration]]&lt;=30,"10 to 30 min",Call_Center[[#This Row],[Duration]]&lt;=60,"30 to 60 min",Call_Center[[#This Row],[Duration]]&lt;=120,"1 to 2 hours",TRUE,"More than 2 hours")</f>
        <v>1 to 2 hours</v>
      </c>
      <c r="K90">
        <f>ROUND(Call_Center[[#This Row],[Satisfaction Rating]],0)</f>
        <v>5</v>
      </c>
    </row>
    <row r="91" spans="1:11" x14ac:dyDescent="0.35">
      <c r="A91" s="21" t="s">
        <v>1074</v>
      </c>
      <c r="B91" s="18" t="s">
        <v>974</v>
      </c>
      <c r="C91" s="18">
        <v>143</v>
      </c>
      <c r="D91" s="19" t="s">
        <v>977</v>
      </c>
      <c r="E91" s="20">
        <v>44961</v>
      </c>
      <c r="F91" s="18">
        <v>124</v>
      </c>
      <c r="G91" s="22">
        <v>4.9000000000000004</v>
      </c>
      <c r="H91">
        <f>IF(MONTH(Call_Center[[#This Row],[Date of Call]])&lt;=6,2023,2024)</f>
        <v>2023</v>
      </c>
      <c r="I91" t="str">
        <f>TEXT(Call_Center[[#This Row],[Date of Call]],"DDDD")</f>
        <v>Saturday</v>
      </c>
      <c r="J91" t="str" cm="1">
        <f t="array" ref="J91">_xlfn.IFS(Call_Center[[#This Row],[Duration]]&lt;=10,"Under 10 mins",Call_Center[[#This Row],[Duration]]&lt;=30,"10 to 30 min",Call_Center[[#This Row],[Duration]]&lt;=60,"30 to 60 min",Call_Center[[#This Row],[Duration]]&lt;=120,"1 to 2 hours",TRUE,"More than 2 hours")</f>
        <v>More than 2 hours</v>
      </c>
      <c r="K91">
        <f>ROUND(Call_Center[[#This Row],[Satisfaction Rating]],0)</f>
        <v>5</v>
      </c>
    </row>
    <row r="92" spans="1:11" x14ac:dyDescent="0.35">
      <c r="A92" s="21" t="s">
        <v>1075</v>
      </c>
      <c r="B92" s="18" t="s">
        <v>1005</v>
      </c>
      <c r="C92" s="18">
        <v>84</v>
      </c>
      <c r="D92" s="19" t="s">
        <v>967</v>
      </c>
      <c r="E92" s="20">
        <v>44961</v>
      </c>
      <c r="F92" s="18">
        <v>195</v>
      </c>
      <c r="G92" s="22">
        <v>4.0999999999999996</v>
      </c>
      <c r="H92">
        <f>IF(MONTH(Call_Center[[#This Row],[Date of Call]])&lt;=6,2023,2024)</f>
        <v>2023</v>
      </c>
      <c r="I92" t="str">
        <f>TEXT(Call_Center[[#This Row],[Date of Call]],"DDDD")</f>
        <v>Saturday</v>
      </c>
      <c r="J92" t="str" cm="1">
        <f t="array" ref="J92">_xlfn.IFS(Call_Center[[#This Row],[Duration]]&lt;=10,"Under 10 mins",Call_Center[[#This Row],[Duration]]&lt;=30,"10 to 30 min",Call_Center[[#This Row],[Duration]]&lt;=60,"30 to 60 min",Call_Center[[#This Row],[Duration]]&lt;=120,"1 to 2 hours",TRUE,"More than 2 hours")</f>
        <v>1 to 2 hours</v>
      </c>
      <c r="K92">
        <f>ROUND(Call_Center[[#This Row],[Satisfaction Rating]],0)</f>
        <v>4</v>
      </c>
    </row>
    <row r="93" spans="1:11" x14ac:dyDescent="0.35">
      <c r="A93" s="21" t="s">
        <v>1076</v>
      </c>
      <c r="B93" s="18" t="s">
        <v>1018</v>
      </c>
      <c r="C93" s="18">
        <v>55</v>
      </c>
      <c r="D93" s="19" t="s">
        <v>977</v>
      </c>
      <c r="E93" s="20">
        <v>44962</v>
      </c>
      <c r="F93" s="18">
        <v>78</v>
      </c>
      <c r="G93" s="22">
        <v>4.5</v>
      </c>
      <c r="H93">
        <f>IF(MONTH(Call_Center[[#This Row],[Date of Call]])&lt;=6,2023,2024)</f>
        <v>2023</v>
      </c>
      <c r="I93" t="str">
        <f>TEXT(Call_Center[[#This Row],[Date of Call]],"DDDD")</f>
        <v>Sunday</v>
      </c>
      <c r="J93" t="str" cm="1">
        <f t="array" ref="J93">_xlfn.IFS(Call_Center[[#This Row],[Duration]]&lt;=10,"Under 10 mins",Call_Center[[#This Row],[Duration]]&lt;=30,"10 to 30 min",Call_Center[[#This Row],[Duration]]&lt;=60,"30 to 60 min",Call_Center[[#This Row],[Duration]]&lt;=120,"1 to 2 hours",TRUE,"More than 2 hours")</f>
        <v>30 to 60 min</v>
      </c>
      <c r="K93">
        <f>ROUND(Call_Center[[#This Row],[Satisfaction Rating]],0)</f>
        <v>5</v>
      </c>
    </row>
    <row r="94" spans="1:11" x14ac:dyDescent="0.35">
      <c r="A94" s="21" t="s">
        <v>1077</v>
      </c>
      <c r="B94" s="18" t="s">
        <v>980</v>
      </c>
      <c r="C94" s="18">
        <v>135</v>
      </c>
      <c r="D94" s="19" t="s">
        <v>982</v>
      </c>
      <c r="E94" s="20">
        <v>44964</v>
      </c>
      <c r="F94" s="18">
        <v>35</v>
      </c>
      <c r="G94" s="22">
        <v>4.8</v>
      </c>
      <c r="H94">
        <f>IF(MONTH(Call_Center[[#This Row],[Date of Call]])&lt;=6,2023,2024)</f>
        <v>2023</v>
      </c>
      <c r="I94" t="str">
        <f>TEXT(Call_Center[[#This Row],[Date of Call]],"DDDD")</f>
        <v>Tuesday</v>
      </c>
      <c r="J94" t="str" cm="1">
        <f t="array" ref="J94">_xlfn.IFS(Call_Center[[#This Row],[Duration]]&lt;=10,"Under 10 mins",Call_Center[[#This Row],[Duration]]&lt;=30,"10 to 30 min",Call_Center[[#This Row],[Duration]]&lt;=60,"30 to 60 min",Call_Center[[#This Row],[Duration]]&lt;=120,"1 to 2 hours",TRUE,"More than 2 hours")</f>
        <v>More than 2 hours</v>
      </c>
      <c r="K94">
        <f>ROUND(Call_Center[[#This Row],[Satisfaction Rating]],0)</f>
        <v>5</v>
      </c>
    </row>
    <row r="95" spans="1:11" x14ac:dyDescent="0.35">
      <c r="A95" s="21" t="s">
        <v>1078</v>
      </c>
      <c r="B95" s="18" t="s">
        <v>1008</v>
      </c>
      <c r="C95" s="18">
        <v>152</v>
      </c>
      <c r="D95" s="19" t="s">
        <v>972</v>
      </c>
      <c r="E95" s="20">
        <v>44964</v>
      </c>
      <c r="F95" s="18">
        <v>123</v>
      </c>
      <c r="G95" s="22">
        <v>4.5999999999999996</v>
      </c>
      <c r="H95">
        <f>IF(MONTH(Call_Center[[#This Row],[Date of Call]])&lt;=6,2023,2024)</f>
        <v>2023</v>
      </c>
      <c r="I95" t="str">
        <f>TEXT(Call_Center[[#This Row],[Date of Call]],"DDDD")</f>
        <v>Tuesday</v>
      </c>
      <c r="J95" t="str" cm="1">
        <f t="array" ref="J95">_xlfn.IFS(Call_Center[[#This Row],[Duration]]&lt;=10,"Under 10 mins",Call_Center[[#This Row],[Duration]]&lt;=30,"10 to 30 min",Call_Center[[#This Row],[Duration]]&lt;=60,"30 to 60 min",Call_Center[[#This Row],[Duration]]&lt;=120,"1 to 2 hours",TRUE,"More than 2 hours")</f>
        <v>More than 2 hours</v>
      </c>
      <c r="K95">
        <f>ROUND(Call_Center[[#This Row],[Satisfaction Rating]],0)</f>
        <v>5</v>
      </c>
    </row>
    <row r="96" spans="1:11" x14ac:dyDescent="0.35">
      <c r="A96" s="21" t="s">
        <v>1079</v>
      </c>
      <c r="B96" s="18" t="s">
        <v>971</v>
      </c>
      <c r="C96" s="18">
        <v>132</v>
      </c>
      <c r="D96" s="19" t="s">
        <v>972</v>
      </c>
      <c r="E96" s="20">
        <v>44964</v>
      </c>
      <c r="F96" s="18">
        <v>43</v>
      </c>
      <c r="G96" s="22">
        <v>4.5999999999999996</v>
      </c>
      <c r="H96">
        <f>IF(MONTH(Call_Center[[#This Row],[Date of Call]])&lt;=6,2023,2024)</f>
        <v>2023</v>
      </c>
      <c r="I96" t="str">
        <f>TEXT(Call_Center[[#This Row],[Date of Call]],"DDDD")</f>
        <v>Tuesday</v>
      </c>
      <c r="J96" t="str" cm="1">
        <f t="array" ref="J96">_xlfn.IFS(Call_Center[[#This Row],[Duration]]&lt;=10,"Under 10 mins",Call_Center[[#This Row],[Duration]]&lt;=30,"10 to 30 min",Call_Center[[#This Row],[Duration]]&lt;=60,"30 to 60 min",Call_Center[[#This Row],[Duration]]&lt;=120,"1 to 2 hours",TRUE,"More than 2 hours")</f>
        <v>More than 2 hours</v>
      </c>
      <c r="K96">
        <f>ROUND(Call_Center[[#This Row],[Satisfaction Rating]],0)</f>
        <v>5</v>
      </c>
    </row>
    <row r="97" spans="1:11" x14ac:dyDescent="0.35">
      <c r="A97" s="21" t="s">
        <v>1080</v>
      </c>
      <c r="B97" s="18" t="s">
        <v>1000</v>
      </c>
      <c r="C97" s="18">
        <v>60</v>
      </c>
      <c r="D97" s="19" t="s">
        <v>967</v>
      </c>
      <c r="E97" s="20">
        <v>44965</v>
      </c>
      <c r="F97" s="18">
        <v>69</v>
      </c>
      <c r="G97" s="22">
        <v>4.3</v>
      </c>
      <c r="H97">
        <f>IF(MONTH(Call_Center[[#This Row],[Date of Call]])&lt;=6,2023,2024)</f>
        <v>2023</v>
      </c>
      <c r="I97" t="str">
        <f>TEXT(Call_Center[[#This Row],[Date of Call]],"DDDD")</f>
        <v>Wednesday</v>
      </c>
      <c r="J97" t="str" cm="1">
        <f t="array" ref="J97">_xlfn.IFS(Call_Center[[#This Row],[Duration]]&lt;=10,"Under 10 mins",Call_Center[[#This Row],[Duration]]&lt;=30,"10 to 30 min",Call_Center[[#This Row],[Duration]]&lt;=60,"30 to 60 min",Call_Center[[#This Row],[Duration]]&lt;=120,"1 to 2 hours",TRUE,"More than 2 hours")</f>
        <v>30 to 60 min</v>
      </c>
      <c r="K97">
        <f>ROUND(Call_Center[[#This Row],[Satisfaction Rating]],0)</f>
        <v>4</v>
      </c>
    </row>
    <row r="98" spans="1:11" x14ac:dyDescent="0.35">
      <c r="A98" s="21" t="s">
        <v>1081</v>
      </c>
      <c r="B98" s="18" t="s">
        <v>1008</v>
      </c>
      <c r="C98" s="18">
        <v>95</v>
      </c>
      <c r="D98" s="19" t="s">
        <v>972</v>
      </c>
      <c r="E98" s="20">
        <v>44965</v>
      </c>
      <c r="F98" s="18">
        <v>130</v>
      </c>
      <c r="G98" s="22">
        <v>5</v>
      </c>
      <c r="H98">
        <f>IF(MONTH(Call_Center[[#This Row],[Date of Call]])&lt;=6,2023,2024)</f>
        <v>2023</v>
      </c>
      <c r="I98" t="str">
        <f>TEXT(Call_Center[[#This Row],[Date of Call]],"DDDD")</f>
        <v>Wednesday</v>
      </c>
      <c r="J98" t="str" cm="1">
        <f t="array" ref="J98">_xlfn.IFS(Call_Center[[#This Row],[Duration]]&lt;=10,"Under 10 mins",Call_Center[[#This Row],[Duration]]&lt;=30,"10 to 30 min",Call_Center[[#This Row],[Duration]]&lt;=60,"30 to 60 min",Call_Center[[#This Row],[Duration]]&lt;=120,"1 to 2 hours",TRUE,"More than 2 hours")</f>
        <v>1 to 2 hours</v>
      </c>
      <c r="K98">
        <f>ROUND(Call_Center[[#This Row],[Satisfaction Rating]],0)</f>
        <v>5</v>
      </c>
    </row>
    <row r="99" spans="1:11" x14ac:dyDescent="0.35">
      <c r="A99" s="21" t="s">
        <v>1082</v>
      </c>
      <c r="B99" s="18" t="s">
        <v>966</v>
      </c>
      <c r="C99" s="18">
        <v>96</v>
      </c>
      <c r="D99" s="19" t="s">
        <v>986</v>
      </c>
      <c r="E99" s="20">
        <v>44965</v>
      </c>
      <c r="F99" s="18">
        <v>120</v>
      </c>
      <c r="G99" s="22">
        <v>4</v>
      </c>
      <c r="H99">
        <f>IF(MONTH(Call_Center[[#This Row],[Date of Call]])&lt;=6,2023,2024)</f>
        <v>2023</v>
      </c>
      <c r="I99" t="str">
        <f>TEXT(Call_Center[[#This Row],[Date of Call]],"DDDD")</f>
        <v>Wednesday</v>
      </c>
      <c r="J99" t="str" cm="1">
        <f t="array" ref="J99">_xlfn.IFS(Call_Center[[#This Row],[Duration]]&lt;=10,"Under 10 mins",Call_Center[[#This Row],[Duration]]&lt;=30,"10 to 30 min",Call_Center[[#This Row],[Duration]]&lt;=60,"30 to 60 min",Call_Center[[#This Row],[Duration]]&lt;=120,"1 to 2 hours",TRUE,"More than 2 hours")</f>
        <v>1 to 2 hours</v>
      </c>
      <c r="K99">
        <f>ROUND(Call_Center[[#This Row],[Satisfaction Rating]],0)</f>
        <v>4</v>
      </c>
    </row>
    <row r="100" spans="1:11" x14ac:dyDescent="0.35">
      <c r="A100" s="21" t="s">
        <v>1083</v>
      </c>
      <c r="B100" s="18" t="s">
        <v>1018</v>
      </c>
      <c r="C100" s="18">
        <v>45</v>
      </c>
      <c r="D100" s="19" t="s">
        <v>967</v>
      </c>
      <c r="E100" s="20">
        <v>44966</v>
      </c>
      <c r="F100" s="18">
        <v>84</v>
      </c>
      <c r="G100" s="22">
        <v>4.5999999999999996</v>
      </c>
      <c r="H100">
        <f>IF(MONTH(Call_Center[[#This Row],[Date of Call]])&lt;=6,2023,2024)</f>
        <v>2023</v>
      </c>
      <c r="I100" t="str">
        <f>TEXT(Call_Center[[#This Row],[Date of Call]],"DDDD")</f>
        <v>Thursday</v>
      </c>
      <c r="J100" t="str" cm="1">
        <f t="array" ref="J100">_xlfn.IFS(Call_Center[[#This Row],[Duration]]&lt;=10,"Under 10 mins",Call_Center[[#This Row],[Duration]]&lt;=30,"10 to 30 min",Call_Center[[#This Row],[Duration]]&lt;=60,"30 to 60 min",Call_Center[[#This Row],[Duration]]&lt;=120,"1 to 2 hours",TRUE,"More than 2 hours")</f>
        <v>30 to 60 min</v>
      </c>
      <c r="K100">
        <f>ROUND(Call_Center[[#This Row],[Satisfaction Rating]],0)</f>
        <v>5</v>
      </c>
    </row>
    <row r="101" spans="1:11" x14ac:dyDescent="0.35">
      <c r="A101" s="21" t="s">
        <v>1084</v>
      </c>
      <c r="B101" s="18" t="s">
        <v>966</v>
      </c>
      <c r="C101" s="18">
        <v>132</v>
      </c>
      <c r="D101" s="19" t="s">
        <v>986</v>
      </c>
      <c r="E101" s="20">
        <v>44967</v>
      </c>
      <c r="F101" s="18">
        <v>112</v>
      </c>
      <c r="G101" s="22">
        <v>4.5</v>
      </c>
      <c r="H101">
        <f>IF(MONTH(Call_Center[[#This Row],[Date of Call]])&lt;=6,2023,2024)</f>
        <v>2023</v>
      </c>
      <c r="I101" t="str">
        <f>TEXT(Call_Center[[#This Row],[Date of Call]],"DDDD")</f>
        <v>Friday</v>
      </c>
      <c r="J101" t="str" cm="1">
        <f t="array" ref="J101">_xlfn.IFS(Call_Center[[#This Row],[Duration]]&lt;=10,"Under 10 mins",Call_Center[[#This Row],[Duration]]&lt;=30,"10 to 30 min",Call_Center[[#This Row],[Duration]]&lt;=60,"30 to 60 min",Call_Center[[#This Row],[Duration]]&lt;=120,"1 to 2 hours",TRUE,"More than 2 hours")</f>
        <v>More than 2 hours</v>
      </c>
      <c r="K101">
        <f>ROUND(Call_Center[[#This Row],[Satisfaction Rating]],0)</f>
        <v>5</v>
      </c>
    </row>
    <row r="102" spans="1:11" x14ac:dyDescent="0.35">
      <c r="A102" s="21" t="s">
        <v>1085</v>
      </c>
      <c r="B102" s="18" t="s">
        <v>989</v>
      </c>
      <c r="C102" s="18">
        <v>95</v>
      </c>
      <c r="D102" s="19" t="s">
        <v>967</v>
      </c>
      <c r="E102" s="20">
        <v>44967</v>
      </c>
      <c r="F102" s="18">
        <v>66</v>
      </c>
      <c r="G102" s="22">
        <v>4.5999999999999996</v>
      </c>
      <c r="H102">
        <f>IF(MONTH(Call_Center[[#This Row],[Date of Call]])&lt;=6,2023,2024)</f>
        <v>2023</v>
      </c>
      <c r="I102" t="str">
        <f>TEXT(Call_Center[[#This Row],[Date of Call]],"DDDD")</f>
        <v>Friday</v>
      </c>
      <c r="J102" t="str" cm="1">
        <f t="array" ref="J102">_xlfn.IFS(Call_Center[[#This Row],[Duration]]&lt;=10,"Under 10 mins",Call_Center[[#This Row],[Duration]]&lt;=30,"10 to 30 min",Call_Center[[#This Row],[Duration]]&lt;=60,"30 to 60 min",Call_Center[[#This Row],[Duration]]&lt;=120,"1 to 2 hours",TRUE,"More than 2 hours")</f>
        <v>1 to 2 hours</v>
      </c>
      <c r="K102">
        <f>ROUND(Call_Center[[#This Row],[Satisfaction Rating]],0)</f>
        <v>5</v>
      </c>
    </row>
    <row r="103" spans="1:11" x14ac:dyDescent="0.35">
      <c r="A103" s="21" t="s">
        <v>1086</v>
      </c>
      <c r="B103" s="18" t="s">
        <v>1008</v>
      </c>
      <c r="C103" s="18">
        <v>131</v>
      </c>
      <c r="D103" s="19" t="s">
        <v>977</v>
      </c>
      <c r="E103" s="20">
        <v>44967</v>
      </c>
      <c r="F103" s="18">
        <v>172</v>
      </c>
      <c r="G103" s="22">
        <v>2.6</v>
      </c>
      <c r="H103">
        <f>IF(MONTH(Call_Center[[#This Row],[Date of Call]])&lt;=6,2023,2024)</f>
        <v>2023</v>
      </c>
      <c r="I103" t="str">
        <f>TEXT(Call_Center[[#This Row],[Date of Call]],"DDDD")</f>
        <v>Friday</v>
      </c>
      <c r="J103" t="str" cm="1">
        <f t="array" ref="J103">_xlfn.IFS(Call_Center[[#This Row],[Duration]]&lt;=10,"Under 10 mins",Call_Center[[#This Row],[Duration]]&lt;=30,"10 to 30 min",Call_Center[[#This Row],[Duration]]&lt;=60,"30 to 60 min",Call_Center[[#This Row],[Duration]]&lt;=120,"1 to 2 hours",TRUE,"More than 2 hours")</f>
        <v>More than 2 hours</v>
      </c>
      <c r="K103">
        <f>ROUND(Call_Center[[#This Row],[Satisfaction Rating]],0)</f>
        <v>3</v>
      </c>
    </row>
    <row r="104" spans="1:11" x14ac:dyDescent="0.35">
      <c r="A104" s="21" t="s">
        <v>1087</v>
      </c>
      <c r="B104" s="18" t="s">
        <v>997</v>
      </c>
      <c r="C104" s="18">
        <v>67</v>
      </c>
      <c r="D104" s="19" t="s">
        <v>982</v>
      </c>
      <c r="E104" s="20">
        <v>44968</v>
      </c>
      <c r="F104" s="18">
        <v>24</v>
      </c>
      <c r="G104" s="22">
        <v>4.3</v>
      </c>
      <c r="H104">
        <f>IF(MONTH(Call_Center[[#This Row],[Date of Call]])&lt;=6,2023,2024)</f>
        <v>2023</v>
      </c>
      <c r="I104" t="str">
        <f>TEXT(Call_Center[[#This Row],[Date of Call]],"DDDD")</f>
        <v>Saturday</v>
      </c>
      <c r="J104" t="str" cm="1">
        <f t="array" ref="J104">_xlfn.IFS(Call_Center[[#This Row],[Duration]]&lt;=10,"Under 10 mins",Call_Center[[#This Row],[Duration]]&lt;=30,"10 to 30 min",Call_Center[[#This Row],[Duration]]&lt;=60,"30 to 60 min",Call_Center[[#This Row],[Duration]]&lt;=120,"1 to 2 hours",TRUE,"More than 2 hours")</f>
        <v>1 to 2 hours</v>
      </c>
      <c r="K104">
        <f>ROUND(Call_Center[[#This Row],[Satisfaction Rating]],0)</f>
        <v>4</v>
      </c>
    </row>
    <row r="105" spans="1:11" x14ac:dyDescent="0.35">
      <c r="A105" s="21" t="s">
        <v>1088</v>
      </c>
      <c r="B105" s="18" t="s">
        <v>974</v>
      </c>
      <c r="C105" s="18">
        <v>111</v>
      </c>
      <c r="D105" s="19" t="s">
        <v>977</v>
      </c>
      <c r="E105" s="20">
        <v>44969</v>
      </c>
      <c r="F105" s="18">
        <v>43</v>
      </c>
      <c r="G105" s="22">
        <v>3.9</v>
      </c>
      <c r="H105">
        <f>IF(MONTH(Call_Center[[#This Row],[Date of Call]])&lt;=6,2023,2024)</f>
        <v>2023</v>
      </c>
      <c r="I105" t="str">
        <f>TEXT(Call_Center[[#This Row],[Date of Call]],"DDDD")</f>
        <v>Sunday</v>
      </c>
      <c r="J105" t="str" cm="1">
        <f t="array" ref="J105">_xlfn.IFS(Call_Center[[#This Row],[Duration]]&lt;=10,"Under 10 mins",Call_Center[[#This Row],[Duration]]&lt;=30,"10 to 30 min",Call_Center[[#This Row],[Duration]]&lt;=60,"30 to 60 min",Call_Center[[#This Row],[Duration]]&lt;=120,"1 to 2 hours",TRUE,"More than 2 hours")</f>
        <v>1 to 2 hours</v>
      </c>
      <c r="K105">
        <f>ROUND(Call_Center[[#This Row],[Satisfaction Rating]],0)</f>
        <v>4</v>
      </c>
    </row>
    <row r="106" spans="1:11" x14ac:dyDescent="0.35">
      <c r="A106" s="21" t="s">
        <v>1089</v>
      </c>
      <c r="B106" s="18" t="s">
        <v>971</v>
      </c>
      <c r="C106" s="18">
        <v>78</v>
      </c>
      <c r="D106" s="19" t="s">
        <v>972</v>
      </c>
      <c r="E106" s="20">
        <v>44969</v>
      </c>
      <c r="F106" s="18">
        <v>23</v>
      </c>
      <c r="G106" s="22">
        <v>5</v>
      </c>
      <c r="H106">
        <f>IF(MONTH(Call_Center[[#This Row],[Date of Call]])&lt;=6,2023,2024)</f>
        <v>2023</v>
      </c>
      <c r="I106" t="str">
        <f>TEXT(Call_Center[[#This Row],[Date of Call]],"DDDD")</f>
        <v>Sunday</v>
      </c>
      <c r="J106" t="str" cm="1">
        <f t="array" ref="J106">_xlfn.IFS(Call_Center[[#This Row],[Duration]]&lt;=10,"Under 10 mins",Call_Center[[#This Row],[Duration]]&lt;=30,"10 to 30 min",Call_Center[[#This Row],[Duration]]&lt;=60,"30 to 60 min",Call_Center[[#This Row],[Duration]]&lt;=120,"1 to 2 hours",TRUE,"More than 2 hours")</f>
        <v>1 to 2 hours</v>
      </c>
      <c r="K106">
        <f>ROUND(Call_Center[[#This Row],[Satisfaction Rating]],0)</f>
        <v>5</v>
      </c>
    </row>
    <row r="107" spans="1:11" x14ac:dyDescent="0.35">
      <c r="A107" s="21" t="s">
        <v>1090</v>
      </c>
      <c r="B107" s="18" t="s">
        <v>991</v>
      </c>
      <c r="C107" s="18">
        <v>28</v>
      </c>
      <c r="D107" s="19" t="s">
        <v>986</v>
      </c>
      <c r="E107" s="20">
        <v>44969</v>
      </c>
      <c r="F107" s="18">
        <v>74</v>
      </c>
      <c r="G107" s="22">
        <v>3.5</v>
      </c>
      <c r="H107">
        <f>IF(MONTH(Call_Center[[#This Row],[Date of Call]])&lt;=6,2023,2024)</f>
        <v>2023</v>
      </c>
      <c r="I107" t="str">
        <f>TEXT(Call_Center[[#This Row],[Date of Call]],"DDDD")</f>
        <v>Sunday</v>
      </c>
      <c r="J107" t="str" cm="1">
        <f t="array" ref="J107">_xlfn.IFS(Call_Center[[#This Row],[Duration]]&lt;=10,"Under 10 mins",Call_Center[[#This Row],[Duration]]&lt;=30,"10 to 30 min",Call_Center[[#This Row],[Duration]]&lt;=60,"30 to 60 min",Call_Center[[#This Row],[Duration]]&lt;=120,"1 to 2 hours",TRUE,"More than 2 hours")</f>
        <v>10 to 30 min</v>
      </c>
      <c r="K107">
        <f>ROUND(Call_Center[[#This Row],[Satisfaction Rating]],0)</f>
        <v>4</v>
      </c>
    </row>
    <row r="108" spans="1:11" x14ac:dyDescent="0.35">
      <c r="A108" s="21" t="s">
        <v>1091</v>
      </c>
      <c r="B108" s="18" t="s">
        <v>969</v>
      </c>
      <c r="C108" s="18">
        <v>127</v>
      </c>
      <c r="D108" s="19" t="s">
        <v>982</v>
      </c>
      <c r="E108" s="20">
        <v>44970</v>
      </c>
      <c r="F108" s="18">
        <v>165</v>
      </c>
      <c r="G108" s="22">
        <v>4.7</v>
      </c>
      <c r="H108">
        <f>IF(MONTH(Call_Center[[#This Row],[Date of Call]])&lt;=6,2023,2024)</f>
        <v>2023</v>
      </c>
      <c r="I108" t="str">
        <f>TEXT(Call_Center[[#This Row],[Date of Call]],"DDDD")</f>
        <v>Monday</v>
      </c>
      <c r="J108" t="str" cm="1">
        <f t="array" ref="J108">_xlfn.IFS(Call_Center[[#This Row],[Duration]]&lt;=10,"Under 10 mins",Call_Center[[#This Row],[Duration]]&lt;=30,"10 to 30 min",Call_Center[[#This Row],[Duration]]&lt;=60,"30 to 60 min",Call_Center[[#This Row],[Duration]]&lt;=120,"1 to 2 hours",TRUE,"More than 2 hours")</f>
        <v>More than 2 hours</v>
      </c>
      <c r="K108">
        <f>ROUND(Call_Center[[#This Row],[Satisfaction Rating]],0)</f>
        <v>5</v>
      </c>
    </row>
    <row r="109" spans="1:11" x14ac:dyDescent="0.35">
      <c r="A109" s="21" t="s">
        <v>1092</v>
      </c>
      <c r="B109" s="18" t="s">
        <v>1005</v>
      </c>
      <c r="C109" s="18">
        <v>137</v>
      </c>
      <c r="D109" s="19" t="s">
        <v>977</v>
      </c>
      <c r="E109" s="20">
        <v>44970</v>
      </c>
      <c r="F109" s="18">
        <v>34</v>
      </c>
      <c r="G109" s="22">
        <v>2.9</v>
      </c>
      <c r="H109">
        <f>IF(MONTH(Call_Center[[#This Row],[Date of Call]])&lt;=6,2023,2024)</f>
        <v>2023</v>
      </c>
      <c r="I109" t="str">
        <f>TEXT(Call_Center[[#This Row],[Date of Call]],"DDDD")</f>
        <v>Monday</v>
      </c>
      <c r="J109" t="str" cm="1">
        <f t="array" ref="J109">_xlfn.IFS(Call_Center[[#This Row],[Duration]]&lt;=10,"Under 10 mins",Call_Center[[#This Row],[Duration]]&lt;=30,"10 to 30 min",Call_Center[[#This Row],[Duration]]&lt;=60,"30 to 60 min",Call_Center[[#This Row],[Duration]]&lt;=120,"1 to 2 hours",TRUE,"More than 2 hours")</f>
        <v>More than 2 hours</v>
      </c>
      <c r="K109">
        <f>ROUND(Call_Center[[#This Row],[Satisfaction Rating]],0)</f>
        <v>3</v>
      </c>
    </row>
    <row r="110" spans="1:11" x14ac:dyDescent="0.35">
      <c r="A110" s="21" t="s">
        <v>1093</v>
      </c>
      <c r="B110" s="18" t="s">
        <v>969</v>
      </c>
      <c r="C110" s="18">
        <v>76</v>
      </c>
      <c r="D110" s="19" t="s">
        <v>986</v>
      </c>
      <c r="E110" s="20">
        <v>44970</v>
      </c>
      <c r="F110" s="18">
        <v>64</v>
      </c>
      <c r="G110" s="22">
        <v>3.4</v>
      </c>
      <c r="H110">
        <f>IF(MONTH(Call_Center[[#This Row],[Date of Call]])&lt;=6,2023,2024)</f>
        <v>2023</v>
      </c>
      <c r="I110" t="str">
        <f>TEXT(Call_Center[[#This Row],[Date of Call]],"DDDD")</f>
        <v>Monday</v>
      </c>
      <c r="J110" t="str" cm="1">
        <f t="array" ref="J110">_xlfn.IFS(Call_Center[[#This Row],[Duration]]&lt;=10,"Under 10 mins",Call_Center[[#This Row],[Duration]]&lt;=30,"10 to 30 min",Call_Center[[#This Row],[Duration]]&lt;=60,"30 to 60 min",Call_Center[[#This Row],[Duration]]&lt;=120,"1 to 2 hours",TRUE,"More than 2 hours")</f>
        <v>1 to 2 hours</v>
      </c>
      <c r="K110">
        <f>ROUND(Call_Center[[#This Row],[Satisfaction Rating]],0)</f>
        <v>3</v>
      </c>
    </row>
    <row r="111" spans="1:11" x14ac:dyDescent="0.35">
      <c r="A111" s="21" t="s">
        <v>1094</v>
      </c>
      <c r="B111" s="18" t="s">
        <v>971</v>
      </c>
      <c r="C111" s="18">
        <v>80</v>
      </c>
      <c r="D111" s="19" t="s">
        <v>982</v>
      </c>
      <c r="E111" s="20">
        <v>44971</v>
      </c>
      <c r="F111" s="18">
        <v>155</v>
      </c>
      <c r="G111" s="22">
        <v>3.2</v>
      </c>
      <c r="H111">
        <f>IF(MONTH(Call_Center[[#This Row],[Date of Call]])&lt;=6,2023,2024)</f>
        <v>2023</v>
      </c>
      <c r="I111" t="str">
        <f>TEXT(Call_Center[[#This Row],[Date of Call]],"DDDD")</f>
        <v>Tuesday</v>
      </c>
      <c r="J111" t="str" cm="1">
        <f t="array" ref="J111">_xlfn.IFS(Call_Center[[#This Row],[Duration]]&lt;=10,"Under 10 mins",Call_Center[[#This Row],[Duration]]&lt;=30,"10 to 30 min",Call_Center[[#This Row],[Duration]]&lt;=60,"30 to 60 min",Call_Center[[#This Row],[Duration]]&lt;=120,"1 to 2 hours",TRUE,"More than 2 hours")</f>
        <v>1 to 2 hours</v>
      </c>
      <c r="K111">
        <f>ROUND(Call_Center[[#This Row],[Satisfaction Rating]],0)</f>
        <v>3</v>
      </c>
    </row>
    <row r="112" spans="1:11" x14ac:dyDescent="0.35">
      <c r="A112" s="21" t="s">
        <v>1095</v>
      </c>
      <c r="B112" s="18" t="s">
        <v>969</v>
      </c>
      <c r="C112" s="18">
        <v>95</v>
      </c>
      <c r="D112" s="19" t="s">
        <v>972</v>
      </c>
      <c r="E112" s="20">
        <v>44972</v>
      </c>
      <c r="F112" s="18">
        <v>120</v>
      </c>
      <c r="G112" s="22">
        <v>4.8</v>
      </c>
      <c r="H112">
        <f>IF(MONTH(Call_Center[[#This Row],[Date of Call]])&lt;=6,2023,2024)</f>
        <v>2023</v>
      </c>
      <c r="I112" t="str">
        <f>TEXT(Call_Center[[#This Row],[Date of Call]],"DDDD")</f>
        <v>Wednesday</v>
      </c>
      <c r="J112" t="str" cm="1">
        <f t="array" ref="J112">_xlfn.IFS(Call_Center[[#This Row],[Duration]]&lt;=10,"Under 10 mins",Call_Center[[#This Row],[Duration]]&lt;=30,"10 to 30 min",Call_Center[[#This Row],[Duration]]&lt;=60,"30 to 60 min",Call_Center[[#This Row],[Duration]]&lt;=120,"1 to 2 hours",TRUE,"More than 2 hours")</f>
        <v>1 to 2 hours</v>
      </c>
      <c r="K112">
        <f>ROUND(Call_Center[[#This Row],[Satisfaction Rating]],0)</f>
        <v>5</v>
      </c>
    </row>
    <row r="113" spans="1:11" x14ac:dyDescent="0.35">
      <c r="A113" s="21" t="s">
        <v>1096</v>
      </c>
      <c r="B113" s="18" t="s">
        <v>1000</v>
      </c>
      <c r="C113" s="18">
        <v>30</v>
      </c>
      <c r="D113" s="19" t="s">
        <v>986</v>
      </c>
      <c r="E113" s="20">
        <v>44972</v>
      </c>
      <c r="F113" s="18">
        <v>105</v>
      </c>
      <c r="G113" s="22">
        <v>3.6</v>
      </c>
      <c r="H113">
        <f>IF(MONTH(Call_Center[[#This Row],[Date of Call]])&lt;=6,2023,2024)</f>
        <v>2023</v>
      </c>
      <c r="I113" t="str">
        <f>TEXT(Call_Center[[#This Row],[Date of Call]],"DDDD")</f>
        <v>Wednesday</v>
      </c>
      <c r="J113" t="str" cm="1">
        <f t="array" ref="J113">_xlfn.IFS(Call_Center[[#This Row],[Duration]]&lt;=10,"Under 10 mins",Call_Center[[#This Row],[Duration]]&lt;=30,"10 to 30 min",Call_Center[[#This Row],[Duration]]&lt;=60,"30 to 60 min",Call_Center[[#This Row],[Duration]]&lt;=120,"1 to 2 hours",TRUE,"More than 2 hours")</f>
        <v>10 to 30 min</v>
      </c>
      <c r="K113">
        <f>ROUND(Call_Center[[#This Row],[Satisfaction Rating]],0)</f>
        <v>4</v>
      </c>
    </row>
    <row r="114" spans="1:11" x14ac:dyDescent="0.35">
      <c r="A114" s="21" t="s">
        <v>1097</v>
      </c>
      <c r="B114" s="18" t="s">
        <v>976</v>
      </c>
      <c r="C114" s="18">
        <v>19</v>
      </c>
      <c r="D114" s="19" t="s">
        <v>977</v>
      </c>
      <c r="E114" s="20">
        <v>44972</v>
      </c>
      <c r="F114" s="18">
        <v>28</v>
      </c>
      <c r="G114" s="22">
        <v>4.9000000000000004</v>
      </c>
      <c r="H114">
        <f>IF(MONTH(Call_Center[[#This Row],[Date of Call]])&lt;=6,2023,2024)</f>
        <v>2023</v>
      </c>
      <c r="I114" t="str">
        <f>TEXT(Call_Center[[#This Row],[Date of Call]],"DDDD")</f>
        <v>Wednesday</v>
      </c>
      <c r="J114" t="str" cm="1">
        <f t="array" ref="J114">_xlfn.IFS(Call_Center[[#This Row],[Duration]]&lt;=10,"Under 10 mins",Call_Center[[#This Row],[Duration]]&lt;=30,"10 to 30 min",Call_Center[[#This Row],[Duration]]&lt;=60,"30 to 60 min",Call_Center[[#This Row],[Duration]]&lt;=120,"1 to 2 hours",TRUE,"More than 2 hours")</f>
        <v>10 to 30 min</v>
      </c>
      <c r="K114">
        <f>ROUND(Call_Center[[#This Row],[Satisfaction Rating]],0)</f>
        <v>5</v>
      </c>
    </row>
    <row r="115" spans="1:11" x14ac:dyDescent="0.35">
      <c r="A115" s="21" t="s">
        <v>1098</v>
      </c>
      <c r="B115" s="18" t="s">
        <v>985</v>
      </c>
      <c r="C115" s="18">
        <v>38</v>
      </c>
      <c r="D115" s="19" t="s">
        <v>982</v>
      </c>
      <c r="E115" s="20">
        <v>44972</v>
      </c>
      <c r="F115" s="18">
        <v>100</v>
      </c>
      <c r="G115" s="22">
        <v>4.8</v>
      </c>
      <c r="H115">
        <f>IF(MONTH(Call_Center[[#This Row],[Date of Call]])&lt;=6,2023,2024)</f>
        <v>2023</v>
      </c>
      <c r="I115" t="str">
        <f>TEXT(Call_Center[[#This Row],[Date of Call]],"DDDD")</f>
        <v>Wednesday</v>
      </c>
      <c r="J115" t="str" cm="1">
        <f t="array" ref="J115">_xlfn.IFS(Call_Center[[#This Row],[Duration]]&lt;=10,"Under 10 mins",Call_Center[[#This Row],[Duration]]&lt;=30,"10 to 30 min",Call_Center[[#This Row],[Duration]]&lt;=60,"30 to 60 min",Call_Center[[#This Row],[Duration]]&lt;=120,"1 to 2 hours",TRUE,"More than 2 hours")</f>
        <v>30 to 60 min</v>
      </c>
      <c r="K115">
        <f>ROUND(Call_Center[[#This Row],[Satisfaction Rating]],0)</f>
        <v>5</v>
      </c>
    </row>
    <row r="116" spans="1:11" x14ac:dyDescent="0.35">
      <c r="A116" s="21" t="s">
        <v>1099</v>
      </c>
      <c r="B116" s="18" t="s">
        <v>989</v>
      </c>
      <c r="C116" s="18">
        <v>55</v>
      </c>
      <c r="D116" s="19" t="s">
        <v>977</v>
      </c>
      <c r="E116" s="20">
        <v>44972</v>
      </c>
      <c r="F116" s="18">
        <v>23</v>
      </c>
      <c r="G116" s="22">
        <v>3.6</v>
      </c>
      <c r="H116">
        <f>IF(MONTH(Call_Center[[#This Row],[Date of Call]])&lt;=6,2023,2024)</f>
        <v>2023</v>
      </c>
      <c r="I116" t="str">
        <f>TEXT(Call_Center[[#This Row],[Date of Call]],"DDDD")</f>
        <v>Wednesday</v>
      </c>
      <c r="J116" t="str" cm="1">
        <f t="array" ref="J116">_xlfn.IFS(Call_Center[[#This Row],[Duration]]&lt;=10,"Under 10 mins",Call_Center[[#This Row],[Duration]]&lt;=30,"10 to 30 min",Call_Center[[#This Row],[Duration]]&lt;=60,"30 to 60 min",Call_Center[[#This Row],[Duration]]&lt;=120,"1 to 2 hours",TRUE,"More than 2 hours")</f>
        <v>30 to 60 min</v>
      </c>
      <c r="K116">
        <f>ROUND(Call_Center[[#This Row],[Satisfaction Rating]],0)</f>
        <v>4</v>
      </c>
    </row>
    <row r="117" spans="1:11" x14ac:dyDescent="0.35">
      <c r="A117" s="21" t="s">
        <v>1100</v>
      </c>
      <c r="B117" s="18" t="s">
        <v>997</v>
      </c>
      <c r="C117" s="18">
        <v>27</v>
      </c>
      <c r="D117" s="19" t="s">
        <v>986</v>
      </c>
      <c r="E117" s="20">
        <v>44973</v>
      </c>
      <c r="F117" s="18">
        <v>70</v>
      </c>
      <c r="G117" s="22">
        <v>3.9</v>
      </c>
      <c r="H117">
        <f>IF(MONTH(Call_Center[[#This Row],[Date of Call]])&lt;=6,2023,2024)</f>
        <v>2023</v>
      </c>
      <c r="I117" t="str">
        <f>TEXT(Call_Center[[#This Row],[Date of Call]],"DDDD")</f>
        <v>Thursday</v>
      </c>
      <c r="J117" t="str" cm="1">
        <f t="array" ref="J117">_xlfn.IFS(Call_Center[[#This Row],[Duration]]&lt;=10,"Under 10 mins",Call_Center[[#This Row],[Duration]]&lt;=30,"10 to 30 min",Call_Center[[#This Row],[Duration]]&lt;=60,"30 to 60 min",Call_Center[[#This Row],[Duration]]&lt;=120,"1 to 2 hours",TRUE,"More than 2 hours")</f>
        <v>10 to 30 min</v>
      </c>
      <c r="K117">
        <f>ROUND(Call_Center[[#This Row],[Satisfaction Rating]],0)</f>
        <v>4</v>
      </c>
    </row>
    <row r="118" spans="1:11" x14ac:dyDescent="0.35">
      <c r="A118" s="21" t="s">
        <v>1101</v>
      </c>
      <c r="B118" s="18" t="s">
        <v>997</v>
      </c>
      <c r="C118" s="18">
        <v>32</v>
      </c>
      <c r="D118" s="19" t="s">
        <v>986</v>
      </c>
      <c r="E118" s="20">
        <v>44973</v>
      </c>
      <c r="F118" s="18">
        <v>37</v>
      </c>
      <c r="G118" s="22">
        <v>1.9</v>
      </c>
      <c r="H118">
        <f>IF(MONTH(Call_Center[[#This Row],[Date of Call]])&lt;=6,2023,2024)</f>
        <v>2023</v>
      </c>
      <c r="I118" t="str">
        <f>TEXT(Call_Center[[#This Row],[Date of Call]],"DDDD")</f>
        <v>Thursday</v>
      </c>
      <c r="J118" t="str" cm="1">
        <f t="array" ref="J118">_xlfn.IFS(Call_Center[[#This Row],[Duration]]&lt;=10,"Under 10 mins",Call_Center[[#This Row],[Duration]]&lt;=30,"10 to 30 min",Call_Center[[#This Row],[Duration]]&lt;=60,"30 to 60 min",Call_Center[[#This Row],[Duration]]&lt;=120,"1 to 2 hours",TRUE,"More than 2 hours")</f>
        <v>30 to 60 min</v>
      </c>
      <c r="K118">
        <f>ROUND(Call_Center[[#This Row],[Satisfaction Rating]],0)</f>
        <v>2</v>
      </c>
    </row>
    <row r="119" spans="1:11" x14ac:dyDescent="0.35">
      <c r="A119" s="21" t="s">
        <v>1102</v>
      </c>
      <c r="B119" s="18" t="s">
        <v>991</v>
      </c>
      <c r="C119" s="18">
        <v>116</v>
      </c>
      <c r="D119" s="19" t="s">
        <v>967</v>
      </c>
      <c r="E119" s="20">
        <v>44973</v>
      </c>
      <c r="F119" s="18">
        <v>140</v>
      </c>
      <c r="G119" s="22">
        <v>3.6</v>
      </c>
      <c r="H119">
        <f>IF(MONTH(Call_Center[[#This Row],[Date of Call]])&lt;=6,2023,2024)</f>
        <v>2023</v>
      </c>
      <c r="I119" t="str">
        <f>TEXT(Call_Center[[#This Row],[Date of Call]],"DDDD")</f>
        <v>Thursday</v>
      </c>
      <c r="J119" t="str" cm="1">
        <f t="array" ref="J119">_xlfn.IFS(Call_Center[[#This Row],[Duration]]&lt;=10,"Under 10 mins",Call_Center[[#This Row],[Duration]]&lt;=30,"10 to 30 min",Call_Center[[#This Row],[Duration]]&lt;=60,"30 to 60 min",Call_Center[[#This Row],[Duration]]&lt;=120,"1 to 2 hours",TRUE,"More than 2 hours")</f>
        <v>1 to 2 hours</v>
      </c>
      <c r="K119">
        <f>ROUND(Call_Center[[#This Row],[Satisfaction Rating]],0)</f>
        <v>4</v>
      </c>
    </row>
    <row r="120" spans="1:11" x14ac:dyDescent="0.35">
      <c r="A120" s="21" t="s">
        <v>1103</v>
      </c>
      <c r="B120" s="18" t="s">
        <v>966</v>
      </c>
      <c r="C120" s="18">
        <v>99</v>
      </c>
      <c r="D120" s="19" t="s">
        <v>972</v>
      </c>
      <c r="E120" s="20">
        <v>44973</v>
      </c>
      <c r="F120" s="18">
        <v>78</v>
      </c>
      <c r="G120" s="22">
        <v>4.0999999999999996</v>
      </c>
      <c r="H120">
        <f>IF(MONTH(Call_Center[[#This Row],[Date of Call]])&lt;=6,2023,2024)</f>
        <v>2023</v>
      </c>
      <c r="I120" t="str">
        <f>TEXT(Call_Center[[#This Row],[Date of Call]],"DDDD")</f>
        <v>Thursday</v>
      </c>
      <c r="J120" t="str" cm="1">
        <f t="array" ref="J120">_xlfn.IFS(Call_Center[[#This Row],[Duration]]&lt;=10,"Under 10 mins",Call_Center[[#This Row],[Duration]]&lt;=30,"10 to 30 min",Call_Center[[#This Row],[Duration]]&lt;=60,"30 to 60 min",Call_Center[[#This Row],[Duration]]&lt;=120,"1 to 2 hours",TRUE,"More than 2 hours")</f>
        <v>1 to 2 hours</v>
      </c>
      <c r="K120">
        <f>ROUND(Call_Center[[#This Row],[Satisfaction Rating]],0)</f>
        <v>4</v>
      </c>
    </row>
    <row r="121" spans="1:11" x14ac:dyDescent="0.35">
      <c r="A121" s="21" t="s">
        <v>1104</v>
      </c>
      <c r="B121" s="18" t="s">
        <v>969</v>
      </c>
      <c r="C121" s="18">
        <v>75</v>
      </c>
      <c r="D121" s="19" t="s">
        <v>986</v>
      </c>
      <c r="E121" s="20">
        <v>44974</v>
      </c>
      <c r="F121" s="18">
        <v>21</v>
      </c>
      <c r="G121" s="22">
        <v>4.2</v>
      </c>
      <c r="H121">
        <f>IF(MONTH(Call_Center[[#This Row],[Date of Call]])&lt;=6,2023,2024)</f>
        <v>2023</v>
      </c>
      <c r="I121" t="str">
        <f>TEXT(Call_Center[[#This Row],[Date of Call]],"DDDD")</f>
        <v>Friday</v>
      </c>
      <c r="J121" t="str" cm="1">
        <f t="array" ref="J121">_xlfn.IFS(Call_Center[[#This Row],[Duration]]&lt;=10,"Under 10 mins",Call_Center[[#This Row],[Duration]]&lt;=30,"10 to 30 min",Call_Center[[#This Row],[Duration]]&lt;=60,"30 to 60 min",Call_Center[[#This Row],[Duration]]&lt;=120,"1 to 2 hours",TRUE,"More than 2 hours")</f>
        <v>1 to 2 hours</v>
      </c>
      <c r="K121">
        <f>ROUND(Call_Center[[#This Row],[Satisfaction Rating]],0)</f>
        <v>4</v>
      </c>
    </row>
    <row r="122" spans="1:11" x14ac:dyDescent="0.35">
      <c r="A122" s="21" t="s">
        <v>1105</v>
      </c>
      <c r="B122" s="18" t="s">
        <v>971</v>
      </c>
      <c r="C122" s="18">
        <v>57</v>
      </c>
      <c r="D122" s="19" t="s">
        <v>967</v>
      </c>
      <c r="E122" s="20">
        <v>44974</v>
      </c>
      <c r="F122" s="18">
        <v>88</v>
      </c>
      <c r="G122" s="22">
        <v>4.3</v>
      </c>
      <c r="H122">
        <f>IF(MONTH(Call_Center[[#This Row],[Date of Call]])&lt;=6,2023,2024)</f>
        <v>2023</v>
      </c>
      <c r="I122" t="str">
        <f>TEXT(Call_Center[[#This Row],[Date of Call]],"DDDD")</f>
        <v>Friday</v>
      </c>
      <c r="J122" t="str" cm="1">
        <f t="array" ref="J122">_xlfn.IFS(Call_Center[[#This Row],[Duration]]&lt;=10,"Under 10 mins",Call_Center[[#This Row],[Duration]]&lt;=30,"10 to 30 min",Call_Center[[#This Row],[Duration]]&lt;=60,"30 to 60 min",Call_Center[[#This Row],[Duration]]&lt;=120,"1 to 2 hours",TRUE,"More than 2 hours")</f>
        <v>30 to 60 min</v>
      </c>
      <c r="K122">
        <f>ROUND(Call_Center[[#This Row],[Satisfaction Rating]],0)</f>
        <v>4</v>
      </c>
    </row>
    <row r="123" spans="1:11" x14ac:dyDescent="0.35">
      <c r="A123" s="21" t="s">
        <v>1106</v>
      </c>
      <c r="B123" s="18" t="s">
        <v>980</v>
      </c>
      <c r="C123" s="18">
        <v>155</v>
      </c>
      <c r="D123" s="19" t="s">
        <v>967</v>
      </c>
      <c r="E123" s="20">
        <v>44975</v>
      </c>
      <c r="F123" s="18">
        <v>180</v>
      </c>
      <c r="G123" s="22">
        <v>2.2000000000000002</v>
      </c>
      <c r="H123">
        <f>IF(MONTH(Call_Center[[#This Row],[Date of Call]])&lt;=6,2023,2024)</f>
        <v>2023</v>
      </c>
      <c r="I123" t="str">
        <f>TEXT(Call_Center[[#This Row],[Date of Call]],"DDDD")</f>
        <v>Saturday</v>
      </c>
      <c r="J123" t="str" cm="1">
        <f t="array" ref="J123">_xlfn.IFS(Call_Center[[#This Row],[Duration]]&lt;=10,"Under 10 mins",Call_Center[[#This Row],[Duration]]&lt;=30,"10 to 30 min",Call_Center[[#This Row],[Duration]]&lt;=60,"30 to 60 min",Call_Center[[#This Row],[Duration]]&lt;=120,"1 to 2 hours",TRUE,"More than 2 hours")</f>
        <v>More than 2 hours</v>
      </c>
      <c r="K123">
        <f>ROUND(Call_Center[[#This Row],[Satisfaction Rating]],0)</f>
        <v>2</v>
      </c>
    </row>
    <row r="124" spans="1:11" x14ac:dyDescent="0.35">
      <c r="A124" s="21" t="s">
        <v>1107</v>
      </c>
      <c r="B124" s="18" t="s">
        <v>966</v>
      </c>
      <c r="C124" s="18">
        <v>68</v>
      </c>
      <c r="D124" s="19" t="s">
        <v>972</v>
      </c>
      <c r="E124" s="20">
        <v>44975</v>
      </c>
      <c r="F124" s="18">
        <v>22</v>
      </c>
      <c r="G124" s="22">
        <v>3.3</v>
      </c>
      <c r="H124">
        <f>IF(MONTH(Call_Center[[#This Row],[Date of Call]])&lt;=6,2023,2024)</f>
        <v>2023</v>
      </c>
      <c r="I124" t="str">
        <f>TEXT(Call_Center[[#This Row],[Date of Call]],"DDDD")</f>
        <v>Saturday</v>
      </c>
      <c r="J124" t="str" cm="1">
        <f t="array" ref="J124">_xlfn.IFS(Call_Center[[#This Row],[Duration]]&lt;=10,"Under 10 mins",Call_Center[[#This Row],[Duration]]&lt;=30,"10 to 30 min",Call_Center[[#This Row],[Duration]]&lt;=60,"30 to 60 min",Call_Center[[#This Row],[Duration]]&lt;=120,"1 to 2 hours",TRUE,"More than 2 hours")</f>
        <v>1 to 2 hours</v>
      </c>
      <c r="K124">
        <f>ROUND(Call_Center[[#This Row],[Satisfaction Rating]],0)</f>
        <v>3</v>
      </c>
    </row>
    <row r="125" spans="1:11" x14ac:dyDescent="0.35">
      <c r="A125" s="21" t="s">
        <v>1108</v>
      </c>
      <c r="B125" s="18" t="s">
        <v>985</v>
      </c>
      <c r="C125" s="18">
        <v>95</v>
      </c>
      <c r="D125" s="19" t="s">
        <v>972</v>
      </c>
      <c r="E125" s="20">
        <v>44975</v>
      </c>
      <c r="F125" s="18">
        <v>52</v>
      </c>
      <c r="G125" s="22">
        <v>4.8</v>
      </c>
      <c r="H125">
        <f>IF(MONTH(Call_Center[[#This Row],[Date of Call]])&lt;=6,2023,2024)</f>
        <v>2023</v>
      </c>
      <c r="I125" t="str">
        <f>TEXT(Call_Center[[#This Row],[Date of Call]],"DDDD")</f>
        <v>Saturday</v>
      </c>
      <c r="J125" t="str" cm="1">
        <f t="array" ref="J125">_xlfn.IFS(Call_Center[[#This Row],[Duration]]&lt;=10,"Under 10 mins",Call_Center[[#This Row],[Duration]]&lt;=30,"10 to 30 min",Call_Center[[#This Row],[Duration]]&lt;=60,"30 to 60 min",Call_Center[[#This Row],[Duration]]&lt;=120,"1 to 2 hours",TRUE,"More than 2 hours")</f>
        <v>1 to 2 hours</v>
      </c>
      <c r="K125">
        <f>ROUND(Call_Center[[#This Row],[Satisfaction Rating]],0)</f>
        <v>5</v>
      </c>
    </row>
    <row r="126" spans="1:11" x14ac:dyDescent="0.35">
      <c r="A126" s="21" t="s">
        <v>1109</v>
      </c>
      <c r="B126" s="18" t="s">
        <v>1005</v>
      </c>
      <c r="C126" s="18">
        <v>65</v>
      </c>
      <c r="D126" s="19" t="s">
        <v>967</v>
      </c>
      <c r="E126" s="20">
        <v>44976</v>
      </c>
      <c r="F126" s="18">
        <v>80</v>
      </c>
      <c r="G126" s="22">
        <v>4</v>
      </c>
      <c r="H126">
        <f>IF(MONTH(Call_Center[[#This Row],[Date of Call]])&lt;=6,2023,2024)</f>
        <v>2023</v>
      </c>
      <c r="I126" t="str">
        <f>TEXT(Call_Center[[#This Row],[Date of Call]],"DDDD")</f>
        <v>Sunday</v>
      </c>
      <c r="J126" t="str" cm="1">
        <f t="array" ref="J126">_xlfn.IFS(Call_Center[[#This Row],[Duration]]&lt;=10,"Under 10 mins",Call_Center[[#This Row],[Duration]]&lt;=30,"10 to 30 min",Call_Center[[#This Row],[Duration]]&lt;=60,"30 to 60 min",Call_Center[[#This Row],[Duration]]&lt;=120,"1 to 2 hours",TRUE,"More than 2 hours")</f>
        <v>1 to 2 hours</v>
      </c>
      <c r="K126">
        <f>ROUND(Call_Center[[#This Row],[Satisfaction Rating]],0)</f>
        <v>4</v>
      </c>
    </row>
    <row r="127" spans="1:11" x14ac:dyDescent="0.35">
      <c r="A127" s="21" t="s">
        <v>1110</v>
      </c>
      <c r="B127" s="18" t="s">
        <v>976</v>
      </c>
      <c r="C127" s="18">
        <v>114</v>
      </c>
      <c r="D127" s="19" t="s">
        <v>977</v>
      </c>
      <c r="E127" s="20">
        <v>44976</v>
      </c>
      <c r="F127" s="18">
        <v>54</v>
      </c>
      <c r="G127" s="22">
        <v>1.1000000000000001</v>
      </c>
      <c r="H127">
        <f>IF(MONTH(Call_Center[[#This Row],[Date of Call]])&lt;=6,2023,2024)</f>
        <v>2023</v>
      </c>
      <c r="I127" t="str">
        <f>TEXT(Call_Center[[#This Row],[Date of Call]],"DDDD")</f>
        <v>Sunday</v>
      </c>
      <c r="J127" t="str" cm="1">
        <f t="array" ref="J127">_xlfn.IFS(Call_Center[[#This Row],[Duration]]&lt;=10,"Under 10 mins",Call_Center[[#This Row],[Duration]]&lt;=30,"10 to 30 min",Call_Center[[#This Row],[Duration]]&lt;=60,"30 to 60 min",Call_Center[[#This Row],[Duration]]&lt;=120,"1 to 2 hours",TRUE,"More than 2 hours")</f>
        <v>1 to 2 hours</v>
      </c>
      <c r="K127">
        <f>ROUND(Call_Center[[#This Row],[Satisfaction Rating]],0)</f>
        <v>1</v>
      </c>
    </row>
    <row r="128" spans="1:11" x14ac:dyDescent="0.35">
      <c r="A128" s="21" t="s">
        <v>1111</v>
      </c>
      <c r="B128" s="18" t="s">
        <v>969</v>
      </c>
      <c r="C128" s="18">
        <v>155</v>
      </c>
      <c r="D128" s="19" t="s">
        <v>977</v>
      </c>
      <c r="E128" s="20">
        <v>44977</v>
      </c>
      <c r="F128" s="18">
        <v>80</v>
      </c>
      <c r="G128" s="22">
        <v>3.9</v>
      </c>
      <c r="H128">
        <f>IF(MONTH(Call_Center[[#This Row],[Date of Call]])&lt;=6,2023,2024)</f>
        <v>2023</v>
      </c>
      <c r="I128" t="str">
        <f>TEXT(Call_Center[[#This Row],[Date of Call]],"DDDD")</f>
        <v>Monday</v>
      </c>
      <c r="J128" t="str" cm="1">
        <f t="array" ref="J128">_xlfn.IFS(Call_Center[[#This Row],[Duration]]&lt;=10,"Under 10 mins",Call_Center[[#This Row],[Duration]]&lt;=30,"10 to 30 min",Call_Center[[#This Row],[Duration]]&lt;=60,"30 to 60 min",Call_Center[[#This Row],[Duration]]&lt;=120,"1 to 2 hours",TRUE,"More than 2 hours")</f>
        <v>More than 2 hours</v>
      </c>
      <c r="K128">
        <f>ROUND(Call_Center[[#This Row],[Satisfaction Rating]],0)</f>
        <v>4</v>
      </c>
    </row>
    <row r="129" spans="1:11" x14ac:dyDescent="0.35">
      <c r="A129" s="21" t="s">
        <v>1112</v>
      </c>
      <c r="B129" s="18" t="s">
        <v>1005</v>
      </c>
      <c r="C129" s="18">
        <v>114</v>
      </c>
      <c r="D129" s="19" t="s">
        <v>967</v>
      </c>
      <c r="E129" s="20">
        <v>44978</v>
      </c>
      <c r="F129" s="18">
        <v>120</v>
      </c>
      <c r="G129" s="22">
        <v>1.8</v>
      </c>
      <c r="H129">
        <f>IF(MONTH(Call_Center[[#This Row],[Date of Call]])&lt;=6,2023,2024)</f>
        <v>2023</v>
      </c>
      <c r="I129" t="str">
        <f>TEXT(Call_Center[[#This Row],[Date of Call]],"DDDD")</f>
        <v>Tuesday</v>
      </c>
      <c r="J129" t="str" cm="1">
        <f t="array" ref="J129">_xlfn.IFS(Call_Center[[#This Row],[Duration]]&lt;=10,"Under 10 mins",Call_Center[[#This Row],[Duration]]&lt;=30,"10 to 30 min",Call_Center[[#This Row],[Duration]]&lt;=60,"30 to 60 min",Call_Center[[#This Row],[Duration]]&lt;=120,"1 to 2 hours",TRUE,"More than 2 hours")</f>
        <v>1 to 2 hours</v>
      </c>
      <c r="K129">
        <f>ROUND(Call_Center[[#This Row],[Satisfaction Rating]],0)</f>
        <v>2</v>
      </c>
    </row>
    <row r="130" spans="1:11" x14ac:dyDescent="0.35">
      <c r="A130" s="21" t="s">
        <v>1113</v>
      </c>
      <c r="B130" s="18" t="s">
        <v>980</v>
      </c>
      <c r="C130" s="18">
        <v>130</v>
      </c>
      <c r="D130" s="19" t="s">
        <v>982</v>
      </c>
      <c r="E130" s="20">
        <v>44978</v>
      </c>
      <c r="F130" s="18">
        <v>150</v>
      </c>
      <c r="G130" s="22">
        <v>1</v>
      </c>
      <c r="H130">
        <f>IF(MONTH(Call_Center[[#This Row],[Date of Call]])&lt;=6,2023,2024)</f>
        <v>2023</v>
      </c>
      <c r="I130" t="str">
        <f>TEXT(Call_Center[[#This Row],[Date of Call]],"DDDD")</f>
        <v>Tuesday</v>
      </c>
      <c r="J130" t="str" cm="1">
        <f t="array" ref="J130">_xlfn.IFS(Call_Center[[#This Row],[Duration]]&lt;=10,"Under 10 mins",Call_Center[[#This Row],[Duration]]&lt;=30,"10 to 30 min",Call_Center[[#This Row],[Duration]]&lt;=60,"30 to 60 min",Call_Center[[#This Row],[Duration]]&lt;=120,"1 to 2 hours",TRUE,"More than 2 hours")</f>
        <v>More than 2 hours</v>
      </c>
      <c r="K130">
        <f>ROUND(Call_Center[[#This Row],[Satisfaction Rating]],0)</f>
        <v>1</v>
      </c>
    </row>
    <row r="131" spans="1:11" x14ac:dyDescent="0.35">
      <c r="A131" s="21" t="s">
        <v>1114</v>
      </c>
      <c r="B131" s="18" t="s">
        <v>969</v>
      </c>
      <c r="C131" s="18">
        <v>89</v>
      </c>
      <c r="D131" s="19" t="s">
        <v>967</v>
      </c>
      <c r="E131" s="20">
        <v>44978</v>
      </c>
      <c r="F131" s="18">
        <v>90</v>
      </c>
      <c r="G131" s="22">
        <v>4.3</v>
      </c>
      <c r="H131">
        <f>IF(MONTH(Call_Center[[#This Row],[Date of Call]])&lt;=6,2023,2024)</f>
        <v>2023</v>
      </c>
      <c r="I131" t="str">
        <f>TEXT(Call_Center[[#This Row],[Date of Call]],"DDDD")</f>
        <v>Tuesday</v>
      </c>
      <c r="J131" t="str" cm="1">
        <f t="array" ref="J131">_xlfn.IFS(Call_Center[[#This Row],[Duration]]&lt;=10,"Under 10 mins",Call_Center[[#This Row],[Duration]]&lt;=30,"10 to 30 min",Call_Center[[#This Row],[Duration]]&lt;=60,"30 to 60 min",Call_Center[[#This Row],[Duration]]&lt;=120,"1 to 2 hours",TRUE,"More than 2 hours")</f>
        <v>1 to 2 hours</v>
      </c>
      <c r="K131">
        <f>ROUND(Call_Center[[#This Row],[Satisfaction Rating]],0)</f>
        <v>4</v>
      </c>
    </row>
    <row r="132" spans="1:11" x14ac:dyDescent="0.35">
      <c r="A132" s="21" t="s">
        <v>1115</v>
      </c>
      <c r="B132" s="18" t="s">
        <v>1018</v>
      </c>
      <c r="C132" s="18">
        <v>61</v>
      </c>
      <c r="D132" s="19" t="s">
        <v>986</v>
      </c>
      <c r="E132" s="20">
        <v>44979</v>
      </c>
      <c r="F132" s="18">
        <v>140</v>
      </c>
      <c r="G132" s="22">
        <v>3.4</v>
      </c>
      <c r="H132">
        <f>IF(MONTH(Call_Center[[#This Row],[Date of Call]])&lt;=6,2023,2024)</f>
        <v>2023</v>
      </c>
      <c r="I132" t="str">
        <f>TEXT(Call_Center[[#This Row],[Date of Call]],"DDDD")</f>
        <v>Wednesday</v>
      </c>
      <c r="J132" t="str" cm="1">
        <f t="array" ref="J132">_xlfn.IFS(Call_Center[[#This Row],[Duration]]&lt;=10,"Under 10 mins",Call_Center[[#This Row],[Duration]]&lt;=30,"10 to 30 min",Call_Center[[#This Row],[Duration]]&lt;=60,"30 to 60 min",Call_Center[[#This Row],[Duration]]&lt;=120,"1 to 2 hours",TRUE,"More than 2 hours")</f>
        <v>1 to 2 hours</v>
      </c>
      <c r="K132">
        <f>ROUND(Call_Center[[#This Row],[Satisfaction Rating]],0)</f>
        <v>3</v>
      </c>
    </row>
    <row r="133" spans="1:11" x14ac:dyDescent="0.35">
      <c r="A133" s="21" t="s">
        <v>1116</v>
      </c>
      <c r="B133" s="18" t="s">
        <v>985</v>
      </c>
      <c r="C133" s="18">
        <v>154</v>
      </c>
      <c r="D133" s="19" t="s">
        <v>977</v>
      </c>
      <c r="E133" s="20">
        <v>44979</v>
      </c>
      <c r="F133" s="18">
        <v>22</v>
      </c>
      <c r="G133" s="22">
        <v>3.4</v>
      </c>
      <c r="H133">
        <f>IF(MONTH(Call_Center[[#This Row],[Date of Call]])&lt;=6,2023,2024)</f>
        <v>2023</v>
      </c>
      <c r="I133" t="str">
        <f>TEXT(Call_Center[[#This Row],[Date of Call]],"DDDD")</f>
        <v>Wednesday</v>
      </c>
      <c r="J133" t="str" cm="1">
        <f t="array" ref="J133">_xlfn.IFS(Call_Center[[#This Row],[Duration]]&lt;=10,"Under 10 mins",Call_Center[[#This Row],[Duration]]&lt;=30,"10 to 30 min",Call_Center[[#This Row],[Duration]]&lt;=60,"30 to 60 min",Call_Center[[#This Row],[Duration]]&lt;=120,"1 to 2 hours",TRUE,"More than 2 hours")</f>
        <v>More than 2 hours</v>
      </c>
      <c r="K133">
        <f>ROUND(Call_Center[[#This Row],[Satisfaction Rating]],0)</f>
        <v>3</v>
      </c>
    </row>
    <row r="134" spans="1:11" x14ac:dyDescent="0.35">
      <c r="A134" s="21" t="s">
        <v>1117</v>
      </c>
      <c r="B134" s="18" t="s">
        <v>1005</v>
      </c>
      <c r="C134" s="18">
        <v>115</v>
      </c>
      <c r="D134" s="19" t="s">
        <v>982</v>
      </c>
      <c r="E134" s="20">
        <v>44980</v>
      </c>
      <c r="F134" s="18">
        <v>150</v>
      </c>
      <c r="G134" s="22">
        <v>4.0999999999999996</v>
      </c>
      <c r="H134">
        <f>IF(MONTH(Call_Center[[#This Row],[Date of Call]])&lt;=6,2023,2024)</f>
        <v>2023</v>
      </c>
      <c r="I134" t="str">
        <f>TEXT(Call_Center[[#This Row],[Date of Call]],"DDDD")</f>
        <v>Thursday</v>
      </c>
      <c r="J134" t="str" cm="1">
        <f t="array" ref="J134">_xlfn.IFS(Call_Center[[#This Row],[Duration]]&lt;=10,"Under 10 mins",Call_Center[[#This Row],[Duration]]&lt;=30,"10 to 30 min",Call_Center[[#This Row],[Duration]]&lt;=60,"30 to 60 min",Call_Center[[#This Row],[Duration]]&lt;=120,"1 to 2 hours",TRUE,"More than 2 hours")</f>
        <v>1 to 2 hours</v>
      </c>
      <c r="K134">
        <f>ROUND(Call_Center[[#This Row],[Satisfaction Rating]],0)</f>
        <v>4</v>
      </c>
    </row>
    <row r="135" spans="1:11" x14ac:dyDescent="0.35">
      <c r="A135" s="21" t="s">
        <v>1118</v>
      </c>
      <c r="B135" s="18" t="s">
        <v>1038</v>
      </c>
      <c r="C135" s="18">
        <v>138</v>
      </c>
      <c r="D135" s="19" t="s">
        <v>972</v>
      </c>
      <c r="E135" s="20">
        <v>44981</v>
      </c>
      <c r="F135" s="18">
        <v>35</v>
      </c>
      <c r="G135" s="22">
        <v>4.8</v>
      </c>
      <c r="H135">
        <f>IF(MONTH(Call_Center[[#This Row],[Date of Call]])&lt;=6,2023,2024)</f>
        <v>2023</v>
      </c>
      <c r="I135" t="str">
        <f>TEXT(Call_Center[[#This Row],[Date of Call]],"DDDD")</f>
        <v>Friday</v>
      </c>
      <c r="J135" t="str" cm="1">
        <f t="array" ref="J135">_xlfn.IFS(Call_Center[[#This Row],[Duration]]&lt;=10,"Under 10 mins",Call_Center[[#This Row],[Duration]]&lt;=30,"10 to 30 min",Call_Center[[#This Row],[Duration]]&lt;=60,"30 to 60 min",Call_Center[[#This Row],[Duration]]&lt;=120,"1 to 2 hours",TRUE,"More than 2 hours")</f>
        <v>More than 2 hours</v>
      </c>
      <c r="K135">
        <f>ROUND(Call_Center[[#This Row],[Satisfaction Rating]],0)</f>
        <v>5</v>
      </c>
    </row>
    <row r="136" spans="1:11" x14ac:dyDescent="0.35">
      <c r="A136" s="21" t="s">
        <v>1119</v>
      </c>
      <c r="B136" s="18" t="s">
        <v>974</v>
      </c>
      <c r="C136" s="18">
        <v>153</v>
      </c>
      <c r="D136" s="19" t="s">
        <v>967</v>
      </c>
      <c r="E136" s="20">
        <v>44981</v>
      </c>
      <c r="F136" s="18">
        <v>200</v>
      </c>
      <c r="G136" s="22">
        <v>2</v>
      </c>
      <c r="H136">
        <f>IF(MONTH(Call_Center[[#This Row],[Date of Call]])&lt;=6,2023,2024)</f>
        <v>2023</v>
      </c>
      <c r="I136" t="str">
        <f>TEXT(Call_Center[[#This Row],[Date of Call]],"DDDD")</f>
        <v>Friday</v>
      </c>
      <c r="J136" t="str" cm="1">
        <f t="array" ref="J136">_xlfn.IFS(Call_Center[[#This Row],[Duration]]&lt;=10,"Under 10 mins",Call_Center[[#This Row],[Duration]]&lt;=30,"10 to 30 min",Call_Center[[#This Row],[Duration]]&lt;=60,"30 to 60 min",Call_Center[[#This Row],[Duration]]&lt;=120,"1 to 2 hours",TRUE,"More than 2 hours")</f>
        <v>More than 2 hours</v>
      </c>
      <c r="K136">
        <f>ROUND(Call_Center[[#This Row],[Satisfaction Rating]],0)</f>
        <v>2</v>
      </c>
    </row>
    <row r="137" spans="1:11" x14ac:dyDescent="0.35">
      <c r="A137" s="21" t="s">
        <v>1120</v>
      </c>
      <c r="B137" s="18" t="s">
        <v>1005</v>
      </c>
      <c r="C137" s="18">
        <v>61</v>
      </c>
      <c r="D137" s="19" t="s">
        <v>986</v>
      </c>
      <c r="E137" s="20">
        <v>44982</v>
      </c>
      <c r="F137" s="18">
        <v>150</v>
      </c>
      <c r="G137" s="22">
        <v>4.5999999999999996</v>
      </c>
      <c r="H137">
        <f>IF(MONTH(Call_Center[[#This Row],[Date of Call]])&lt;=6,2023,2024)</f>
        <v>2023</v>
      </c>
      <c r="I137" t="str">
        <f>TEXT(Call_Center[[#This Row],[Date of Call]],"DDDD")</f>
        <v>Saturday</v>
      </c>
      <c r="J137" t="str" cm="1">
        <f t="array" ref="J137">_xlfn.IFS(Call_Center[[#This Row],[Duration]]&lt;=10,"Under 10 mins",Call_Center[[#This Row],[Duration]]&lt;=30,"10 to 30 min",Call_Center[[#This Row],[Duration]]&lt;=60,"30 to 60 min",Call_Center[[#This Row],[Duration]]&lt;=120,"1 to 2 hours",TRUE,"More than 2 hours")</f>
        <v>1 to 2 hours</v>
      </c>
      <c r="K137">
        <f>ROUND(Call_Center[[#This Row],[Satisfaction Rating]],0)</f>
        <v>5</v>
      </c>
    </row>
    <row r="138" spans="1:11" x14ac:dyDescent="0.35">
      <c r="A138" s="21" t="s">
        <v>1121</v>
      </c>
      <c r="B138" s="18" t="s">
        <v>997</v>
      </c>
      <c r="C138" s="18">
        <v>62</v>
      </c>
      <c r="D138" s="19" t="s">
        <v>967</v>
      </c>
      <c r="E138" s="20">
        <v>44982</v>
      </c>
      <c r="F138" s="18">
        <v>21</v>
      </c>
      <c r="G138" s="22">
        <v>2.6</v>
      </c>
      <c r="H138">
        <f>IF(MONTH(Call_Center[[#This Row],[Date of Call]])&lt;=6,2023,2024)</f>
        <v>2023</v>
      </c>
      <c r="I138" t="str">
        <f>TEXT(Call_Center[[#This Row],[Date of Call]],"DDDD")</f>
        <v>Saturday</v>
      </c>
      <c r="J138" t="str" cm="1">
        <f t="array" ref="J138">_xlfn.IFS(Call_Center[[#This Row],[Duration]]&lt;=10,"Under 10 mins",Call_Center[[#This Row],[Duration]]&lt;=30,"10 to 30 min",Call_Center[[#This Row],[Duration]]&lt;=60,"30 to 60 min",Call_Center[[#This Row],[Duration]]&lt;=120,"1 to 2 hours",TRUE,"More than 2 hours")</f>
        <v>1 to 2 hours</v>
      </c>
      <c r="K138">
        <f>ROUND(Call_Center[[#This Row],[Satisfaction Rating]],0)</f>
        <v>3</v>
      </c>
    </row>
    <row r="139" spans="1:11" x14ac:dyDescent="0.35">
      <c r="A139" s="21" t="s">
        <v>1122</v>
      </c>
      <c r="B139" s="18" t="s">
        <v>1018</v>
      </c>
      <c r="C139" s="18">
        <v>151</v>
      </c>
      <c r="D139" s="19" t="s">
        <v>982</v>
      </c>
      <c r="E139" s="20">
        <v>44983</v>
      </c>
      <c r="F139" s="18">
        <v>46</v>
      </c>
      <c r="G139" s="22">
        <v>4.9000000000000004</v>
      </c>
      <c r="H139">
        <f>IF(MONTH(Call_Center[[#This Row],[Date of Call]])&lt;=6,2023,2024)</f>
        <v>2023</v>
      </c>
      <c r="I139" t="str">
        <f>TEXT(Call_Center[[#This Row],[Date of Call]],"DDDD")</f>
        <v>Sunday</v>
      </c>
      <c r="J139" t="str" cm="1">
        <f t="array" ref="J139">_xlfn.IFS(Call_Center[[#This Row],[Duration]]&lt;=10,"Under 10 mins",Call_Center[[#This Row],[Duration]]&lt;=30,"10 to 30 min",Call_Center[[#This Row],[Duration]]&lt;=60,"30 to 60 min",Call_Center[[#This Row],[Duration]]&lt;=120,"1 to 2 hours",TRUE,"More than 2 hours")</f>
        <v>More than 2 hours</v>
      </c>
      <c r="K139">
        <f>ROUND(Call_Center[[#This Row],[Satisfaction Rating]],0)</f>
        <v>5</v>
      </c>
    </row>
    <row r="140" spans="1:11" x14ac:dyDescent="0.35">
      <c r="A140" s="21" t="s">
        <v>1123</v>
      </c>
      <c r="B140" s="18" t="s">
        <v>1008</v>
      </c>
      <c r="C140" s="18">
        <v>102</v>
      </c>
      <c r="D140" s="19" t="s">
        <v>977</v>
      </c>
      <c r="E140" s="20">
        <v>44983</v>
      </c>
      <c r="F140" s="18">
        <v>165</v>
      </c>
      <c r="G140" s="22">
        <v>2.7</v>
      </c>
      <c r="H140">
        <f>IF(MONTH(Call_Center[[#This Row],[Date of Call]])&lt;=6,2023,2024)</f>
        <v>2023</v>
      </c>
      <c r="I140" t="str">
        <f>TEXT(Call_Center[[#This Row],[Date of Call]],"DDDD")</f>
        <v>Sunday</v>
      </c>
      <c r="J140" t="str" cm="1">
        <f t="array" ref="J140">_xlfn.IFS(Call_Center[[#This Row],[Duration]]&lt;=10,"Under 10 mins",Call_Center[[#This Row],[Duration]]&lt;=30,"10 to 30 min",Call_Center[[#This Row],[Duration]]&lt;=60,"30 to 60 min",Call_Center[[#This Row],[Duration]]&lt;=120,"1 to 2 hours",TRUE,"More than 2 hours")</f>
        <v>1 to 2 hours</v>
      </c>
      <c r="K140">
        <f>ROUND(Call_Center[[#This Row],[Satisfaction Rating]],0)</f>
        <v>3</v>
      </c>
    </row>
    <row r="141" spans="1:11" x14ac:dyDescent="0.35">
      <c r="A141" s="21" t="s">
        <v>1124</v>
      </c>
      <c r="B141" s="18" t="s">
        <v>1000</v>
      </c>
      <c r="C141" s="18">
        <v>64</v>
      </c>
      <c r="D141" s="19" t="s">
        <v>967</v>
      </c>
      <c r="E141" s="20">
        <v>44983</v>
      </c>
      <c r="F141" s="18">
        <v>84</v>
      </c>
      <c r="G141" s="22">
        <v>4.0999999999999996</v>
      </c>
      <c r="H141">
        <f>IF(MONTH(Call_Center[[#This Row],[Date of Call]])&lt;=6,2023,2024)</f>
        <v>2023</v>
      </c>
      <c r="I141" t="str">
        <f>TEXT(Call_Center[[#This Row],[Date of Call]],"DDDD")</f>
        <v>Sunday</v>
      </c>
      <c r="J141" t="str" cm="1">
        <f t="array" ref="J141">_xlfn.IFS(Call_Center[[#This Row],[Duration]]&lt;=10,"Under 10 mins",Call_Center[[#This Row],[Duration]]&lt;=30,"10 to 30 min",Call_Center[[#This Row],[Duration]]&lt;=60,"30 to 60 min",Call_Center[[#This Row],[Duration]]&lt;=120,"1 to 2 hours",TRUE,"More than 2 hours")</f>
        <v>1 to 2 hours</v>
      </c>
      <c r="K141">
        <f>ROUND(Call_Center[[#This Row],[Satisfaction Rating]],0)</f>
        <v>4</v>
      </c>
    </row>
    <row r="142" spans="1:11" x14ac:dyDescent="0.35">
      <c r="A142" s="21" t="s">
        <v>1125</v>
      </c>
      <c r="B142" s="18" t="s">
        <v>969</v>
      </c>
      <c r="C142" s="18">
        <v>6</v>
      </c>
      <c r="D142" s="19" t="s">
        <v>977</v>
      </c>
      <c r="E142" s="20">
        <v>44984</v>
      </c>
      <c r="F142" s="18">
        <v>102</v>
      </c>
      <c r="G142" s="22">
        <v>4.4000000000000004</v>
      </c>
      <c r="H142">
        <f>IF(MONTH(Call_Center[[#This Row],[Date of Call]])&lt;=6,2023,2024)</f>
        <v>2023</v>
      </c>
      <c r="I142" t="str">
        <f>TEXT(Call_Center[[#This Row],[Date of Call]],"DDDD")</f>
        <v>Monday</v>
      </c>
      <c r="J142" t="str" cm="1">
        <f t="array" ref="J142">_xlfn.IFS(Call_Center[[#This Row],[Duration]]&lt;=10,"Under 10 mins",Call_Center[[#This Row],[Duration]]&lt;=30,"10 to 30 min",Call_Center[[#This Row],[Duration]]&lt;=60,"30 to 60 min",Call_Center[[#This Row],[Duration]]&lt;=120,"1 to 2 hours",TRUE,"More than 2 hours")</f>
        <v>Under 10 mins</v>
      </c>
      <c r="K142">
        <f>ROUND(Call_Center[[#This Row],[Satisfaction Rating]],0)</f>
        <v>4</v>
      </c>
    </row>
    <row r="143" spans="1:11" x14ac:dyDescent="0.35">
      <c r="A143" s="21" t="s">
        <v>1126</v>
      </c>
      <c r="B143" s="18" t="s">
        <v>1000</v>
      </c>
      <c r="C143" s="18">
        <v>129</v>
      </c>
      <c r="D143" s="19" t="s">
        <v>967</v>
      </c>
      <c r="E143" s="20">
        <v>44984</v>
      </c>
      <c r="F143" s="18">
        <v>180</v>
      </c>
      <c r="G143" s="22">
        <v>4.8</v>
      </c>
      <c r="H143">
        <f>IF(MONTH(Call_Center[[#This Row],[Date of Call]])&lt;=6,2023,2024)</f>
        <v>2023</v>
      </c>
      <c r="I143" t="str">
        <f>TEXT(Call_Center[[#This Row],[Date of Call]],"DDDD")</f>
        <v>Monday</v>
      </c>
      <c r="J143" t="str" cm="1">
        <f t="array" ref="J143">_xlfn.IFS(Call_Center[[#This Row],[Duration]]&lt;=10,"Under 10 mins",Call_Center[[#This Row],[Duration]]&lt;=30,"10 to 30 min",Call_Center[[#This Row],[Duration]]&lt;=60,"30 to 60 min",Call_Center[[#This Row],[Duration]]&lt;=120,"1 to 2 hours",TRUE,"More than 2 hours")</f>
        <v>More than 2 hours</v>
      </c>
      <c r="K143">
        <f>ROUND(Call_Center[[#This Row],[Satisfaction Rating]],0)</f>
        <v>5</v>
      </c>
    </row>
    <row r="144" spans="1:11" x14ac:dyDescent="0.35">
      <c r="A144" s="21" t="s">
        <v>1127</v>
      </c>
      <c r="B144" s="18" t="s">
        <v>997</v>
      </c>
      <c r="C144" s="18">
        <v>42</v>
      </c>
      <c r="D144" s="19" t="s">
        <v>982</v>
      </c>
      <c r="E144" s="20">
        <v>44985</v>
      </c>
      <c r="F144" s="18">
        <v>111</v>
      </c>
      <c r="G144" s="22">
        <v>3</v>
      </c>
      <c r="H144">
        <f>IF(MONTH(Call_Center[[#This Row],[Date of Call]])&lt;=6,2023,2024)</f>
        <v>2023</v>
      </c>
      <c r="I144" t="str">
        <f>TEXT(Call_Center[[#This Row],[Date of Call]],"DDDD")</f>
        <v>Tuesday</v>
      </c>
      <c r="J144" t="str" cm="1">
        <f t="array" ref="J144">_xlfn.IFS(Call_Center[[#This Row],[Duration]]&lt;=10,"Under 10 mins",Call_Center[[#This Row],[Duration]]&lt;=30,"10 to 30 min",Call_Center[[#This Row],[Duration]]&lt;=60,"30 to 60 min",Call_Center[[#This Row],[Duration]]&lt;=120,"1 to 2 hours",TRUE,"More than 2 hours")</f>
        <v>30 to 60 min</v>
      </c>
      <c r="K144">
        <f>ROUND(Call_Center[[#This Row],[Satisfaction Rating]],0)</f>
        <v>3</v>
      </c>
    </row>
    <row r="145" spans="1:11" x14ac:dyDescent="0.35">
      <c r="A145" s="21" t="s">
        <v>1128</v>
      </c>
      <c r="B145" s="18" t="s">
        <v>997</v>
      </c>
      <c r="C145" s="18">
        <v>71</v>
      </c>
      <c r="D145" s="19" t="s">
        <v>986</v>
      </c>
      <c r="E145" s="20">
        <v>44985</v>
      </c>
      <c r="F145" s="18">
        <v>104</v>
      </c>
      <c r="G145" s="22">
        <v>3.1</v>
      </c>
      <c r="H145">
        <f>IF(MONTH(Call_Center[[#This Row],[Date of Call]])&lt;=6,2023,2024)</f>
        <v>2023</v>
      </c>
      <c r="I145" t="str">
        <f>TEXT(Call_Center[[#This Row],[Date of Call]],"DDDD")</f>
        <v>Tuesday</v>
      </c>
      <c r="J145" t="str" cm="1">
        <f t="array" ref="J145">_xlfn.IFS(Call_Center[[#This Row],[Duration]]&lt;=10,"Under 10 mins",Call_Center[[#This Row],[Duration]]&lt;=30,"10 to 30 min",Call_Center[[#This Row],[Duration]]&lt;=60,"30 to 60 min",Call_Center[[#This Row],[Duration]]&lt;=120,"1 to 2 hours",TRUE,"More than 2 hours")</f>
        <v>1 to 2 hours</v>
      </c>
      <c r="K145">
        <f>ROUND(Call_Center[[#This Row],[Satisfaction Rating]],0)</f>
        <v>3</v>
      </c>
    </row>
    <row r="146" spans="1:11" x14ac:dyDescent="0.35">
      <c r="A146" s="21" t="s">
        <v>1129</v>
      </c>
      <c r="B146" s="18" t="s">
        <v>971</v>
      </c>
      <c r="C146" s="18">
        <v>53</v>
      </c>
      <c r="D146" s="19" t="s">
        <v>977</v>
      </c>
      <c r="E146" s="20">
        <v>44985</v>
      </c>
      <c r="F146" s="18">
        <v>80</v>
      </c>
      <c r="G146" s="22">
        <v>2.6</v>
      </c>
      <c r="H146">
        <f>IF(MONTH(Call_Center[[#This Row],[Date of Call]])&lt;=6,2023,2024)</f>
        <v>2023</v>
      </c>
      <c r="I146" t="str">
        <f>TEXT(Call_Center[[#This Row],[Date of Call]],"DDDD")</f>
        <v>Tuesday</v>
      </c>
      <c r="J146" t="str" cm="1">
        <f t="array" ref="J146">_xlfn.IFS(Call_Center[[#This Row],[Duration]]&lt;=10,"Under 10 mins",Call_Center[[#This Row],[Duration]]&lt;=30,"10 to 30 min",Call_Center[[#This Row],[Duration]]&lt;=60,"30 to 60 min",Call_Center[[#This Row],[Duration]]&lt;=120,"1 to 2 hours",TRUE,"More than 2 hours")</f>
        <v>30 to 60 min</v>
      </c>
      <c r="K146">
        <f>ROUND(Call_Center[[#This Row],[Satisfaction Rating]],0)</f>
        <v>3</v>
      </c>
    </row>
    <row r="147" spans="1:11" x14ac:dyDescent="0.35">
      <c r="A147" s="21" t="s">
        <v>1130</v>
      </c>
      <c r="B147" s="18" t="s">
        <v>976</v>
      </c>
      <c r="C147" s="18">
        <v>155</v>
      </c>
      <c r="D147" s="19" t="s">
        <v>986</v>
      </c>
      <c r="E147" s="20">
        <v>44986</v>
      </c>
      <c r="F147" s="18">
        <v>132</v>
      </c>
      <c r="G147" s="22">
        <v>4.5999999999999996</v>
      </c>
      <c r="H147">
        <f>IF(MONTH(Call_Center[[#This Row],[Date of Call]])&lt;=6,2023,2024)</f>
        <v>2023</v>
      </c>
      <c r="I147" t="str">
        <f>TEXT(Call_Center[[#This Row],[Date of Call]],"DDDD")</f>
        <v>Wednesday</v>
      </c>
      <c r="J147" t="str" cm="1">
        <f t="array" ref="J147">_xlfn.IFS(Call_Center[[#This Row],[Duration]]&lt;=10,"Under 10 mins",Call_Center[[#This Row],[Duration]]&lt;=30,"10 to 30 min",Call_Center[[#This Row],[Duration]]&lt;=60,"30 to 60 min",Call_Center[[#This Row],[Duration]]&lt;=120,"1 to 2 hours",TRUE,"More than 2 hours")</f>
        <v>More than 2 hours</v>
      </c>
      <c r="K147">
        <f>ROUND(Call_Center[[#This Row],[Satisfaction Rating]],0)</f>
        <v>5</v>
      </c>
    </row>
    <row r="148" spans="1:11" x14ac:dyDescent="0.35">
      <c r="A148" s="21" t="s">
        <v>1131</v>
      </c>
      <c r="B148" s="18" t="s">
        <v>976</v>
      </c>
      <c r="C148" s="18">
        <v>90</v>
      </c>
      <c r="D148" s="19" t="s">
        <v>982</v>
      </c>
      <c r="E148" s="20">
        <v>44986</v>
      </c>
      <c r="F148" s="18">
        <v>170</v>
      </c>
      <c r="G148" s="22">
        <v>3.7</v>
      </c>
      <c r="H148">
        <f>IF(MONTH(Call_Center[[#This Row],[Date of Call]])&lt;=6,2023,2024)</f>
        <v>2023</v>
      </c>
      <c r="I148" t="str">
        <f>TEXT(Call_Center[[#This Row],[Date of Call]],"DDDD")</f>
        <v>Wednesday</v>
      </c>
      <c r="J148" t="str" cm="1">
        <f t="array" ref="J148">_xlfn.IFS(Call_Center[[#This Row],[Duration]]&lt;=10,"Under 10 mins",Call_Center[[#This Row],[Duration]]&lt;=30,"10 to 30 min",Call_Center[[#This Row],[Duration]]&lt;=60,"30 to 60 min",Call_Center[[#This Row],[Duration]]&lt;=120,"1 to 2 hours",TRUE,"More than 2 hours")</f>
        <v>1 to 2 hours</v>
      </c>
      <c r="K148">
        <f>ROUND(Call_Center[[#This Row],[Satisfaction Rating]],0)</f>
        <v>4</v>
      </c>
    </row>
    <row r="149" spans="1:11" x14ac:dyDescent="0.35">
      <c r="A149" s="21" t="s">
        <v>1132</v>
      </c>
      <c r="B149" s="18" t="s">
        <v>1000</v>
      </c>
      <c r="C149" s="18">
        <v>166</v>
      </c>
      <c r="D149" s="19" t="s">
        <v>972</v>
      </c>
      <c r="E149" s="20">
        <v>44986</v>
      </c>
      <c r="F149" s="18">
        <v>36</v>
      </c>
      <c r="G149" s="22">
        <v>3.8</v>
      </c>
      <c r="H149">
        <f>IF(MONTH(Call_Center[[#This Row],[Date of Call]])&lt;=6,2023,2024)</f>
        <v>2023</v>
      </c>
      <c r="I149" t="str">
        <f>TEXT(Call_Center[[#This Row],[Date of Call]],"DDDD")</f>
        <v>Wednesday</v>
      </c>
      <c r="J149" t="str" cm="1">
        <f t="array" ref="J149">_xlfn.IFS(Call_Center[[#This Row],[Duration]]&lt;=10,"Under 10 mins",Call_Center[[#This Row],[Duration]]&lt;=30,"10 to 30 min",Call_Center[[#This Row],[Duration]]&lt;=60,"30 to 60 min",Call_Center[[#This Row],[Duration]]&lt;=120,"1 to 2 hours",TRUE,"More than 2 hours")</f>
        <v>More than 2 hours</v>
      </c>
      <c r="K149">
        <f>ROUND(Call_Center[[#This Row],[Satisfaction Rating]],0)</f>
        <v>4</v>
      </c>
    </row>
    <row r="150" spans="1:11" x14ac:dyDescent="0.35">
      <c r="A150" s="21" t="s">
        <v>1133</v>
      </c>
      <c r="B150" s="18" t="s">
        <v>991</v>
      </c>
      <c r="C150" s="18">
        <v>89</v>
      </c>
      <c r="D150" s="19" t="s">
        <v>986</v>
      </c>
      <c r="E150" s="20">
        <v>44986</v>
      </c>
      <c r="F150" s="18">
        <v>126</v>
      </c>
      <c r="G150" s="22">
        <v>3.6</v>
      </c>
      <c r="H150">
        <f>IF(MONTH(Call_Center[[#This Row],[Date of Call]])&lt;=6,2023,2024)</f>
        <v>2023</v>
      </c>
      <c r="I150" t="str">
        <f>TEXT(Call_Center[[#This Row],[Date of Call]],"DDDD")</f>
        <v>Wednesday</v>
      </c>
      <c r="J150" t="str" cm="1">
        <f t="array" ref="J150">_xlfn.IFS(Call_Center[[#This Row],[Duration]]&lt;=10,"Under 10 mins",Call_Center[[#This Row],[Duration]]&lt;=30,"10 to 30 min",Call_Center[[#This Row],[Duration]]&lt;=60,"30 to 60 min",Call_Center[[#This Row],[Duration]]&lt;=120,"1 to 2 hours",TRUE,"More than 2 hours")</f>
        <v>1 to 2 hours</v>
      </c>
      <c r="K150">
        <f>ROUND(Call_Center[[#This Row],[Satisfaction Rating]],0)</f>
        <v>4</v>
      </c>
    </row>
    <row r="151" spans="1:11" x14ac:dyDescent="0.35">
      <c r="A151" s="21" t="s">
        <v>1134</v>
      </c>
      <c r="B151" s="18" t="s">
        <v>1005</v>
      </c>
      <c r="C151" s="18">
        <v>152</v>
      </c>
      <c r="D151" s="19" t="s">
        <v>977</v>
      </c>
      <c r="E151" s="20">
        <v>44986</v>
      </c>
      <c r="F151" s="18">
        <v>215</v>
      </c>
      <c r="G151" s="22">
        <v>4.4000000000000004</v>
      </c>
      <c r="H151">
        <f>IF(MONTH(Call_Center[[#This Row],[Date of Call]])&lt;=6,2023,2024)</f>
        <v>2023</v>
      </c>
      <c r="I151" t="str">
        <f>TEXT(Call_Center[[#This Row],[Date of Call]],"DDDD")</f>
        <v>Wednesday</v>
      </c>
      <c r="J151" t="str" cm="1">
        <f t="array" ref="J151">_xlfn.IFS(Call_Center[[#This Row],[Duration]]&lt;=10,"Under 10 mins",Call_Center[[#This Row],[Duration]]&lt;=30,"10 to 30 min",Call_Center[[#This Row],[Duration]]&lt;=60,"30 to 60 min",Call_Center[[#This Row],[Duration]]&lt;=120,"1 to 2 hours",TRUE,"More than 2 hours")</f>
        <v>More than 2 hours</v>
      </c>
      <c r="K151">
        <f>ROUND(Call_Center[[#This Row],[Satisfaction Rating]],0)</f>
        <v>4</v>
      </c>
    </row>
    <row r="152" spans="1:11" x14ac:dyDescent="0.35">
      <c r="A152" s="21" t="s">
        <v>1135</v>
      </c>
      <c r="B152" s="18" t="s">
        <v>991</v>
      </c>
      <c r="C152" s="18">
        <v>137</v>
      </c>
      <c r="D152" s="19" t="s">
        <v>982</v>
      </c>
      <c r="E152" s="20">
        <v>44986</v>
      </c>
      <c r="F152" s="18">
        <v>114</v>
      </c>
      <c r="G152" s="22">
        <v>3.2</v>
      </c>
      <c r="H152">
        <f>IF(MONTH(Call_Center[[#This Row],[Date of Call]])&lt;=6,2023,2024)</f>
        <v>2023</v>
      </c>
      <c r="I152" t="str">
        <f>TEXT(Call_Center[[#This Row],[Date of Call]],"DDDD")</f>
        <v>Wednesday</v>
      </c>
      <c r="J152" t="str" cm="1">
        <f t="array" ref="J152">_xlfn.IFS(Call_Center[[#This Row],[Duration]]&lt;=10,"Under 10 mins",Call_Center[[#This Row],[Duration]]&lt;=30,"10 to 30 min",Call_Center[[#This Row],[Duration]]&lt;=60,"30 to 60 min",Call_Center[[#This Row],[Duration]]&lt;=120,"1 to 2 hours",TRUE,"More than 2 hours")</f>
        <v>More than 2 hours</v>
      </c>
      <c r="K152">
        <f>ROUND(Call_Center[[#This Row],[Satisfaction Rating]],0)</f>
        <v>3</v>
      </c>
    </row>
    <row r="153" spans="1:11" x14ac:dyDescent="0.35">
      <c r="A153" s="21" t="s">
        <v>1136</v>
      </c>
      <c r="B153" s="18" t="s">
        <v>991</v>
      </c>
      <c r="C153" s="18">
        <v>43</v>
      </c>
      <c r="D153" s="19" t="s">
        <v>982</v>
      </c>
      <c r="E153" s="20">
        <v>44986</v>
      </c>
      <c r="F153" s="18">
        <v>99</v>
      </c>
      <c r="G153" s="22">
        <v>4.7</v>
      </c>
      <c r="H153">
        <f>IF(MONTH(Call_Center[[#This Row],[Date of Call]])&lt;=6,2023,2024)</f>
        <v>2023</v>
      </c>
      <c r="I153" t="str">
        <f>TEXT(Call_Center[[#This Row],[Date of Call]],"DDDD")</f>
        <v>Wednesday</v>
      </c>
      <c r="J153" t="str" cm="1">
        <f t="array" ref="J153">_xlfn.IFS(Call_Center[[#This Row],[Duration]]&lt;=10,"Under 10 mins",Call_Center[[#This Row],[Duration]]&lt;=30,"10 to 30 min",Call_Center[[#This Row],[Duration]]&lt;=60,"30 to 60 min",Call_Center[[#This Row],[Duration]]&lt;=120,"1 to 2 hours",TRUE,"More than 2 hours")</f>
        <v>30 to 60 min</v>
      </c>
      <c r="K153">
        <f>ROUND(Call_Center[[#This Row],[Satisfaction Rating]],0)</f>
        <v>5</v>
      </c>
    </row>
    <row r="154" spans="1:11" x14ac:dyDescent="0.35">
      <c r="A154" s="21" t="s">
        <v>1137</v>
      </c>
      <c r="B154" s="18" t="s">
        <v>985</v>
      </c>
      <c r="C154" s="18">
        <v>114</v>
      </c>
      <c r="D154" s="19" t="s">
        <v>982</v>
      </c>
      <c r="E154" s="20">
        <v>44987</v>
      </c>
      <c r="F154" s="18">
        <v>23</v>
      </c>
      <c r="G154" s="22">
        <v>4.8</v>
      </c>
      <c r="H154">
        <f>IF(MONTH(Call_Center[[#This Row],[Date of Call]])&lt;=6,2023,2024)</f>
        <v>2023</v>
      </c>
      <c r="I154" t="str">
        <f>TEXT(Call_Center[[#This Row],[Date of Call]],"DDDD")</f>
        <v>Thursday</v>
      </c>
      <c r="J154" t="str" cm="1">
        <f t="array" ref="J154">_xlfn.IFS(Call_Center[[#This Row],[Duration]]&lt;=10,"Under 10 mins",Call_Center[[#This Row],[Duration]]&lt;=30,"10 to 30 min",Call_Center[[#This Row],[Duration]]&lt;=60,"30 to 60 min",Call_Center[[#This Row],[Duration]]&lt;=120,"1 to 2 hours",TRUE,"More than 2 hours")</f>
        <v>1 to 2 hours</v>
      </c>
      <c r="K154">
        <f>ROUND(Call_Center[[#This Row],[Satisfaction Rating]],0)</f>
        <v>5</v>
      </c>
    </row>
    <row r="155" spans="1:11" x14ac:dyDescent="0.35">
      <c r="A155" s="21" t="s">
        <v>1138</v>
      </c>
      <c r="B155" s="18" t="s">
        <v>974</v>
      </c>
      <c r="C155" s="18">
        <v>103</v>
      </c>
      <c r="D155" s="19" t="s">
        <v>986</v>
      </c>
      <c r="E155" s="20">
        <v>44987</v>
      </c>
      <c r="F155" s="18">
        <v>75</v>
      </c>
      <c r="G155" s="22">
        <v>2.7</v>
      </c>
      <c r="H155">
        <f>IF(MONTH(Call_Center[[#This Row],[Date of Call]])&lt;=6,2023,2024)</f>
        <v>2023</v>
      </c>
      <c r="I155" t="str">
        <f>TEXT(Call_Center[[#This Row],[Date of Call]],"DDDD")</f>
        <v>Thursday</v>
      </c>
      <c r="J155" t="str" cm="1">
        <f t="array" ref="J155">_xlfn.IFS(Call_Center[[#This Row],[Duration]]&lt;=10,"Under 10 mins",Call_Center[[#This Row],[Duration]]&lt;=30,"10 to 30 min",Call_Center[[#This Row],[Duration]]&lt;=60,"30 to 60 min",Call_Center[[#This Row],[Duration]]&lt;=120,"1 to 2 hours",TRUE,"More than 2 hours")</f>
        <v>1 to 2 hours</v>
      </c>
      <c r="K155">
        <f>ROUND(Call_Center[[#This Row],[Satisfaction Rating]],0)</f>
        <v>3</v>
      </c>
    </row>
    <row r="156" spans="1:11" x14ac:dyDescent="0.35">
      <c r="A156" s="21" t="s">
        <v>1139</v>
      </c>
      <c r="B156" s="18" t="s">
        <v>991</v>
      </c>
      <c r="C156" s="18">
        <v>98</v>
      </c>
      <c r="D156" s="19" t="s">
        <v>977</v>
      </c>
      <c r="E156" s="20">
        <v>44987</v>
      </c>
      <c r="F156" s="18">
        <v>100</v>
      </c>
      <c r="G156" s="22">
        <v>3.8</v>
      </c>
      <c r="H156">
        <f>IF(MONTH(Call_Center[[#This Row],[Date of Call]])&lt;=6,2023,2024)</f>
        <v>2023</v>
      </c>
      <c r="I156" t="str">
        <f>TEXT(Call_Center[[#This Row],[Date of Call]],"DDDD")</f>
        <v>Thursday</v>
      </c>
      <c r="J156" t="str" cm="1">
        <f t="array" ref="J156">_xlfn.IFS(Call_Center[[#This Row],[Duration]]&lt;=10,"Under 10 mins",Call_Center[[#This Row],[Duration]]&lt;=30,"10 to 30 min",Call_Center[[#This Row],[Duration]]&lt;=60,"30 to 60 min",Call_Center[[#This Row],[Duration]]&lt;=120,"1 to 2 hours",TRUE,"More than 2 hours")</f>
        <v>1 to 2 hours</v>
      </c>
      <c r="K156">
        <f>ROUND(Call_Center[[#This Row],[Satisfaction Rating]],0)</f>
        <v>4</v>
      </c>
    </row>
    <row r="157" spans="1:11" x14ac:dyDescent="0.35">
      <c r="A157" s="21" t="s">
        <v>1140</v>
      </c>
      <c r="B157" s="18" t="s">
        <v>1000</v>
      </c>
      <c r="C157" s="18">
        <v>106</v>
      </c>
      <c r="D157" s="19" t="s">
        <v>972</v>
      </c>
      <c r="E157" s="20">
        <v>44987</v>
      </c>
      <c r="F157" s="18">
        <v>108</v>
      </c>
      <c r="G157" s="22">
        <v>4.3</v>
      </c>
      <c r="H157">
        <f>IF(MONTH(Call_Center[[#This Row],[Date of Call]])&lt;=6,2023,2024)</f>
        <v>2023</v>
      </c>
      <c r="I157" t="str">
        <f>TEXT(Call_Center[[#This Row],[Date of Call]],"DDDD")</f>
        <v>Thursday</v>
      </c>
      <c r="J157" t="str" cm="1">
        <f t="array" ref="J157">_xlfn.IFS(Call_Center[[#This Row],[Duration]]&lt;=10,"Under 10 mins",Call_Center[[#This Row],[Duration]]&lt;=30,"10 to 30 min",Call_Center[[#This Row],[Duration]]&lt;=60,"30 to 60 min",Call_Center[[#This Row],[Duration]]&lt;=120,"1 to 2 hours",TRUE,"More than 2 hours")</f>
        <v>1 to 2 hours</v>
      </c>
      <c r="K157">
        <f>ROUND(Call_Center[[#This Row],[Satisfaction Rating]],0)</f>
        <v>4</v>
      </c>
    </row>
    <row r="158" spans="1:11" x14ac:dyDescent="0.35">
      <c r="A158" s="21" t="s">
        <v>1141</v>
      </c>
      <c r="B158" s="18" t="s">
        <v>969</v>
      </c>
      <c r="C158" s="18">
        <v>96</v>
      </c>
      <c r="D158" s="19" t="s">
        <v>972</v>
      </c>
      <c r="E158" s="20">
        <v>44987</v>
      </c>
      <c r="F158" s="18">
        <v>108</v>
      </c>
      <c r="G158" s="22">
        <v>5</v>
      </c>
      <c r="H158">
        <f>IF(MONTH(Call_Center[[#This Row],[Date of Call]])&lt;=6,2023,2024)</f>
        <v>2023</v>
      </c>
      <c r="I158" t="str">
        <f>TEXT(Call_Center[[#This Row],[Date of Call]],"DDDD")</f>
        <v>Thursday</v>
      </c>
      <c r="J158" t="str" cm="1">
        <f t="array" ref="J158">_xlfn.IFS(Call_Center[[#This Row],[Duration]]&lt;=10,"Under 10 mins",Call_Center[[#This Row],[Duration]]&lt;=30,"10 to 30 min",Call_Center[[#This Row],[Duration]]&lt;=60,"30 to 60 min",Call_Center[[#This Row],[Duration]]&lt;=120,"1 to 2 hours",TRUE,"More than 2 hours")</f>
        <v>1 to 2 hours</v>
      </c>
      <c r="K158">
        <f>ROUND(Call_Center[[#This Row],[Satisfaction Rating]],0)</f>
        <v>5</v>
      </c>
    </row>
    <row r="159" spans="1:11" x14ac:dyDescent="0.35">
      <c r="A159" s="21" t="s">
        <v>1142</v>
      </c>
      <c r="B159" s="18" t="s">
        <v>974</v>
      </c>
      <c r="C159" s="18">
        <v>70</v>
      </c>
      <c r="D159" s="19" t="s">
        <v>972</v>
      </c>
      <c r="E159" s="20">
        <v>44987</v>
      </c>
      <c r="F159" s="18">
        <v>28</v>
      </c>
      <c r="G159" s="22">
        <v>4.8</v>
      </c>
      <c r="H159">
        <f>IF(MONTH(Call_Center[[#This Row],[Date of Call]])&lt;=6,2023,2024)</f>
        <v>2023</v>
      </c>
      <c r="I159" t="str">
        <f>TEXT(Call_Center[[#This Row],[Date of Call]],"DDDD")</f>
        <v>Thursday</v>
      </c>
      <c r="J159" t="str" cm="1">
        <f t="array" ref="J159">_xlfn.IFS(Call_Center[[#This Row],[Duration]]&lt;=10,"Under 10 mins",Call_Center[[#This Row],[Duration]]&lt;=30,"10 to 30 min",Call_Center[[#This Row],[Duration]]&lt;=60,"30 to 60 min",Call_Center[[#This Row],[Duration]]&lt;=120,"1 to 2 hours",TRUE,"More than 2 hours")</f>
        <v>1 to 2 hours</v>
      </c>
      <c r="K159">
        <f>ROUND(Call_Center[[#This Row],[Satisfaction Rating]],0)</f>
        <v>5</v>
      </c>
    </row>
    <row r="160" spans="1:11" x14ac:dyDescent="0.35">
      <c r="A160" s="21" t="s">
        <v>1143</v>
      </c>
      <c r="B160" s="18" t="s">
        <v>997</v>
      </c>
      <c r="C160" s="18">
        <v>86</v>
      </c>
      <c r="D160" s="19" t="s">
        <v>967</v>
      </c>
      <c r="E160" s="20">
        <v>44988</v>
      </c>
      <c r="F160" s="18">
        <v>70</v>
      </c>
      <c r="G160" s="22">
        <v>4.9000000000000004</v>
      </c>
      <c r="H160">
        <f>IF(MONTH(Call_Center[[#This Row],[Date of Call]])&lt;=6,2023,2024)</f>
        <v>2023</v>
      </c>
      <c r="I160" t="str">
        <f>TEXT(Call_Center[[#This Row],[Date of Call]],"DDDD")</f>
        <v>Friday</v>
      </c>
      <c r="J160" t="str" cm="1">
        <f t="array" ref="J160">_xlfn.IFS(Call_Center[[#This Row],[Duration]]&lt;=10,"Under 10 mins",Call_Center[[#This Row],[Duration]]&lt;=30,"10 to 30 min",Call_Center[[#This Row],[Duration]]&lt;=60,"30 to 60 min",Call_Center[[#This Row],[Duration]]&lt;=120,"1 to 2 hours",TRUE,"More than 2 hours")</f>
        <v>1 to 2 hours</v>
      </c>
      <c r="K160">
        <f>ROUND(Call_Center[[#This Row],[Satisfaction Rating]],0)</f>
        <v>5</v>
      </c>
    </row>
    <row r="161" spans="1:11" x14ac:dyDescent="0.35">
      <c r="A161" s="21" t="s">
        <v>1144</v>
      </c>
      <c r="B161" s="18" t="s">
        <v>971</v>
      </c>
      <c r="C161" s="18">
        <v>64</v>
      </c>
      <c r="D161" s="19" t="s">
        <v>967</v>
      </c>
      <c r="E161" s="20">
        <v>44988</v>
      </c>
      <c r="F161" s="18">
        <v>172</v>
      </c>
      <c r="G161" s="22">
        <v>4.0999999999999996</v>
      </c>
      <c r="H161">
        <f>IF(MONTH(Call_Center[[#This Row],[Date of Call]])&lt;=6,2023,2024)</f>
        <v>2023</v>
      </c>
      <c r="I161" t="str">
        <f>TEXT(Call_Center[[#This Row],[Date of Call]],"DDDD")</f>
        <v>Friday</v>
      </c>
      <c r="J161" t="str" cm="1">
        <f t="array" ref="J161">_xlfn.IFS(Call_Center[[#This Row],[Duration]]&lt;=10,"Under 10 mins",Call_Center[[#This Row],[Duration]]&lt;=30,"10 to 30 min",Call_Center[[#This Row],[Duration]]&lt;=60,"30 to 60 min",Call_Center[[#This Row],[Duration]]&lt;=120,"1 to 2 hours",TRUE,"More than 2 hours")</f>
        <v>1 to 2 hours</v>
      </c>
      <c r="K161">
        <f>ROUND(Call_Center[[#This Row],[Satisfaction Rating]],0)</f>
        <v>4</v>
      </c>
    </row>
    <row r="162" spans="1:11" x14ac:dyDescent="0.35">
      <c r="A162" s="21" t="s">
        <v>1145</v>
      </c>
      <c r="B162" s="18" t="s">
        <v>969</v>
      </c>
      <c r="C162" s="18">
        <v>113</v>
      </c>
      <c r="D162" s="19" t="s">
        <v>977</v>
      </c>
      <c r="E162" s="20">
        <v>44988</v>
      </c>
      <c r="F162" s="18">
        <v>123</v>
      </c>
      <c r="G162" s="22">
        <v>4.4000000000000004</v>
      </c>
      <c r="H162">
        <f>IF(MONTH(Call_Center[[#This Row],[Date of Call]])&lt;=6,2023,2024)</f>
        <v>2023</v>
      </c>
      <c r="I162" t="str">
        <f>TEXT(Call_Center[[#This Row],[Date of Call]],"DDDD")</f>
        <v>Friday</v>
      </c>
      <c r="J162" t="str" cm="1">
        <f t="array" ref="J162">_xlfn.IFS(Call_Center[[#This Row],[Duration]]&lt;=10,"Under 10 mins",Call_Center[[#This Row],[Duration]]&lt;=30,"10 to 30 min",Call_Center[[#This Row],[Duration]]&lt;=60,"30 to 60 min",Call_Center[[#This Row],[Duration]]&lt;=120,"1 to 2 hours",TRUE,"More than 2 hours")</f>
        <v>1 to 2 hours</v>
      </c>
      <c r="K162">
        <f>ROUND(Call_Center[[#This Row],[Satisfaction Rating]],0)</f>
        <v>4</v>
      </c>
    </row>
    <row r="163" spans="1:11" x14ac:dyDescent="0.35">
      <c r="A163" s="21" t="s">
        <v>1146</v>
      </c>
      <c r="B163" s="18" t="s">
        <v>969</v>
      </c>
      <c r="C163" s="18">
        <v>21</v>
      </c>
      <c r="D163" s="19" t="s">
        <v>972</v>
      </c>
      <c r="E163" s="20">
        <v>44988</v>
      </c>
      <c r="F163" s="18">
        <v>93</v>
      </c>
      <c r="G163" s="22">
        <v>3.4</v>
      </c>
      <c r="H163">
        <f>IF(MONTH(Call_Center[[#This Row],[Date of Call]])&lt;=6,2023,2024)</f>
        <v>2023</v>
      </c>
      <c r="I163" t="str">
        <f>TEXT(Call_Center[[#This Row],[Date of Call]],"DDDD")</f>
        <v>Friday</v>
      </c>
      <c r="J163" t="str" cm="1">
        <f t="array" ref="J163">_xlfn.IFS(Call_Center[[#This Row],[Duration]]&lt;=10,"Under 10 mins",Call_Center[[#This Row],[Duration]]&lt;=30,"10 to 30 min",Call_Center[[#This Row],[Duration]]&lt;=60,"30 to 60 min",Call_Center[[#This Row],[Duration]]&lt;=120,"1 to 2 hours",TRUE,"More than 2 hours")</f>
        <v>10 to 30 min</v>
      </c>
      <c r="K163">
        <f>ROUND(Call_Center[[#This Row],[Satisfaction Rating]],0)</f>
        <v>3</v>
      </c>
    </row>
    <row r="164" spans="1:11" x14ac:dyDescent="0.35">
      <c r="A164" s="21" t="s">
        <v>1147</v>
      </c>
      <c r="B164" s="18" t="s">
        <v>1008</v>
      </c>
      <c r="C164" s="18">
        <v>107</v>
      </c>
      <c r="D164" s="19" t="s">
        <v>967</v>
      </c>
      <c r="E164" s="20">
        <v>44988</v>
      </c>
      <c r="F164" s="18">
        <v>66</v>
      </c>
      <c r="G164" s="22">
        <v>4</v>
      </c>
      <c r="H164">
        <f>IF(MONTH(Call_Center[[#This Row],[Date of Call]])&lt;=6,2023,2024)</f>
        <v>2023</v>
      </c>
      <c r="I164" t="str">
        <f>TEXT(Call_Center[[#This Row],[Date of Call]],"DDDD")</f>
        <v>Friday</v>
      </c>
      <c r="J164" t="str" cm="1">
        <f t="array" ref="J164">_xlfn.IFS(Call_Center[[#This Row],[Duration]]&lt;=10,"Under 10 mins",Call_Center[[#This Row],[Duration]]&lt;=30,"10 to 30 min",Call_Center[[#This Row],[Duration]]&lt;=60,"30 to 60 min",Call_Center[[#This Row],[Duration]]&lt;=120,"1 to 2 hours",TRUE,"More than 2 hours")</f>
        <v>1 to 2 hours</v>
      </c>
      <c r="K164">
        <f>ROUND(Call_Center[[#This Row],[Satisfaction Rating]],0)</f>
        <v>4</v>
      </c>
    </row>
    <row r="165" spans="1:11" x14ac:dyDescent="0.35">
      <c r="A165" s="21" t="s">
        <v>1148</v>
      </c>
      <c r="B165" s="18" t="s">
        <v>1008</v>
      </c>
      <c r="C165" s="18">
        <v>131</v>
      </c>
      <c r="D165" s="19" t="s">
        <v>972</v>
      </c>
      <c r="E165" s="20">
        <v>44988</v>
      </c>
      <c r="F165" s="18">
        <v>39</v>
      </c>
      <c r="G165" s="22">
        <v>2.4</v>
      </c>
      <c r="H165">
        <f>IF(MONTH(Call_Center[[#This Row],[Date of Call]])&lt;=6,2023,2024)</f>
        <v>2023</v>
      </c>
      <c r="I165" t="str">
        <f>TEXT(Call_Center[[#This Row],[Date of Call]],"DDDD")</f>
        <v>Friday</v>
      </c>
      <c r="J165" t="str" cm="1">
        <f t="array" ref="J165">_xlfn.IFS(Call_Center[[#This Row],[Duration]]&lt;=10,"Under 10 mins",Call_Center[[#This Row],[Duration]]&lt;=30,"10 to 30 min",Call_Center[[#This Row],[Duration]]&lt;=60,"30 to 60 min",Call_Center[[#This Row],[Duration]]&lt;=120,"1 to 2 hours",TRUE,"More than 2 hours")</f>
        <v>More than 2 hours</v>
      </c>
      <c r="K165">
        <f>ROUND(Call_Center[[#This Row],[Satisfaction Rating]],0)</f>
        <v>2</v>
      </c>
    </row>
    <row r="166" spans="1:11" x14ac:dyDescent="0.35">
      <c r="A166" s="21" t="s">
        <v>1149</v>
      </c>
      <c r="B166" s="18" t="s">
        <v>966</v>
      </c>
      <c r="C166" s="18">
        <v>11</v>
      </c>
      <c r="D166" s="19" t="s">
        <v>986</v>
      </c>
      <c r="E166" s="20">
        <v>44988</v>
      </c>
      <c r="F166" s="18">
        <v>25</v>
      </c>
      <c r="G166" s="22">
        <v>2.1</v>
      </c>
      <c r="H166">
        <f>IF(MONTH(Call_Center[[#This Row],[Date of Call]])&lt;=6,2023,2024)</f>
        <v>2023</v>
      </c>
      <c r="I166" t="str">
        <f>TEXT(Call_Center[[#This Row],[Date of Call]],"DDDD")</f>
        <v>Friday</v>
      </c>
      <c r="J166" t="str" cm="1">
        <f t="array" ref="J166">_xlfn.IFS(Call_Center[[#This Row],[Duration]]&lt;=10,"Under 10 mins",Call_Center[[#This Row],[Duration]]&lt;=30,"10 to 30 min",Call_Center[[#This Row],[Duration]]&lt;=60,"30 to 60 min",Call_Center[[#This Row],[Duration]]&lt;=120,"1 to 2 hours",TRUE,"More than 2 hours")</f>
        <v>10 to 30 min</v>
      </c>
      <c r="K166">
        <f>ROUND(Call_Center[[#This Row],[Satisfaction Rating]],0)</f>
        <v>2</v>
      </c>
    </row>
    <row r="167" spans="1:11" x14ac:dyDescent="0.35">
      <c r="A167" s="21" t="s">
        <v>1150</v>
      </c>
      <c r="B167" s="18" t="s">
        <v>1018</v>
      </c>
      <c r="C167" s="18">
        <v>86</v>
      </c>
      <c r="D167" s="19" t="s">
        <v>977</v>
      </c>
      <c r="E167" s="20">
        <v>44988</v>
      </c>
      <c r="F167" s="18">
        <v>68</v>
      </c>
      <c r="G167" s="22">
        <v>3</v>
      </c>
      <c r="H167">
        <f>IF(MONTH(Call_Center[[#This Row],[Date of Call]])&lt;=6,2023,2024)</f>
        <v>2023</v>
      </c>
      <c r="I167" t="str">
        <f>TEXT(Call_Center[[#This Row],[Date of Call]],"DDDD")</f>
        <v>Friday</v>
      </c>
      <c r="J167" t="str" cm="1">
        <f t="array" ref="J167">_xlfn.IFS(Call_Center[[#This Row],[Duration]]&lt;=10,"Under 10 mins",Call_Center[[#This Row],[Duration]]&lt;=30,"10 to 30 min",Call_Center[[#This Row],[Duration]]&lt;=60,"30 to 60 min",Call_Center[[#This Row],[Duration]]&lt;=120,"1 to 2 hours",TRUE,"More than 2 hours")</f>
        <v>1 to 2 hours</v>
      </c>
      <c r="K167">
        <f>ROUND(Call_Center[[#This Row],[Satisfaction Rating]],0)</f>
        <v>3</v>
      </c>
    </row>
    <row r="168" spans="1:11" x14ac:dyDescent="0.35">
      <c r="A168" s="21" t="s">
        <v>1151</v>
      </c>
      <c r="B168" s="18" t="s">
        <v>971</v>
      </c>
      <c r="C168" s="18">
        <v>28</v>
      </c>
      <c r="D168" s="19" t="s">
        <v>986</v>
      </c>
      <c r="E168" s="20">
        <v>44988</v>
      </c>
      <c r="F168" s="18">
        <v>84</v>
      </c>
      <c r="G168" s="22">
        <v>3.2</v>
      </c>
      <c r="H168">
        <f>IF(MONTH(Call_Center[[#This Row],[Date of Call]])&lt;=6,2023,2024)</f>
        <v>2023</v>
      </c>
      <c r="I168" t="str">
        <f>TEXT(Call_Center[[#This Row],[Date of Call]],"DDDD")</f>
        <v>Friday</v>
      </c>
      <c r="J168" t="str" cm="1">
        <f t="array" ref="J168">_xlfn.IFS(Call_Center[[#This Row],[Duration]]&lt;=10,"Under 10 mins",Call_Center[[#This Row],[Duration]]&lt;=30,"10 to 30 min",Call_Center[[#This Row],[Duration]]&lt;=60,"30 to 60 min",Call_Center[[#This Row],[Duration]]&lt;=120,"1 to 2 hours",TRUE,"More than 2 hours")</f>
        <v>10 to 30 min</v>
      </c>
      <c r="K168">
        <f>ROUND(Call_Center[[#This Row],[Satisfaction Rating]],0)</f>
        <v>3</v>
      </c>
    </row>
    <row r="169" spans="1:11" x14ac:dyDescent="0.35">
      <c r="A169" s="21" t="s">
        <v>1152</v>
      </c>
      <c r="B169" s="18" t="s">
        <v>976</v>
      </c>
      <c r="C169" s="18">
        <v>139</v>
      </c>
      <c r="D169" s="19" t="s">
        <v>972</v>
      </c>
      <c r="E169" s="20">
        <v>44989</v>
      </c>
      <c r="F169" s="18">
        <v>88</v>
      </c>
      <c r="G169" s="22">
        <v>3.4</v>
      </c>
      <c r="H169">
        <f>IF(MONTH(Call_Center[[#This Row],[Date of Call]])&lt;=6,2023,2024)</f>
        <v>2023</v>
      </c>
      <c r="I169" t="str">
        <f>TEXT(Call_Center[[#This Row],[Date of Call]],"DDDD")</f>
        <v>Saturday</v>
      </c>
      <c r="J169" t="str" cm="1">
        <f t="array" ref="J169">_xlfn.IFS(Call_Center[[#This Row],[Duration]]&lt;=10,"Under 10 mins",Call_Center[[#This Row],[Duration]]&lt;=30,"10 to 30 min",Call_Center[[#This Row],[Duration]]&lt;=60,"30 to 60 min",Call_Center[[#This Row],[Duration]]&lt;=120,"1 to 2 hours",TRUE,"More than 2 hours")</f>
        <v>More than 2 hours</v>
      </c>
      <c r="K169">
        <f>ROUND(Call_Center[[#This Row],[Satisfaction Rating]],0)</f>
        <v>3</v>
      </c>
    </row>
    <row r="170" spans="1:11" x14ac:dyDescent="0.35">
      <c r="A170" s="21" t="s">
        <v>1153</v>
      </c>
      <c r="B170" s="18" t="s">
        <v>1000</v>
      </c>
      <c r="C170" s="18">
        <v>82</v>
      </c>
      <c r="D170" s="19" t="s">
        <v>977</v>
      </c>
      <c r="E170" s="20">
        <v>44989</v>
      </c>
      <c r="F170" s="18">
        <v>93</v>
      </c>
      <c r="G170" s="22">
        <v>2.7</v>
      </c>
      <c r="H170">
        <f>IF(MONTH(Call_Center[[#This Row],[Date of Call]])&lt;=6,2023,2024)</f>
        <v>2023</v>
      </c>
      <c r="I170" t="str">
        <f>TEXT(Call_Center[[#This Row],[Date of Call]],"DDDD")</f>
        <v>Saturday</v>
      </c>
      <c r="J170" t="str" cm="1">
        <f t="array" ref="J170">_xlfn.IFS(Call_Center[[#This Row],[Duration]]&lt;=10,"Under 10 mins",Call_Center[[#This Row],[Duration]]&lt;=30,"10 to 30 min",Call_Center[[#This Row],[Duration]]&lt;=60,"30 to 60 min",Call_Center[[#This Row],[Duration]]&lt;=120,"1 to 2 hours",TRUE,"More than 2 hours")</f>
        <v>1 to 2 hours</v>
      </c>
      <c r="K170">
        <f>ROUND(Call_Center[[#This Row],[Satisfaction Rating]],0)</f>
        <v>3</v>
      </c>
    </row>
    <row r="171" spans="1:11" x14ac:dyDescent="0.35">
      <c r="A171" s="21" t="s">
        <v>1154</v>
      </c>
      <c r="B171" s="18" t="s">
        <v>969</v>
      </c>
      <c r="C171" s="18">
        <v>101</v>
      </c>
      <c r="D171" s="19" t="s">
        <v>986</v>
      </c>
      <c r="E171" s="20">
        <v>44989</v>
      </c>
      <c r="F171" s="18">
        <v>128</v>
      </c>
      <c r="G171" s="22">
        <v>5</v>
      </c>
      <c r="H171">
        <f>IF(MONTH(Call_Center[[#This Row],[Date of Call]])&lt;=6,2023,2024)</f>
        <v>2023</v>
      </c>
      <c r="I171" t="str">
        <f>TEXT(Call_Center[[#This Row],[Date of Call]],"DDDD")</f>
        <v>Saturday</v>
      </c>
      <c r="J171" t="str" cm="1">
        <f t="array" ref="J171">_xlfn.IFS(Call_Center[[#This Row],[Duration]]&lt;=10,"Under 10 mins",Call_Center[[#This Row],[Duration]]&lt;=30,"10 to 30 min",Call_Center[[#This Row],[Duration]]&lt;=60,"30 to 60 min",Call_Center[[#This Row],[Duration]]&lt;=120,"1 to 2 hours",TRUE,"More than 2 hours")</f>
        <v>1 to 2 hours</v>
      </c>
      <c r="K171">
        <f>ROUND(Call_Center[[#This Row],[Satisfaction Rating]],0)</f>
        <v>5</v>
      </c>
    </row>
    <row r="172" spans="1:11" x14ac:dyDescent="0.35">
      <c r="A172" s="21" t="s">
        <v>1155</v>
      </c>
      <c r="B172" s="18" t="s">
        <v>971</v>
      </c>
      <c r="C172" s="18">
        <v>75</v>
      </c>
      <c r="D172" s="19" t="s">
        <v>982</v>
      </c>
      <c r="E172" s="20">
        <v>44989</v>
      </c>
      <c r="F172" s="18">
        <v>40</v>
      </c>
      <c r="G172" s="22">
        <v>3.4</v>
      </c>
      <c r="H172">
        <f>IF(MONTH(Call_Center[[#This Row],[Date of Call]])&lt;=6,2023,2024)</f>
        <v>2023</v>
      </c>
      <c r="I172" t="str">
        <f>TEXT(Call_Center[[#This Row],[Date of Call]],"DDDD")</f>
        <v>Saturday</v>
      </c>
      <c r="J172" t="str" cm="1">
        <f t="array" ref="J172">_xlfn.IFS(Call_Center[[#This Row],[Duration]]&lt;=10,"Under 10 mins",Call_Center[[#This Row],[Duration]]&lt;=30,"10 to 30 min",Call_Center[[#This Row],[Duration]]&lt;=60,"30 to 60 min",Call_Center[[#This Row],[Duration]]&lt;=120,"1 to 2 hours",TRUE,"More than 2 hours")</f>
        <v>1 to 2 hours</v>
      </c>
      <c r="K172">
        <f>ROUND(Call_Center[[#This Row],[Satisfaction Rating]],0)</f>
        <v>3</v>
      </c>
    </row>
    <row r="173" spans="1:11" x14ac:dyDescent="0.35">
      <c r="A173" s="21" t="s">
        <v>1156</v>
      </c>
      <c r="B173" s="18" t="s">
        <v>985</v>
      </c>
      <c r="C173" s="18">
        <v>40</v>
      </c>
      <c r="D173" s="19" t="s">
        <v>986</v>
      </c>
      <c r="E173" s="20">
        <v>44990</v>
      </c>
      <c r="F173" s="18">
        <v>92</v>
      </c>
      <c r="G173" s="22">
        <v>4.7</v>
      </c>
      <c r="H173">
        <f>IF(MONTH(Call_Center[[#This Row],[Date of Call]])&lt;=6,2023,2024)</f>
        <v>2023</v>
      </c>
      <c r="I173" t="str">
        <f>TEXT(Call_Center[[#This Row],[Date of Call]],"DDDD")</f>
        <v>Sunday</v>
      </c>
      <c r="J173" t="str" cm="1">
        <f t="array" ref="J173">_xlfn.IFS(Call_Center[[#This Row],[Duration]]&lt;=10,"Under 10 mins",Call_Center[[#This Row],[Duration]]&lt;=30,"10 to 30 min",Call_Center[[#This Row],[Duration]]&lt;=60,"30 to 60 min",Call_Center[[#This Row],[Duration]]&lt;=120,"1 to 2 hours",TRUE,"More than 2 hours")</f>
        <v>30 to 60 min</v>
      </c>
      <c r="K173">
        <f>ROUND(Call_Center[[#This Row],[Satisfaction Rating]],0)</f>
        <v>5</v>
      </c>
    </row>
    <row r="174" spans="1:11" x14ac:dyDescent="0.35">
      <c r="A174" s="21" t="s">
        <v>1157</v>
      </c>
      <c r="B174" s="18" t="s">
        <v>991</v>
      </c>
      <c r="C174" s="18">
        <v>86</v>
      </c>
      <c r="D174" s="19" t="s">
        <v>972</v>
      </c>
      <c r="E174" s="20">
        <v>44990</v>
      </c>
      <c r="F174" s="18">
        <v>27</v>
      </c>
      <c r="G174" s="22">
        <v>4.5</v>
      </c>
      <c r="H174">
        <f>IF(MONTH(Call_Center[[#This Row],[Date of Call]])&lt;=6,2023,2024)</f>
        <v>2023</v>
      </c>
      <c r="I174" t="str">
        <f>TEXT(Call_Center[[#This Row],[Date of Call]],"DDDD")</f>
        <v>Sunday</v>
      </c>
      <c r="J174" t="str" cm="1">
        <f t="array" ref="J174">_xlfn.IFS(Call_Center[[#This Row],[Duration]]&lt;=10,"Under 10 mins",Call_Center[[#This Row],[Duration]]&lt;=30,"10 to 30 min",Call_Center[[#This Row],[Duration]]&lt;=60,"30 to 60 min",Call_Center[[#This Row],[Duration]]&lt;=120,"1 to 2 hours",TRUE,"More than 2 hours")</f>
        <v>1 to 2 hours</v>
      </c>
      <c r="K174">
        <f>ROUND(Call_Center[[#This Row],[Satisfaction Rating]],0)</f>
        <v>5</v>
      </c>
    </row>
    <row r="175" spans="1:11" x14ac:dyDescent="0.35">
      <c r="A175" s="21" t="s">
        <v>1158</v>
      </c>
      <c r="B175" s="18" t="s">
        <v>980</v>
      </c>
      <c r="C175" s="18">
        <v>131</v>
      </c>
      <c r="D175" s="19" t="s">
        <v>967</v>
      </c>
      <c r="E175" s="20">
        <v>44990</v>
      </c>
      <c r="F175" s="18">
        <v>140</v>
      </c>
      <c r="G175" s="22">
        <v>4.0999999999999996</v>
      </c>
      <c r="H175">
        <f>IF(MONTH(Call_Center[[#This Row],[Date of Call]])&lt;=6,2023,2024)</f>
        <v>2023</v>
      </c>
      <c r="I175" t="str">
        <f>TEXT(Call_Center[[#This Row],[Date of Call]],"DDDD")</f>
        <v>Sunday</v>
      </c>
      <c r="J175" t="str" cm="1">
        <f t="array" ref="J175">_xlfn.IFS(Call_Center[[#This Row],[Duration]]&lt;=10,"Under 10 mins",Call_Center[[#This Row],[Duration]]&lt;=30,"10 to 30 min",Call_Center[[#This Row],[Duration]]&lt;=60,"30 to 60 min",Call_Center[[#This Row],[Duration]]&lt;=120,"1 to 2 hours",TRUE,"More than 2 hours")</f>
        <v>More than 2 hours</v>
      </c>
      <c r="K175">
        <f>ROUND(Call_Center[[#This Row],[Satisfaction Rating]],0)</f>
        <v>4</v>
      </c>
    </row>
    <row r="176" spans="1:11" x14ac:dyDescent="0.35">
      <c r="A176" s="21" t="s">
        <v>1159</v>
      </c>
      <c r="B176" s="18" t="s">
        <v>1008</v>
      </c>
      <c r="C176" s="18">
        <v>67</v>
      </c>
      <c r="D176" s="19" t="s">
        <v>977</v>
      </c>
      <c r="E176" s="20">
        <v>44990</v>
      </c>
      <c r="F176" s="18">
        <v>40</v>
      </c>
      <c r="G176" s="22">
        <v>5</v>
      </c>
      <c r="H176">
        <f>IF(MONTH(Call_Center[[#This Row],[Date of Call]])&lt;=6,2023,2024)</f>
        <v>2023</v>
      </c>
      <c r="I176" t="str">
        <f>TEXT(Call_Center[[#This Row],[Date of Call]],"DDDD")</f>
        <v>Sunday</v>
      </c>
      <c r="J176" t="str" cm="1">
        <f t="array" ref="J176">_xlfn.IFS(Call_Center[[#This Row],[Duration]]&lt;=10,"Under 10 mins",Call_Center[[#This Row],[Duration]]&lt;=30,"10 to 30 min",Call_Center[[#This Row],[Duration]]&lt;=60,"30 to 60 min",Call_Center[[#This Row],[Duration]]&lt;=120,"1 to 2 hours",TRUE,"More than 2 hours")</f>
        <v>1 to 2 hours</v>
      </c>
      <c r="K176">
        <f>ROUND(Call_Center[[#This Row],[Satisfaction Rating]],0)</f>
        <v>5</v>
      </c>
    </row>
    <row r="177" spans="1:11" x14ac:dyDescent="0.35">
      <c r="A177" s="21" t="s">
        <v>1160</v>
      </c>
      <c r="B177" s="18" t="s">
        <v>1038</v>
      </c>
      <c r="C177" s="18">
        <v>71</v>
      </c>
      <c r="D177" s="19" t="s">
        <v>986</v>
      </c>
      <c r="E177" s="20">
        <v>44990</v>
      </c>
      <c r="F177" s="18">
        <v>102</v>
      </c>
      <c r="G177" s="22">
        <v>4.7</v>
      </c>
      <c r="H177">
        <f>IF(MONTH(Call_Center[[#This Row],[Date of Call]])&lt;=6,2023,2024)</f>
        <v>2023</v>
      </c>
      <c r="I177" t="str">
        <f>TEXT(Call_Center[[#This Row],[Date of Call]],"DDDD")</f>
        <v>Sunday</v>
      </c>
      <c r="J177" t="str" cm="1">
        <f t="array" ref="J177">_xlfn.IFS(Call_Center[[#This Row],[Duration]]&lt;=10,"Under 10 mins",Call_Center[[#This Row],[Duration]]&lt;=30,"10 to 30 min",Call_Center[[#This Row],[Duration]]&lt;=60,"30 to 60 min",Call_Center[[#This Row],[Duration]]&lt;=120,"1 to 2 hours",TRUE,"More than 2 hours")</f>
        <v>1 to 2 hours</v>
      </c>
      <c r="K177">
        <f>ROUND(Call_Center[[#This Row],[Satisfaction Rating]],0)</f>
        <v>5</v>
      </c>
    </row>
    <row r="178" spans="1:11" x14ac:dyDescent="0.35">
      <c r="A178" s="21" t="s">
        <v>1161</v>
      </c>
      <c r="B178" s="18" t="s">
        <v>980</v>
      </c>
      <c r="C178" s="18">
        <v>113</v>
      </c>
      <c r="D178" s="19" t="s">
        <v>967</v>
      </c>
      <c r="E178" s="20">
        <v>44990</v>
      </c>
      <c r="F178" s="18">
        <v>42</v>
      </c>
      <c r="G178" s="22">
        <v>4.2</v>
      </c>
      <c r="H178">
        <f>IF(MONTH(Call_Center[[#This Row],[Date of Call]])&lt;=6,2023,2024)</f>
        <v>2023</v>
      </c>
      <c r="I178" t="str">
        <f>TEXT(Call_Center[[#This Row],[Date of Call]],"DDDD")</f>
        <v>Sunday</v>
      </c>
      <c r="J178" t="str" cm="1">
        <f t="array" ref="J178">_xlfn.IFS(Call_Center[[#This Row],[Duration]]&lt;=10,"Under 10 mins",Call_Center[[#This Row],[Duration]]&lt;=30,"10 to 30 min",Call_Center[[#This Row],[Duration]]&lt;=60,"30 to 60 min",Call_Center[[#This Row],[Duration]]&lt;=120,"1 to 2 hours",TRUE,"More than 2 hours")</f>
        <v>1 to 2 hours</v>
      </c>
      <c r="K178">
        <f>ROUND(Call_Center[[#This Row],[Satisfaction Rating]],0)</f>
        <v>4</v>
      </c>
    </row>
    <row r="179" spans="1:11" x14ac:dyDescent="0.35">
      <c r="A179" s="21" t="s">
        <v>1162</v>
      </c>
      <c r="B179" s="18" t="s">
        <v>1000</v>
      </c>
      <c r="C179" s="18">
        <v>53</v>
      </c>
      <c r="D179" s="19" t="s">
        <v>972</v>
      </c>
      <c r="E179" s="20">
        <v>44991</v>
      </c>
      <c r="F179" s="18">
        <v>210</v>
      </c>
      <c r="G179" s="22">
        <v>3.9</v>
      </c>
      <c r="H179">
        <f>IF(MONTH(Call_Center[[#This Row],[Date of Call]])&lt;=6,2023,2024)</f>
        <v>2023</v>
      </c>
      <c r="I179" t="str">
        <f>TEXT(Call_Center[[#This Row],[Date of Call]],"DDDD")</f>
        <v>Monday</v>
      </c>
      <c r="J179" t="str" cm="1">
        <f t="array" ref="J179">_xlfn.IFS(Call_Center[[#This Row],[Duration]]&lt;=10,"Under 10 mins",Call_Center[[#This Row],[Duration]]&lt;=30,"10 to 30 min",Call_Center[[#This Row],[Duration]]&lt;=60,"30 to 60 min",Call_Center[[#This Row],[Duration]]&lt;=120,"1 to 2 hours",TRUE,"More than 2 hours")</f>
        <v>30 to 60 min</v>
      </c>
      <c r="K179">
        <f>ROUND(Call_Center[[#This Row],[Satisfaction Rating]],0)</f>
        <v>4</v>
      </c>
    </row>
    <row r="180" spans="1:11" x14ac:dyDescent="0.35">
      <c r="A180" s="21" t="s">
        <v>1163</v>
      </c>
      <c r="B180" s="18" t="s">
        <v>980</v>
      </c>
      <c r="C180" s="18">
        <v>153</v>
      </c>
      <c r="D180" s="19" t="s">
        <v>977</v>
      </c>
      <c r="E180" s="20">
        <v>44991</v>
      </c>
      <c r="F180" s="18">
        <v>34</v>
      </c>
      <c r="G180" s="22">
        <v>3</v>
      </c>
      <c r="H180">
        <f>IF(MONTH(Call_Center[[#This Row],[Date of Call]])&lt;=6,2023,2024)</f>
        <v>2023</v>
      </c>
      <c r="I180" t="str">
        <f>TEXT(Call_Center[[#This Row],[Date of Call]],"DDDD")</f>
        <v>Monday</v>
      </c>
      <c r="J180" t="str" cm="1">
        <f t="array" ref="J180">_xlfn.IFS(Call_Center[[#This Row],[Duration]]&lt;=10,"Under 10 mins",Call_Center[[#This Row],[Duration]]&lt;=30,"10 to 30 min",Call_Center[[#This Row],[Duration]]&lt;=60,"30 to 60 min",Call_Center[[#This Row],[Duration]]&lt;=120,"1 to 2 hours",TRUE,"More than 2 hours")</f>
        <v>More than 2 hours</v>
      </c>
      <c r="K180">
        <f>ROUND(Call_Center[[#This Row],[Satisfaction Rating]],0)</f>
        <v>3</v>
      </c>
    </row>
    <row r="181" spans="1:11" x14ac:dyDescent="0.35">
      <c r="A181" s="21" t="s">
        <v>1164</v>
      </c>
      <c r="B181" s="18" t="s">
        <v>1008</v>
      </c>
      <c r="C181" s="18">
        <v>73</v>
      </c>
      <c r="D181" s="19" t="s">
        <v>982</v>
      </c>
      <c r="E181" s="20">
        <v>44991</v>
      </c>
      <c r="F181" s="18">
        <v>215</v>
      </c>
      <c r="G181" s="22">
        <v>3.6</v>
      </c>
      <c r="H181">
        <f>IF(MONTH(Call_Center[[#This Row],[Date of Call]])&lt;=6,2023,2024)</f>
        <v>2023</v>
      </c>
      <c r="I181" t="str">
        <f>TEXT(Call_Center[[#This Row],[Date of Call]],"DDDD")</f>
        <v>Monday</v>
      </c>
      <c r="J181" t="str" cm="1">
        <f t="array" ref="J181">_xlfn.IFS(Call_Center[[#This Row],[Duration]]&lt;=10,"Under 10 mins",Call_Center[[#This Row],[Duration]]&lt;=30,"10 to 30 min",Call_Center[[#This Row],[Duration]]&lt;=60,"30 to 60 min",Call_Center[[#This Row],[Duration]]&lt;=120,"1 to 2 hours",TRUE,"More than 2 hours")</f>
        <v>1 to 2 hours</v>
      </c>
      <c r="K181">
        <f>ROUND(Call_Center[[#This Row],[Satisfaction Rating]],0)</f>
        <v>4</v>
      </c>
    </row>
    <row r="182" spans="1:11" x14ac:dyDescent="0.35">
      <c r="A182" s="21" t="s">
        <v>1165</v>
      </c>
      <c r="B182" s="18" t="s">
        <v>997</v>
      </c>
      <c r="C182" s="18">
        <v>62</v>
      </c>
      <c r="D182" s="19" t="s">
        <v>982</v>
      </c>
      <c r="E182" s="20">
        <v>44991</v>
      </c>
      <c r="F182" s="18">
        <v>32</v>
      </c>
      <c r="G182" s="22">
        <v>0.7</v>
      </c>
      <c r="H182">
        <f>IF(MONTH(Call_Center[[#This Row],[Date of Call]])&lt;=6,2023,2024)</f>
        <v>2023</v>
      </c>
      <c r="I182" t="str">
        <f>TEXT(Call_Center[[#This Row],[Date of Call]],"DDDD")</f>
        <v>Monday</v>
      </c>
      <c r="J182" t="str" cm="1">
        <f t="array" ref="J182">_xlfn.IFS(Call_Center[[#This Row],[Duration]]&lt;=10,"Under 10 mins",Call_Center[[#This Row],[Duration]]&lt;=30,"10 to 30 min",Call_Center[[#This Row],[Duration]]&lt;=60,"30 to 60 min",Call_Center[[#This Row],[Duration]]&lt;=120,"1 to 2 hours",TRUE,"More than 2 hours")</f>
        <v>1 to 2 hours</v>
      </c>
      <c r="K182">
        <f>ROUND(Call_Center[[#This Row],[Satisfaction Rating]],0)</f>
        <v>1</v>
      </c>
    </row>
    <row r="183" spans="1:11" x14ac:dyDescent="0.35">
      <c r="A183" s="21" t="s">
        <v>1166</v>
      </c>
      <c r="B183" s="18" t="s">
        <v>976</v>
      </c>
      <c r="C183" s="18">
        <v>115</v>
      </c>
      <c r="D183" s="19" t="s">
        <v>972</v>
      </c>
      <c r="E183" s="20">
        <v>44992</v>
      </c>
      <c r="F183" s="18">
        <v>48</v>
      </c>
      <c r="G183" s="22">
        <v>4.7</v>
      </c>
      <c r="H183">
        <f>IF(MONTH(Call_Center[[#This Row],[Date of Call]])&lt;=6,2023,2024)</f>
        <v>2023</v>
      </c>
      <c r="I183" t="str">
        <f>TEXT(Call_Center[[#This Row],[Date of Call]],"DDDD")</f>
        <v>Tuesday</v>
      </c>
      <c r="J183" t="str" cm="1">
        <f t="array" ref="J183">_xlfn.IFS(Call_Center[[#This Row],[Duration]]&lt;=10,"Under 10 mins",Call_Center[[#This Row],[Duration]]&lt;=30,"10 to 30 min",Call_Center[[#This Row],[Duration]]&lt;=60,"30 to 60 min",Call_Center[[#This Row],[Duration]]&lt;=120,"1 to 2 hours",TRUE,"More than 2 hours")</f>
        <v>1 to 2 hours</v>
      </c>
      <c r="K183">
        <f>ROUND(Call_Center[[#This Row],[Satisfaction Rating]],0)</f>
        <v>5</v>
      </c>
    </row>
    <row r="184" spans="1:11" x14ac:dyDescent="0.35">
      <c r="A184" s="21" t="s">
        <v>1167</v>
      </c>
      <c r="B184" s="18" t="s">
        <v>980</v>
      </c>
      <c r="C184" s="18">
        <v>69</v>
      </c>
      <c r="D184" s="19" t="s">
        <v>972</v>
      </c>
      <c r="E184" s="20">
        <v>44992</v>
      </c>
      <c r="F184" s="18">
        <v>132</v>
      </c>
      <c r="G184" s="22">
        <v>4.5</v>
      </c>
      <c r="H184">
        <f>IF(MONTH(Call_Center[[#This Row],[Date of Call]])&lt;=6,2023,2024)</f>
        <v>2023</v>
      </c>
      <c r="I184" t="str">
        <f>TEXT(Call_Center[[#This Row],[Date of Call]],"DDDD")</f>
        <v>Tuesday</v>
      </c>
      <c r="J184" t="str" cm="1">
        <f t="array" ref="J184">_xlfn.IFS(Call_Center[[#This Row],[Duration]]&lt;=10,"Under 10 mins",Call_Center[[#This Row],[Duration]]&lt;=30,"10 to 30 min",Call_Center[[#This Row],[Duration]]&lt;=60,"30 to 60 min",Call_Center[[#This Row],[Duration]]&lt;=120,"1 to 2 hours",TRUE,"More than 2 hours")</f>
        <v>1 to 2 hours</v>
      </c>
      <c r="K184">
        <f>ROUND(Call_Center[[#This Row],[Satisfaction Rating]],0)</f>
        <v>5</v>
      </c>
    </row>
    <row r="185" spans="1:11" x14ac:dyDescent="0.35">
      <c r="A185" s="21" t="s">
        <v>1168</v>
      </c>
      <c r="B185" s="18" t="s">
        <v>991</v>
      </c>
      <c r="C185" s="18">
        <v>103</v>
      </c>
      <c r="D185" s="19" t="s">
        <v>967</v>
      </c>
      <c r="E185" s="20">
        <v>44992</v>
      </c>
      <c r="F185" s="18">
        <v>172</v>
      </c>
      <c r="G185" s="22">
        <v>4.3</v>
      </c>
      <c r="H185">
        <f>IF(MONTH(Call_Center[[#This Row],[Date of Call]])&lt;=6,2023,2024)</f>
        <v>2023</v>
      </c>
      <c r="I185" t="str">
        <f>TEXT(Call_Center[[#This Row],[Date of Call]],"DDDD")</f>
        <v>Tuesday</v>
      </c>
      <c r="J185" t="str" cm="1">
        <f t="array" ref="J185">_xlfn.IFS(Call_Center[[#This Row],[Duration]]&lt;=10,"Under 10 mins",Call_Center[[#This Row],[Duration]]&lt;=30,"10 to 30 min",Call_Center[[#This Row],[Duration]]&lt;=60,"30 to 60 min",Call_Center[[#This Row],[Duration]]&lt;=120,"1 to 2 hours",TRUE,"More than 2 hours")</f>
        <v>1 to 2 hours</v>
      </c>
      <c r="K185">
        <f>ROUND(Call_Center[[#This Row],[Satisfaction Rating]],0)</f>
        <v>4</v>
      </c>
    </row>
    <row r="186" spans="1:11" x14ac:dyDescent="0.35">
      <c r="A186" s="21" t="s">
        <v>1169</v>
      </c>
      <c r="B186" s="18" t="s">
        <v>991</v>
      </c>
      <c r="C186" s="18">
        <v>75</v>
      </c>
      <c r="D186" s="19" t="s">
        <v>967</v>
      </c>
      <c r="E186" s="20">
        <v>44992</v>
      </c>
      <c r="F186" s="18">
        <v>111</v>
      </c>
      <c r="G186" s="22">
        <v>3.4</v>
      </c>
      <c r="H186">
        <f>IF(MONTH(Call_Center[[#This Row],[Date of Call]])&lt;=6,2023,2024)</f>
        <v>2023</v>
      </c>
      <c r="I186" t="str">
        <f>TEXT(Call_Center[[#This Row],[Date of Call]],"DDDD")</f>
        <v>Tuesday</v>
      </c>
      <c r="J186" t="str" cm="1">
        <f t="array" ref="J186">_xlfn.IFS(Call_Center[[#This Row],[Duration]]&lt;=10,"Under 10 mins",Call_Center[[#This Row],[Duration]]&lt;=30,"10 to 30 min",Call_Center[[#This Row],[Duration]]&lt;=60,"30 to 60 min",Call_Center[[#This Row],[Duration]]&lt;=120,"1 to 2 hours",TRUE,"More than 2 hours")</f>
        <v>1 to 2 hours</v>
      </c>
      <c r="K186">
        <f>ROUND(Call_Center[[#This Row],[Satisfaction Rating]],0)</f>
        <v>3</v>
      </c>
    </row>
    <row r="187" spans="1:11" x14ac:dyDescent="0.35">
      <c r="A187" s="21" t="s">
        <v>1170</v>
      </c>
      <c r="B187" s="18" t="s">
        <v>989</v>
      </c>
      <c r="C187" s="18">
        <v>92</v>
      </c>
      <c r="D187" s="19" t="s">
        <v>967</v>
      </c>
      <c r="E187" s="20">
        <v>44992</v>
      </c>
      <c r="F187" s="18">
        <v>58</v>
      </c>
      <c r="G187" s="22">
        <v>3.6</v>
      </c>
      <c r="H187">
        <f>IF(MONTH(Call_Center[[#This Row],[Date of Call]])&lt;=6,2023,2024)</f>
        <v>2023</v>
      </c>
      <c r="I187" t="str">
        <f>TEXT(Call_Center[[#This Row],[Date of Call]],"DDDD")</f>
        <v>Tuesday</v>
      </c>
      <c r="J187" t="str" cm="1">
        <f t="array" ref="J187">_xlfn.IFS(Call_Center[[#This Row],[Duration]]&lt;=10,"Under 10 mins",Call_Center[[#This Row],[Duration]]&lt;=30,"10 to 30 min",Call_Center[[#This Row],[Duration]]&lt;=60,"30 to 60 min",Call_Center[[#This Row],[Duration]]&lt;=120,"1 to 2 hours",TRUE,"More than 2 hours")</f>
        <v>1 to 2 hours</v>
      </c>
      <c r="K187">
        <f>ROUND(Call_Center[[#This Row],[Satisfaction Rating]],0)</f>
        <v>4</v>
      </c>
    </row>
    <row r="188" spans="1:11" x14ac:dyDescent="0.35">
      <c r="A188" s="21" t="s">
        <v>1171</v>
      </c>
      <c r="B188" s="18" t="s">
        <v>989</v>
      </c>
      <c r="C188" s="18">
        <v>41</v>
      </c>
      <c r="D188" s="19" t="s">
        <v>982</v>
      </c>
      <c r="E188" s="20">
        <v>44992</v>
      </c>
      <c r="F188" s="18">
        <v>68</v>
      </c>
      <c r="G188" s="22">
        <v>4</v>
      </c>
      <c r="H188">
        <f>IF(MONTH(Call_Center[[#This Row],[Date of Call]])&lt;=6,2023,2024)</f>
        <v>2023</v>
      </c>
      <c r="I188" t="str">
        <f>TEXT(Call_Center[[#This Row],[Date of Call]],"DDDD")</f>
        <v>Tuesday</v>
      </c>
      <c r="J188" t="str" cm="1">
        <f t="array" ref="J188">_xlfn.IFS(Call_Center[[#This Row],[Duration]]&lt;=10,"Under 10 mins",Call_Center[[#This Row],[Duration]]&lt;=30,"10 to 30 min",Call_Center[[#This Row],[Duration]]&lt;=60,"30 to 60 min",Call_Center[[#This Row],[Duration]]&lt;=120,"1 to 2 hours",TRUE,"More than 2 hours")</f>
        <v>30 to 60 min</v>
      </c>
      <c r="K188">
        <f>ROUND(Call_Center[[#This Row],[Satisfaction Rating]],0)</f>
        <v>4</v>
      </c>
    </row>
    <row r="189" spans="1:11" x14ac:dyDescent="0.35">
      <c r="A189" s="21" t="s">
        <v>1172</v>
      </c>
      <c r="B189" s="18" t="s">
        <v>991</v>
      </c>
      <c r="C189" s="18">
        <v>134</v>
      </c>
      <c r="D189" s="19" t="s">
        <v>977</v>
      </c>
      <c r="E189" s="20">
        <v>44992</v>
      </c>
      <c r="F189" s="18">
        <v>160</v>
      </c>
      <c r="G189" s="22">
        <v>4.5</v>
      </c>
      <c r="H189">
        <f>IF(MONTH(Call_Center[[#This Row],[Date of Call]])&lt;=6,2023,2024)</f>
        <v>2023</v>
      </c>
      <c r="I189" t="str">
        <f>TEXT(Call_Center[[#This Row],[Date of Call]],"DDDD")</f>
        <v>Tuesday</v>
      </c>
      <c r="J189" t="str" cm="1">
        <f t="array" ref="J189">_xlfn.IFS(Call_Center[[#This Row],[Duration]]&lt;=10,"Under 10 mins",Call_Center[[#This Row],[Duration]]&lt;=30,"10 to 30 min",Call_Center[[#This Row],[Duration]]&lt;=60,"30 to 60 min",Call_Center[[#This Row],[Duration]]&lt;=120,"1 to 2 hours",TRUE,"More than 2 hours")</f>
        <v>More than 2 hours</v>
      </c>
      <c r="K189">
        <f>ROUND(Call_Center[[#This Row],[Satisfaction Rating]],0)</f>
        <v>5</v>
      </c>
    </row>
    <row r="190" spans="1:11" x14ac:dyDescent="0.35">
      <c r="A190" s="21" t="s">
        <v>1173</v>
      </c>
      <c r="B190" s="18" t="s">
        <v>1018</v>
      </c>
      <c r="C190" s="18">
        <v>80</v>
      </c>
      <c r="D190" s="19" t="s">
        <v>986</v>
      </c>
      <c r="E190" s="20">
        <v>44992</v>
      </c>
      <c r="F190" s="18">
        <v>45</v>
      </c>
      <c r="G190" s="22">
        <v>3</v>
      </c>
      <c r="H190">
        <f>IF(MONTH(Call_Center[[#This Row],[Date of Call]])&lt;=6,2023,2024)</f>
        <v>2023</v>
      </c>
      <c r="I190" t="str">
        <f>TEXT(Call_Center[[#This Row],[Date of Call]],"DDDD")</f>
        <v>Tuesday</v>
      </c>
      <c r="J190" t="str" cm="1">
        <f t="array" ref="J190">_xlfn.IFS(Call_Center[[#This Row],[Duration]]&lt;=10,"Under 10 mins",Call_Center[[#This Row],[Duration]]&lt;=30,"10 to 30 min",Call_Center[[#This Row],[Duration]]&lt;=60,"30 to 60 min",Call_Center[[#This Row],[Duration]]&lt;=120,"1 to 2 hours",TRUE,"More than 2 hours")</f>
        <v>1 to 2 hours</v>
      </c>
      <c r="K190">
        <f>ROUND(Call_Center[[#This Row],[Satisfaction Rating]],0)</f>
        <v>3</v>
      </c>
    </row>
    <row r="191" spans="1:11" x14ac:dyDescent="0.35">
      <c r="A191" s="21" t="s">
        <v>1174</v>
      </c>
      <c r="B191" s="18" t="s">
        <v>1038</v>
      </c>
      <c r="C191" s="18">
        <v>103</v>
      </c>
      <c r="D191" s="19" t="s">
        <v>972</v>
      </c>
      <c r="E191" s="20">
        <v>44993</v>
      </c>
      <c r="F191" s="18">
        <v>117</v>
      </c>
      <c r="G191" s="22">
        <v>3</v>
      </c>
      <c r="H191">
        <f>IF(MONTH(Call_Center[[#This Row],[Date of Call]])&lt;=6,2023,2024)</f>
        <v>2023</v>
      </c>
      <c r="I191" t="str">
        <f>TEXT(Call_Center[[#This Row],[Date of Call]],"DDDD")</f>
        <v>Wednesday</v>
      </c>
      <c r="J191" t="str" cm="1">
        <f t="array" ref="J191">_xlfn.IFS(Call_Center[[#This Row],[Duration]]&lt;=10,"Under 10 mins",Call_Center[[#This Row],[Duration]]&lt;=30,"10 to 30 min",Call_Center[[#This Row],[Duration]]&lt;=60,"30 to 60 min",Call_Center[[#This Row],[Duration]]&lt;=120,"1 to 2 hours",TRUE,"More than 2 hours")</f>
        <v>1 to 2 hours</v>
      </c>
      <c r="K191">
        <f>ROUND(Call_Center[[#This Row],[Satisfaction Rating]],0)</f>
        <v>3</v>
      </c>
    </row>
    <row r="192" spans="1:11" x14ac:dyDescent="0.35">
      <c r="A192" s="21" t="s">
        <v>1175</v>
      </c>
      <c r="B192" s="18" t="s">
        <v>1000</v>
      </c>
      <c r="C192" s="18">
        <v>20</v>
      </c>
      <c r="D192" s="19" t="s">
        <v>967</v>
      </c>
      <c r="E192" s="20">
        <v>44994</v>
      </c>
      <c r="F192" s="18">
        <v>22</v>
      </c>
      <c r="G192" s="22">
        <v>1.6</v>
      </c>
      <c r="H192">
        <f>IF(MONTH(Call_Center[[#This Row],[Date of Call]])&lt;=6,2023,2024)</f>
        <v>2023</v>
      </c>
      <c r="I192" t="str">
        <f>TEXT(Call_Center[[#This Row],[Date of Call]],"DDDD")</f>
        <v>Thursday</v>
      </c>
      <c r="J192" t="str" cm="1">
        <f t="array" ref="J192">_xlfn.IFS(Call_Center[[#This Row],[Duration]]&lt;=10,"Under 10 mins",Call_Center[[#This Row],[Duration]]&lt;=30,"10 to 30 min",Call_Center[[#This Row],[Duration]]&lt;=60,"30 to 60 min",Call_Center[[#This Row],[Duration]]&lt;=120,"1 to 2 hours",TRUE,"More than 2 hours")</f>
        <v>10 to 30 min</v>
      </c>
      <c r="K192">
        <f>ROUND(Call_Center[[#This Row],[Satisfaction Rating]],0)</f>
        <v>2</v>
      </c>
    </row>
    <row r="193" spans="1:11" x14ac:dyDescent="0.35">
      <c r="A193" s="21" t="s">
        <v>1176</v>
      </c>
      <c r="B193" s="18" t="s">
        <v>1038</v>
      </c>
      <c r="C193" s="18">
        <v>75</v>
      </c>
      <c r="D193" s="19" t="s">
        <v>986</v>
      </c>
      <c r="E193" s="20">
        <v>44994</v>
      </c>
      <c r="F193" s="18">
        <v>195</v>
      </c>
      <c r="G193" s="22">
        <v>3</v>
      </c>
      <c r="H193">
        <f>IF(MONTH(Call_Center[[#This Row],[Date of Call]])&lt;=6,2023,2024)</f>
        <v>2023</v>
      </c>
      <c r="I193" t="str">
        <f>TEXT(Call_Center[[#This Row],[Date of Call]],"DDDD")</f>
        <v>Thursday</v>
      </c>
      <c r="J193" t="str" cm="1">
        <f t="array" ref="J193">_xlfn.IFS(Call_Center[[#This Row],[Duration]]&lt;=10,"Under 10 mins",Call_Center[[#This Row],[Duration]]&lt;=30,"10 to 30 min",Call_Center[[#This Row],[Duration]]&lt;=60,"30 to 60 min",Call_Center[[#This Row],[Duration]]&lt;=120,"1 to 2 hours",TRUE,"More than 2 hours")</f>
        <v>1 to 2 hours</v>
      </c>
      <c r="K193">
        <f>ROUND(Call_Center[[#This Row],[Satisfaction Rating]],0)</f>
        <v>3</v>
      </c>
    </row>
    <row r="194" spans="1:11" x14ac:dyDescent="0.35">
      <c r="A194" s="21" t="s">
        <v>1177</v>
      </c>
      <c r="B194" s="18" t="s">
        <v>989</v>
      </c>
      <c r="C194" s="18">
        <v>80</v>
      </c>
      <c r="D194" s="19" t="s">
        <v>977</v>
      </c>
      <c r="E194" s="20">
        <v>44994</v>
      </c>
      <c r="F194" s="18">
        <v>168</v>
      </c>
      <c r="G194" s="22">
        <v>3.7</v>
      </c>
      <c r="H194">
        <f>IF(MONTH(Call_Center[[#This Row],[Date of Call]])&lt;=6,2023,2024)</f>
        <v>2023</v>
      </c>
      <c r="I194" t="str">
        <f>TEXT(Call_Center[[#This Row],[Date of Call]],"DDDD")</f>
        <v>Thursday</v>
      </c>
      <c r="J194" t="str" cm="1">
        <f t="array" ref="J194">_xlfn.IFS(Call_Center[[#This Row],[Duration]]&lt;=10,"Under 10 mins",Call_Center[[#This Row],[Duration]]&lt;=30,"10 to 30 min",Call_Center[[#This Row],[Duration]]&lt;=60,"30 to 60 min",Call_Center[[#This Row],[Duration]]&lt;=120,"1 to 2 hours",TRUE,"More than 2 hours")</f>
        <v>1 to 2 hours</v>
      </c>
      <c r="K194">
        <f>ROUND(Call_Center[[#This Row],[Satisfaction Rating]],0)</f>
        <v>4</v>
      </c>
    </row>
    <row r="195" spans="1:11" x14ac:dyDescent="0.35">
      <c r="A195" s="21" t="s">
        <v>1178</v>
      </c>
      <c r="B195" s="18" t="s">
        <v>980</v>
      </c>
      <c r="C195" s="18">
        <v>85</v>
      </c>
      <c r="D195" s="19" t="s">
        <v>982</v>
      </c>
      <c r="E195" s="20">
        <v>44995</v>
      </c>
      <c r="F195" s="18">
        <v>46</v>
      </c>
      <c r="G195" s="22">
        <v>4.9000000000000004</v>
      </c>
      <c r="H195">
        <f>IF(MONTH(Call_Center[[#This Row],[Date of Call]])&lt;=6,2023,2024)</f>
        <v>2023</v>
      </c>
      <c r="I195" t="str">
        <f>TEXT(Call_Center[[#This Row],[Date of Call]],"DDDD")</f>
        <v>Friday</v>
      </c>
      <c r="J195" t="str" cm="1">
        <f t="array" ref="J195">_xlfn.IFS(Call_Center[[#This Row],[Duration]]&lt;=10,"Under 10 mins",Call_Center[[#This Row],[Duration]]&lt;=30,"10 to 30 min",Call_Center[[#This Row],[Duration]]&lt;=60,"30 to 60 min",Call_Center[[#This Row],[Duration]]&lt;=120,"1 to 2 hours",TRUE,"More than 2 hours")</f>
        <v>1 to 2 hours</v>
      </c>
      <c r="K195">
        <f>ROUND(Call_Center[[#This Row],[Satisfaction Rating]],0)</f>
        <v>5</v>
      </c>
    </row>
    <row r="196" spans="1:11" x14ac:dyDescent="0.35">
      <c r="A196" s="21" t="s">
        <v>1179</v>
      </c>
      <c r="B196" s="18" t="s">
        <v>969</v>
      </c>
      <c r="C196" s="18">
        <v>155</v>
      </c>
      <c r="D196" s="19" t="s">
        <v>967</v>
      </c>
      <c r="E196" s="20">
        <v>44995</v>
      </c>
      <c r="F196" s="18">
        <v>164</v>
      </c>
      <c r="G196" s="22">
        <v>3.4</v>
      </c>
      <c r="H196">
        <f>IF(MONTH(Call_Center[[#This Row],[Date of Call]])&lt;=6,2023,2024)</f>
        <v>2023</v>
      </c>
      <c r="I196" t="str">
        <f>TEXT(Call_Center[[#This Row],[Date of Call]],"DDDD")</f>
        <v>Friday</v>
      </c>
      <c r="J196" t="str" cm="1">
        <f t="array" ref="J196">_xlfn.IFS(Call_Center[[#This Row],[Duration]]&lt;=10,"Under 10 mins",Call_Center[[#This Row],[Duration]]&lt;=30,"10 to 30 min",Call_Center[[#This Row],[Duration]]&lt;=60,"30 to 60 min",Call_Center[[#This Row],[Duration]]&lt;=120,"1 to 2 hours",TRUE,"More than 2 hours")</f>
        <v>More than 2 hours</v>
      </c>
      <c r="K196">
        <f>ROUND(Call_Center[[#This Row],[Satisfaction Rating]],0)</f>
        <v>3</v>
      </c>
    </row>
    <row r="197" spans="1:11" x14ac:dyDescent="0.35">
      <c r="A197" s="21" t="s">
        <v>1180</v>
      </c>
      <c r="B197" s="18" t="s">
        <v>980</v>
      </c>
      <c r="C197" s="18">
        <v>63</v>
      </c>
      <c r="D197" s="19" t="s">
        <v>982</v>
      </c>
      <c r="E197" s="20">
        <v>44995</v>
      </c>
      <c r="F197" s="18">
        <v>48</v>
      </c>
      <c r="G197" s="22">
        <v>5</v>
      </c>
      <c r="H197">
        <f>IF(MONTH(Call_Center[[#This Row],[Date of Call]])&lt;=6,2023,2024)</f>
        <v>2023</v>
      </c>
      <c r="I197" t="str">
        <f>TEXT(Call_Center[[#This Row],[Date of Call]],"DDDD")</f>
        <v>Friday</v>
      </c>
      <c r="J197" t="str" cm="1">
        <f t="array" ref="J197">_xlfn.IFS(Call_Center[[#This Row],[Duration]]&lt;=10,"Under 10 mins",Call_Center[[#This Row],[Duration]]&lt;=30,"10 to 30 min",Call_Center[[#This Row],[Duration]]&lt;=60,"30 to 60 min",Call_Center[[#This Row],[Duration]]&lt;=120,"1 to 2 hours",TRUE,"More than 2 hours")</f>
        <v>1 to 2 hours</v>
      </c>
      <c r="K197">
        <f>ROUND(Call_Center[[#This Row],[Satisfaction Rating]],0)</f>
        <v>5</v>
      </c>
    </row>
    <row r="198" spans="1:11" x14ac:dyDescent="0.35">
      <c r="A198" s="21" t="s">
        <v>1181</v>
      </c>
      <c r="B198" s="18" t="s">
        <v>971</v>
      </c>
      <c r="C198" s="18">
        <v>105</v>
      </c>
      <c r="D198" s="19" t="s">
        <v>972</v>
      </c>
      <c r="E198" s="20">
        <v>44995</v>
      </c>
      <c r="F198" s="18">
        <v>96</v>
      </c>
      <c r="G198" s="22">
        <v>5</v>
      </c>
      <c r="H198">
        <f>IF(MONTH(Call_Center[[#This Row],[Date of Call]])&lt;=6,2023,2024)</f>
        <v>2023</v>
      </c>
      <c r="I198" t="str">
        <f>TEXT(Call_Center[[#This Row],[Date of Call]],"DDDD")</f>
        <v>Friday</v>
      </c>
      <c r="J198" t="str" cm="1">
        <f t="array" ref="J198">_xlfn.IFS(Call_Center[[#This Row],[Duration]]&lt;=10,"Under 10 mins",Call_Center[[#This Row],[Duration]]&lt;=30,"10 to 30 min",Call_Center[[#This Row],[Duration]]&lt;=60,"30 to 60 min",Call_Center[[#This Row],[Duration]]&lt;=120,"1 to 2 hours",TRUE,"More than 2 hours")</f>
        <v>1 to 2 hours</v>
      </c>
      <c r="K198">
        <f>ROUND(Call_Center[[#This Row],[Satisfaction Rating]],0)</f>
        <v>5</v>
      </c>
    </row>
    <row r="199" spans="1:11" x14ac:dyDescent="0.35">
      <c r="A199" s="21" t="s">
        <v>1182</v>
      </c>
      <c r="B199" s="18" t="s">
        <v>980</v>
      </c>
      <c r="C199" s="18">
        <v>71</v>
      </c>
      <c r="D199" s="19" t="s">
        <v>982</v>
      </c>
      <c r="E199" s="20">
        <v>44995</v>
      </c>
      <c r="F199" s="18">
        <v>105</v>
      </c>
      <c r="G199" s="22">
        <v>4</v>
      </c>
      <c r="H199">
        <f>IF(MONTH(Call_Center[[#This Row],[Date of Call]])&lt;=6,2023,2024)</f>
        <v>2023</v>
      </c>
      <c r="I199" t="str">
        <f>TEXT(Call_Center[[#This Row],[Date of Call]],"DDDD")</f>
        <v>Friday</v>
      </c>
      <c r="J199" t="str" cm="1">
        <f t="array" ref="J199">_xlfn.IFS(Call_Center[[#This Row],[Duration]]&lt;=10,"Under 10 mins",Call_Center[[#This Row],[Duration]]&lt;=30,"10 to 30 min",Call_Center[[#This Row],[Duration]]&lt;=60,"30 to 60 min",Call_Center[[#This Row],[Duration]]&lt;=120,"1 to 2 hours",TRUE,"More than 2 hours")</f>
        <v>1 to 2 hours</v>
      </c>
      <c r="K199">
        <f>ROUND(Call_Center[[#This Row],[Satisfaction Rating]],0)</f>
        <v>4</v>
      </c>
    </row>
    <row r="200" spans="1:11" x14ac:dyDescent="0.35">
      <c r="A200" s="21" t="s">
        <v>1183</v>
      </c>
      <c r="B200" s="18" t="s">
        <v>969</v>
      </c>
      <c r="C200" s="18">
        <v>100</v>
      </c>
      <c r="D200" s="19" t="s">
        <v>982</v>
      </c>
      <c r="E200" s="20">
        <v>44996</v>
      </c>
      <c r="F200" s="18">
        <v>44</v>
      </c>
      <c r="G200" s="22">
        <v>3.6</v>
      </c>
      <c r="H200">
        <f>IF(MONTH(Call_Center[[#This Row],[Date of Call]])&lt;=6,2023,2024)</f>
        <v>2023</v>
      </c>
      <c r="I200" t="str">
        <f>TEXT(Call_Center[[#This Row],[Date of Call]],"DDDD")</f>
        <v>Saturday</v>
      </c>
      <c r="J200" t="str" cm="1">
        <f t="array" ref="J200">_xlfn.IFS(Call_Center[[#This Row],[Duration]]&lt;=10,"Under 10 mins",Call_Center[[#This Row],[Duration]]&lt;=30,"10 to 30 min",Call_Center[[#This Row],[Duration]]&lt;=60,"30 to 60 min",Call_Center[[#This Row],[Duration]]&lt;=120,"1 to 2 hours",TRUE,"More than 2 hours")</f>
        <v>1 to 2 hours</v>
      </c>
      <c r="K200">
        <f>ROUND(Call_Center[[#This Row],[Satisfaction Rating]],0)</f>
        <v>4</v>
      </c>
    </row>
    <row r="201" spans="1:11" x14ac:dyDescent="0.35">
      <c r="A201" s="21" t="s">
        <v>1184</v>
      </c>
      <c r="B201" s="18" t="s">
        <v>966</v>
      </c>
      <c r="C201" s="18">
        <v>93</v>
      </c>
      <c r="D201" s="19" t="s">
        <v>977</v>
      </c>
      <c r="E201" s="20">
        <v>44996</v>
      </c>
      <c r="F201" s="18">
        <v>132</v>
      </c>
      <c r="G201" s="22">
        <v>3.7</v>
      </c>
      <c r="H201">
        <f>IF(MONTH(Call_Center[[#This Row],[Date of Call]])&lt;=6,2023,2024)</f>
        <v>2023</v>
      </c>
      <c r="I201" t="str">
        <f>TEXT(Call_Center[[#This Row],[Date of Call]],"DDDD")</f>
        <v>Saturday</v>
      </c>
      <c r="J201" t="str" cm="1">
        <f t="array" ref="J201">_xlfn.IFS(Call_Center[[#This Row],[Duration]]&lt;=10,"Under 10 mins",Call_Center[[#This Row],[Duration]]&lt;=30,"10 to 30 min",Call_Center[[#This Row],[Duration]]&lt;=60,"30 to 60 min",Call_Center[[#This Row],[Duration]]&lt;=120,"1 to 2 hours",TRUE,"More than 2 hours")</f>
        <v>1 to 2 hours</v>
      </c>
      <c r="K201">
        <f>ROUND(Call_Center[[#This Row],[Satisfaction Rating]],0)</f>
        <v>4</v>
      </c>
    </row>
    <row r="202" spans="1:11" x14ac:dyDescent="0.35">
      <c r="A202" s="21" t="s">
        <v>1185</v>
      </c>
      <c r="B202" s="18" t="s">
        <v>971</v>
      </c>
      <c r="C202" s="18">
        <v>84</v>
      </c>
      <c r="D202" s="19" t="s">
        <v>967</v>
      </c>
      <c r="E202" s="20">
        <v>44996</v>
      </c>
      <c r="F202" s="18">
        <v>54</v>
      </c>
      <c r="G202" s="22">
        <v>4.2</v>
      </c>
      <c r="H202">
        <f>IF(MONTH(Call_Center[[#This Row],[Date of Call]])&lt;=6,2023,2024)</f>
        <v>2023</v>
      </c>
      <c r="I202" t="str">
        <f>TEXT(Call_Center[[#This Row],[Date of Call]],"DDDD")</f>
        <v>Saturday</v>
      </c>
      <c r="J202" t="str" cm="1">
        <f t="array" ref="J202">_xlfn.IFS(Call_Center[[#This Row],[Duration]]&lt;=10,"Under 10 mins",Call_Center[[#This Row],[Duration]]&lt;=30,"10 to 30 min",Call_Center[[#This Row],[Duration]]&lt;=60,"30 to 60 min",Call_Center[[#This Row],[Duration]]&lt;=120,"1 to 2 hours",TRUE,"More than 2 hours")</f>
        <v>1 to 2 hours</v>
      </c>
      <c r="K202">
        <f>ROUND(Call_Center[[#This Row],[Satisfaction Rating]],0)</f>
        <v>4</v>
      </c>
    </row>
    <row r="203" spans="1:11" x14ac:dyDescent="0.35">
      <c r="A203" s="21" t="s">
        <v>1186</v>
      </c>
      <c r="B203" s="18" t="s">
        <v>1018</v>
      </c>
      <c r="C203" s="18">
        <v>56</v>
      </c>
      <c r="D203" s="19" t="s">
        <v>986</v>
      </c>
      <c r="E203" s="20">
        <v>44996</v>
      </c>
      <c r="F203" s="18">
        <v>129</v>
      </c>
      <c r="G203" s="22">
        <v>2.1</v>
      </c>
      <c r="H203">
        <f>IF(MONTH(Call_Center[[#This Row],[Date of Call]])&lt;=6,2023,2024)</f>
        <v>2023</v>
      </c>
      <c r="I203" t="str">
        <f>TEXT(Call_Center[[#This Row],[Date of Call]],"DDDD")</f>
        <v>Saturday</v>
      </c>
      <c r="J203" t="str" cm="1">
        <f t="array" ref="J203">_xlfn.IFS(Call_Center[[#This Row],[Duration]]&lt;=10,"Under 10 mins",Call_Center[[#This Row],[Duration]]&lt;=30,"10 to 30 min",Call_Center[[#This Row],[Duration]]&lt;=60,"30 to 60 min",Call_Center[[#This Row],[Duration]]&lt;=120,"1 to 2 hours",TRUE,"More than 2 hours")</f>
        <v>30 to 60 min</v>
      </c>
      <c r="K203">
        <f>ROUND(Call_Center[[#This Row],[Satisfaction Rating]],0)</f>
        <v>2</v>
      </c>
    </row>
    <row r="204" spans="1:11" x14ac:dyDescent="0.35">
      <c r="A204" s="21" t="s">
        <v>1187</v>
      </c>
      <c r="B204" s="18" t="s">
        <v>1018</v>
      </c>
      <c r="C204" s="18">
        <v>63</v>
      </c>
      <c r="D204" s="19" t="s">
        <v>982</v>
      </c>
      <c r="E204" s="20">
        <v>44996</v>
      </c>
      <c r="F204" s="18">
        <v>42</v>
      </c>
      <c r="G204" s="22">
        <v>4</v>
      </c>
      <c r="H204">
        <f>IF(MONTH(Call_Center[[#This Row],[Date of Call]])&lt;=6,2023,2024)</f>
        <v>2023</v>
      </c>
      <c r="I204" t="str">
        <f>TEXT(Call_Center[[#This Row],[Date of Call]],"DDDD")</f>
        <v>Saturday</v>
      </c>
      <c r="J204" t="str" cm="1">
        <f t="array" ref="J204">_xlfn.IFS(Call_Center[[#This Row],[Duration]]&lt;=10,"Under 10 mins",Call_Center[[#This Row],[Duration]]&lt;=30,"10 to 30 min",Call_Center[[#This Row],[Duration]]&lt;=60,"30 to 60 min",Call_Center[[#This Row],[Duration]]&lt;=120,"1 to 2 hours",TRUE,"More than 2 hours")</f>
        <v>1 to 2 hours</v>
      </c>
      <c r="K204">
        <f>ROUND(Call_Center[[#This Row],[Satisfaction Rating]],0)</f>
        <v>4</v>
      </c>
    </row>
    <row r="205" spans="1:11" x14ac:dyDescent="0.35">
      <c r="A205" s="21" t="s">
        <v>1188</v>
      </c>
      <c r="B205" s="18" t="s">
        <v>997</v>
      </c>
      <c r="C205" s="18">
        <v>83</v>
      </c>
      <c r="D205" s="19" t="s">
        <v>982</v>
      </c>
      <c r="E205" s="20">
        <v>44996</v>
      </c>
      <c r="F205" s="18">
        <v>42</v>
      </c>
      <c r="G205" s="22">
        <v>4.2</v>
      </c>
      <c r="H205">
        <f>IF(MONTH(Call_Center[[#This Row],[Date of Call]])&lt;=6,2023,2024)</f>
        <v>2023</v>
      </c>
      <c r="I205" t="str">
        <f>TEXT(Call_Center[[#This Row],[Date of Call]],"DDDD")</f>
        <v>Saturday</v>
      </c>
      <c r="J205" t="str" cm="1">
        <f t="array" ref="J205">_xlfn.IFS(Call_Center[[#This Row],[Duration]]&lt;=10,"Under 10 mins",Call_Center[[#This Row],[Duration]]&lt;=30,"10 to 30 min",Call_Center[[#This Row],[Duration]]&lt;=60,"30 to 60 min",Call_Center[[#This Row],[Duration]]&lt;=120,"1 to 2 hours",TRUE,"More than 2 hours")</f>
        <v>1 to 2 hours</v>
      </c>
      <c r="K205">
        <f>ROUND(Call_Center[[#This Row],[Satisfaction Rating]],0)</f>
        <v>4</v>
      </c>
    </row>
    <row r="206" spans="1:11" x14ac:dyDescent="0.35">
      <c r="A206" s="21" t="s">
        <v>1189</v>
      </c>
      <c r="B206" s="18" t="s">
        <v>989</v>
      </c>
      <c r="C206" s="18">
        <v>134</v>
      </c>
      <c r="D206" s="19" t="s">
        <v>967</v>
      </c>
      <c r="E206" s="20">
        <v>44996</v>
      </c>
      <c r="F206" s="18">
        <v>180</v>
      </c>
      <c r="G206" s="22">
        <v>3.1</v>
      </c>
      <c r="H206">
        <f>IF(MONTH(Call_Center[[#This Row],[Date of Call]])&lt;=6,2023,2024)</f>
        <v>2023</v>
      </c>
      <c r="I206" t="str">
        <f>TEXT(Call_Center[[#This Row],[Date of Call]],"DDDD")</f>
        <v>Saturday</v>
      </c>
      <c r="J206" t="str" cm="1">
        <f t="array" ref="J206">_xlfn.IFS(Call_Center[[#This Row],[Duration]]&lt;=10,"Under 10 mins",Call_Center[[#This Row],[Duration]]&lt;=30,"10 to 30 min",Call_Center[[#This Row],[Duration]]&lt;=60,"30 to 60 min",Call_Center[[#This Row],[Duration]]&lt;=120,"1 to 2 hours",TRUE,"More than 2 hours")</f>
        <v>More than 2 hours</v>
      </c>
      <c r="K206">
        <f>ROUND(Call_Center[[#This Row],[Satisfaction Rating]],0)</f>
        <v>3</v>
      </c>
    </row>
    <row r="207" spans="1:11" x14ac:dyDescent="0.35">
      <c r="A207" s="21" t="s">
        <v>1190</v>
      </c>
      <c r="B207" s="18" t="s">
        <v>976</v>
      </c>
      <c r="C207" s="18">
        <v>73</v>
      </c>
      <c r="D207" s="19" t="s">
        <v>982</v>
      </c>
      <c r="E207" s="20">
        <v>44997</v>
      </c>
      <c r="F207" s="18">
        <v>34</v>
      </c>
      <c r="G207" s="22">
        <v>4.8</v>
      </c>
      <c r="H207">
        <f>IF(MONTH(Call_Center[[#This Row],[Date of Call]])&lt;=6,2023,2024)</f>
        <v>2023</v>
      </c>
      <c r="I207" t="str">
        <f>TEXT(Call_Center[[#This Row],[Date of Call]],"DDDD")</f>
        <v>Sunday</v>
      </c>
      <c r="J207" t="str" cm="1">
        <f t="array" ref="J207">_xlfn.IFS(Call_Center[[#This Row],[Duration]]&lt;=10,"Under 10 mins",Call_Center[[#This Row],[Duration]]&lt;=30,"10 to 30 min",Call_Center[[#This Row],[Duration]]&lt;=60,"30 to 60 min",Call_Center[[#This Row],[Duration]]&lt;=120,"1 to 2 hours",TRUE,"More than 2 hours")</f>
        <v>1 to 2 hours</v>
      </c>
      <c r="K207">
        <f>ROUND(Call_Center[[#This Row],[Satisfaction Rating]],0)</f>
        <v>5</v>
      </c>
    </row>
    <row r="208" spans="1:11" x14ac:dyDescent="0.35">
      <c r="A208" s="21" t="s">
        <v>1191</v>
      </c>
      <c r="B208" s="18" t="s">
        <v>1038</v>
      </c>
      <c r="C208" s="18">
        <v>6</v>
      </c>
      <c r="D208" s="19" t="s">
        <v>986</v>
      </c>
      <c r="E208" s="20">
        <v>44997</v>
      </c>
      <c r="F208" s="18">
        <v>29</v>
      </c>
      <c r="G208" s="22">
        <v>4.7</v>
      </c>
      <c r="H208">
        <f>IF(MONTH(Call_Center[[#This Row],[Date of Call]])&lt;=6,2023,2024)</f>
        <v>2023</v>
      </c>
      <c r="I208" t="str">
        <f>TEXT(Call_Center[[#This Row],[Date of Call]],"DDDD")</f>
        <v>Sunday</v>
      </c>
      <c r="J208" t="str" cm="1">
        <f t="array" ref="J208">_xlfn.IFS(Call_Center[[#This Row],[Duration]]&lt;=10,"Under 10 mins",Call_Center[[#This Row],[Duration]]&lt;=30,"10 to 30 min",Call_Center[[#This Row],[Duration]]&lt;=60,"30 to 60 min",Call_Center[[#This Row],[Duration]]&lt;=120,"1 to 2 hours",TRUE,"More than 2 hours")</f>
        <v>Under 10 mins</v>
      </c>
      <c r="K208">
        <f>ROUND(Call_Center[[#This Row],[Satisfaction Rating]],0)</f>
        <v>5</v>
      </c>
    </row>
    <row r="209" spans="1:11" x14ac:dyDescent="0.35">
      <c r="A209" s="21" t="s">
        <v>1192</v>
      </c>
      <c r="B209" s="18" t="s">
        <v>1008</v>
      </c>
      <c r="C209" s="18">
        <v>46</v>
      </c>
      <c r="D209" s="19" t="s">
        <v>972</v>
      </c>
      <c r="E209" s="20">
        <v>44997</v>
      </c>
      <c r="F209" s="18">
        <v>165</v>
      </c>
      <c r="G209" s="22">
        <v>3.3</v>
      </c>
      <c r="H209">
        <f>IF(MONTH(Call_Center[[#This Row],[Date of Call]])&lt;=6,2023,2024)</f>
        <v>2023</v>
      </c>
      <c r="I209" t="str">
        <f>TEXT(Call_Center[[#This Row],[Date of Call]],"DDDD")</f>
        <v>Sunday</v>
      </c>
      <c r="J209" t="str" cm="1">
        <f t="array" ref="J209">_xlfn.IFS(Call_Center[[#This Row],[Duration]]&lt;=10,"Under 10 mins",Call_Center[[#This Row],[Duration]]&lt;=30,"10 to 30 min",Call_Center[[#This Row],[Duration]]&lt;=60,"30 to 60 min",Call_Center[[#This Row],[Duration]]&lt;=120,"1 to 2 hours",TRUE,"More than 2 hours")</f>
        <v>30 to 60 min</v>
      </c>
      <c r="K209">
        <f>ROUND(Call_Center[[#This Row],[Satisfaction Rating]],0)</f>
        <v>3</v>
      </c>
    </row>
    <row r="210" spans="1:11" x14ac:dyDescent="0.35">
      <c r="A210" s="21" t="s">
        <v>1193</v>
      </c>
      <c r="B210" s="18" t="s">
        <v>1038</v>
      </c>
      <c r="C210" s="18">
        <v>121</v>
      </c>
      <c r="D210" s="19" t="s">
        <v>982</v>
      </c>
      <c r="E210" s="20">
        <v>44998</v>
      </c>
      <c r="F210" s="18">
        <v>32</v>
      </c>
      <c r="G210" s="22">
        <v>3.7</v>
      </c>
      <c r="H210">
        <f>IF(MONTH(Call_Center[[#This Row],[Date of Call]])&lt;=6,2023,2024)</f>
        <v>2023</v>
      </c>
      <c r="I210" t="str">
        <f>TEXT(Call_Center[[#This Row],[Date of Call]],"DDDD")</f>
        <v>Monday</v>
      </c>
      <c r="J210" t="str" cm="1">
        <f t="array" ref="J210">_xlfn.IFS(Call_Center[[#This Row],[Duration]]&lt;=10,"Under 10 mins",Call_Center[[#This Row],[Duration]]&lt;=30,"10 to 30 min",Call_Center[[#This Row],[Duration]]&lt;=60,"30 to 60 min",Call_Center[[#This Row],[Duration]]&lt;=120,"1 to 2 hours",TRUE,"More than 2 hours")</f>
        <v>More than 2 hours</v>
      </c>
      <c r="K210">
        <f>ROUND(Call_Center[[#This Row],[Satisfaction Rating]],0)</f>
        <v>4</v>
      </c>
    </row>
    <row r="211" spans="1:11" x14ac:dyDescent="0.35">
      <c r="A211" s="21" t="s">
        <v>1194</v>
      </c>
      <c r="B211" s="18" t="s">
        <v>1018</v>
      </c>
      <c r="C211" s="18">
        <v>61</v>
      </c>
      <c r="D211" s="19" t="s">
        <v>977</v>
      </c>
      <c r="E211" s="20">
        <v>44998</v>
      </c>
      <c r="F211" s="18">
        <v>160</v>
      </c>
      <c r="G211" s="22">
        <v>4.9000000000000004</v>
      </c>
      <c r="H211">
        <f>IF(MONTH(Call_Center[[#This Row],[Date of Call]])&lt;=6,2023,2024)</f>
        <v>2023</v>
      </c>
      <c r="I211" t="str">
        <f>TEXT(Call_Center[[#This Row],[Date of Call]],"DDDD")</f>
        <v>Monday</v>
      </c>
      <c r="J211" t="str" cm="1">
        <f t="array" ref="J211">_xlfn.IFS(Call_Center[[#This Row],[Duration]]&lt;=10,"Under 10 mins",Call_Center[[#This Row],[Duration]]&lt;=30,"10 to 30 min",Call_Center[[#This Row],[Duration]]&lt;=60,"30 to 60 min",Call_Center[[#This Row],[Duration]]&lt;=120,"1 to 2 hours",TRUE,"More than 2 hours")</f>
        <v>1 to 2 hours</v>
      </c>
      <c r="K211">
        <f>ROUND(Call_Center[[#This Row],[Satisfaction Rating]],0)</f>
        <v>5</v>
      </c>
    </row>
    <row r="212" spans="1:11" x14ac:dyDescent="0.35">
      <c r="A212" s="21" t="s">
        <v>1195</v>
      </c>
      <c r="B212" s="18" t="s">
        <v>989</v>
      </c>
      <c r="C212" s="18">
        <v>144</v>
      </c>
      <c r="D212" s="19" t="s">
        <v>967</v>
      </c>
      <c r="E212" s="20">
        <v>44998</v>
      </c>
      <c r="F212" s="18">
        <v>140</v>
      </c>
      <c r="G212" s="22">
        <v>3.5</v>
      </c>
      <c r="H212">
        <f>IF(MONTH(Call_Center[[#This Row],[Date of Call]])&lt;=6,2023,2024)</f>
        <v>2023</v>
      </c>
      <c r="I212" t="str">
        <f>TEXT(Call_Center[[#This Row],[Date of Call]],"DDDD")</f>
        <v>Monday</v>
      </c>
      <c r="J212" t="str" cm="1">
        <f t="array" ref="J212">_xlfn.IFS(Call_Center[[#This Row],[Duration]]&lt;=10,"Under 10 mins",Call_Center[[#This Row],[Duration]]&lt;=30,"10 to 30 min",Call_Center[[#This Row],[Duration]]&lt;=60,"30 to 60 min",Call_Center[[#This Row],[Duration]]&lt;=120,"1 to 2 hours",TRUE,"More than 2 hours")</f>
        <v>More than 2 hours</v>
      </c>
      <c r="K212">
        <f>ROUND(Call_Center[[#This Row],[Satisfaction Rating]],0)</f>
        <v>4</v>
      </c>
    </row>
    <row r="213" spans="1:11" x14ac:dyDescent="0.35">
      <c r="A213" s="21" t="s">
        <v>1196</v>
      </c>
      <c r="B213" s="18" t="s">
        <v>1008</v>
      </c>
      <c r="C213" s="18">
        <v>145</v>
      </c>
      <c r="D213" s="19" t="s">
        <v>967</v>
      </c>
      <c r="E213" s="20">
        <v>44998</v>
      </c>
      <c r="F213" s="18">
        <v>136</v>
      </c>
      <c r="G213" s="22">
        <v>4.4000000000000004</v>
      </c>
      <c r="H213">
        <f>IF(MONTH(Call_Center[[#This Row],[Date of Call]])&lt;=6,2023,2024)</f>
        <v>2023</v>
      </c>
      <c r="I213" t="str">
        <f>TEXT(Call_Center[[#This Row],[Date of Call]],"DDDD")</f>
        <v>Monday</v>
      </c>
      <c r="J213" t="str" cm="1">
        <f t="array" ref="J213">_xlfn.IFS(Call_Center[[#This Row],[Duration]]&lt;=10,"Under 10 mins",Call_Center[[#This Row],[Duration]]&lt;=30,"10 to 30 min",Call_Center[[#This Row],[Duration]]&lt;=60,"30 to 60 min",Call_Center[[#This Row],[Duration]]&lt;=120,"1 to 2 hours",TRUE,"More than 2 hours")</f>
        <v>More than 2 hours</v>
      </c>
      <c r="K213">
        <f>ROUND(Call_Center[[#This Row],[Satisfaction Rating]],0)</f>
        <v>4</v>
      </c>
    </row>
    <row r="214" spans="1:11" x14ac:dyDescent="0.35">
      <c r="A214" s="21" t="s">
        <v>1197</v>
      </c>
      <c r="B214" s="18" t="s">
        <v>971</v>
      </c>
      <c r="C214" s="18">
        <v>85</v>
      </c>
      <c r="D214" s="19" t="s">
        <v>986</v>
      </c>
      <c r="E214" s="20">
        <v>44998</v>
      </c>
      <c r="F214" s="18">
        <v>66</v>
      </c>
      <c r="G214" s="22">
        <v>2.8</v>
      </c>
      <c r="H214">
        <f>IF(MONTH(Call_Center[[#This Row],[Date of Call]])&lt;=6,2023,2024)</f>
        <v>2023</v>
      </c>
      <c r="I214" t="str">
        <f>TEXT(Call_Center[[#This Row],[Date of Call]],"DDDD")</f>
        <v>Monday</v>
      </c>
      <c r="J214" t="str" cm="1">
        <f t="array" ref="J214">_xlfn.IFS(Call_Center[[#This Row],[Duration]]&lt;=10,"Under 10 mins",Call_Center[[#This Row],[Duration]]&lt;=30,"10 to 30 min",Call_Center[[#This Row],[Duration]]&lt;=60,"30 to 60 min",Call_Center[[#This Row],[Duration]]&lt;=120,"1 to 2 hours",TRUE,"More than 2 hours")</f>
        <v>1 to 2 hours</v>
      </c>
      <c r="K214">
        <f>ROUND(Call_Center[[#This Row],[Satisfaction Rating]],0)</f>
        <v>3</v>
      </c>
    </row>
    <row r="215" spans="1:11" x14ac:dyDescent="0.35">
      <c r="A215" s="21" t="s">
        <v>1198</v>
      </c>
      <c r="B215" s="18" t="s">
        <v>1008</v>
      </c>
      <c r="C215" s="18">
        <v>13</v>
      </c>
      <c r="D215" s="19" t="s">
        <v>977</v>
      </c>
      <c r="E215" s="20">
        <v>44999</v>
      </c>
      <c r="F215" s="18">
        <v>63</v>
      </c>
      <c r="G215" s="22">
        <v>4.0999999999999996</v>
      </c>
      <c r="H215">
        <f>IF(MONTH(Call_Center[[#This Row],[Date of Call]])&lt;=6,2023,2024)</f>
        <v>2023</v>
      </c>
      <c r="I215" t="str">
        <f>TEXT(Call_Center[[#This Row],[Date of Call]],"DDDD")</f>
        <v>Tuesday</v>
      </c>
      <c r="J215" t="str" cm="1">
        <f t="array" ref="J215">_xlfn.IFS(Call_Center[[#This Row],[Duration]]&lt;=10,"Under 10 mins",Call_Center[[#This Row],[Duration]]&lt;=30,"10 to 30 min",Call_Center[[#This Row],[Duration]]&lt;=60,"30 to 60 min",Call_Center[[#This Row],[Duration]]&lt;=120,"1 to 2 hours",TRUE,"More than 2 hours")</f>
        <v>10 to 30 min</v>
      </c>
      <c r="K215">
        <f>ROUND(Call_Center[[#This Row],[Satisfaction Rating]],0)</f>
        <v>4</v>
      </c>
    </row>
    <row r="216" spans="1:11" x14ac:dyDescent="0.35">
      <c r="A216" s="21" t="s">
        <v>1199</v>
      </c>
      <c r="B216" s="18" t="s">
        <v>966</v>
      </c>
      <c r="C216" s="18">
        <v>142</v>
      </c>
      <c r="D216" s="19" t="s">
        <v>982</v>
      </c>
      <c r="E216" s="20">
        <v>44999</v>
      </c>
      <c r="F216" s="18">
        <v>44</v>
      </c>
      <c r="G216" s="22">
        <v>3.5</v>
      </c>
      <c r="H216">
        <f>IF(MONTH(Call_Center[[#This Row],[Date of Call]])&lt;=6,2023,2024)</f>
        <v>2023</v>
      </c>
      <c r="I216" t="str">
        <f>TEXT(Call_Center[[#This Row],[Date of Call]],"DDDD")</f>
        <v>Tuesday</v>
      </c>
      <c r="J216" t="str" cm="1">
        <f t="array" ref="J216">_xlfn.IFS(Call_Center[[#This Row],[Duration]]&lt;=10,"Under 10 mins",Call_Center[[#This Row],[Duration]]&lt;=30,"10 to 30 min",Call_Center[[#This Row],[Duration]]&lt;=60,"30 to 60 min",Call_Center[[#This Row],[Duration]]&lt;=120,"1 to 2 hours",TRUE,"More than 2 hours")</f>
        <v>More than 2 hours</v>
      </c>
      <c r="K216">
        <f>ROUND(Call_Center[[#This Row],[Satisfaction Rating]],0)</f>
        <v>4</v>
      </c>
    </row>
    <row r="217" spans="1:11" x14ac:dyDescent="0.35">
      <c r="A217" s="21" t="s">
        <v>1200</v>
      </c>
      <c r="B217" s="18" t="s">
        <v>989</v>
      </c>
      <c r="C217" s="18">
        <v>28</v>
      </c>
      <c r="D217" s="19" t="s">
        <v>972</v>
      </c>
      <c r="E217" s="20">
        <v>44999</v>
      </c>
      <c r="F217" s="18">
        <v>78</v>
      </c>
      <c r="G217" s="22">
        <v>3.8</v>
      </c>
      <c r="H217">
        <f>IF(MONTH(Call_Center[[#This Row],[Date of Call]])&lt;=6,2023,2024)</f>
        <v>2023</v>
      </c>
      <c r="I217" t="str">
        <f>TEXT(Call_Center[[#This Row],[Date of Call]],"DDDD")</f>
        <v>Tuesday</v>
      </c>
      <c r="J217" t="str" cm="1">
        <f t="array" ref="J217">_xlfn.IFS(Call_Center[[#This Row],[Duration]]&lt;=10,"Under 10 mins",Call_Center[[#This Row],[Duration]]&lt;=30,"10 to 30 min",Call_Center[[#This Row],[Duration]]&lt;=60,"30 to 60 min",Call_Center[[#This Row],[Duration]]&lt;=120,"1 to 2 hours",TRUE,"More than 2 hours")</f>
        <v>10 to 30 min</v>
      </c>
      <c r="K217">
        <f>ROUND(Call_Center[[#This Row],[Satisfaction Rating]],0)</f>
        <v>4</v>
      </c>
    </row>
    <row r="218" spans="1:11" x14ac:dyDescent="0.35">
      <c r="A218" s="21" t="s">
        <v>1201</v>
      </c>
      <c r="B218" s="18" t="s">
        <v>989</v>
      </c>
      <c r="C218" s="18">
        <v>119</v>
      </c>
      <c r="D218" s="19" t="s">
        <v>982</v>
      </c>
      <c r="E218" s="20">
        <v>44999</v>
      </c>
      <c r="F218" s="18">
        <v>20</v>
      </c>
      <c r="G218" s="22">
        <v>3.9</v>
      </c>
      <c r="H218">
        <f>IF(MONTH(Call_Center[[#This Row],[Date of Call]])&lt;=6,2023,2024)</f>
        <v>2023</v>
      </c>
      <c r="I218" t="str">
        <f>TEXT(Call_Center[[#This Row],[Date of Call]],"DDDD")</f>
        <v>Tuesday</v>
      </c>
      <c r="J218" t="str" cm="1">
        <f t="array" ref="J218">_xlfn.IFS(Call_Center[[#This Row],[Duration]]&lt;=10,"Under 10 mins",Call_Center[[#This Row],[Duration]]&lt;=30,"10 to 30 min",Call_Center[[#This Row],[Duration]]&lt;=60,"30 to 60 min",Call_Center[[#This Row],[Duration]]&lt;=120,"1 to 2 hours",TRUE,"More than 2 hours")</f>
        <v>1 to 2 hours</v>
      </c>
      <c r="K218">
        <f>ROUND(Call_Center[[#This Row],[Satisfaction Rating]],0)</f>
        <v>4</v>
      </c>
    </row>
    <row r="219" spans="1:11" x14ac:dyDescent="0.35">
      <c r="A219" s="21" t="s">
        <v>1202</v>
      </c>
      <c r="B219" s="18" t="s">
        <v>1038</v>
      </c>
      <c r="C219" s="18">
        <v>65</v>
      </c>
      <c r="D219" s="19" t="s">
        <v>986</v>
      </c>
      <c r="E219" s="20">
        <v>44999</v>
      </c>
      <c r="F219" s="18">
        <v>84</v>
      </c>
      <c r="G219" s="22">
        <v>2.5</v>
      </c>
      <c r="H219">
        <f>IF(MONTH(Call_Center[[#This Row],[Date of Call]])&lt;=6,2023,2024)</f>
        <v>2023</v>
      </c>
      <c r="I219" t="str">
        <f>TEXT(Call_Center[[#This Row],[Date of Call]],"DDDD")</f>
        <v>Tuesday</v>
      </c>
      <c r="J219" t="str" cm="1">
        <f t="array" ref="J219">_xlfn.IFS(Call_Center[[#This Row],[Duration]]&lt;=10,"Under 10 mins",Call_Center[[#This Row],[Duration]]&lt;=30,"10 to 30 min",Call_Center[[#This Row],[Duration]]&lt;=60,"30 to 60 min",Call_Center[[#This Row],[Duration]]&lt;=120,"1 to 2 hours",TRUE,"More than 2 hours")</f>
        <v>1 to 2 hours</v>
      </c>
      <c r="K219">
        <f>ROUND(Call_Center[[#This Row],[Satisfaction Rating]],0)</f>
        <v>3</v>
      </c>
    </row>
    <row r="220" spans="1:11" x14ac:dyDescent="0.35">
      <c r="A220" s="21" t="s">
        <v>1203</v>
      </c>
      <c r="B220" s="18" t="s">
        <v>991</v>
      </c>
      <c r="C220" s="18">
        <v>68</v>
      </c>
      <c r="D220" s="19" t="s">
        <v>986</v>
      </c>
      <c r="E220" s="20">
        <v>44999</v>
      </c>
      <c r="F220" s="18">
        <v>32</v>
      </c>
      <c r="G220" s="22">
        <v>4.9000000000000004</v>
      </c>
      <c r="H220">
        <f>IF(MONTH(Call_Center[[#This Row],[Date of Call]])&lt;=6,2023,2024)</f>
        <v>2023</v>
      </c>
      <c r="I220" t="str">
        <f>TEXT(Call_Center[[#This Row],[Date of Call]],"DDDD")</f>
        <v>Tuesday</v>
      </c>
      <c r="J220" t="str" cm="1">
        <f t="array" ref="J220">_xlfn.IFS(Call_Center[[#This Row],[Duration]]&lt;=10,"Under 10 mins",Call_Center[[#This Row],[Duration]]&lt;=30,"10 to 30 min",Call_Center[[#This Row],[Duration]]&lt;=60,"30 to 60 min",Call_Center[[#This Row],[Duration]]&lt;=120,"1 to 2 hours",TRUE,"More than 2 hours")</f>
        <v>1 to 2 hours</v>
      </c>
      <c r="K220">
        <f>ROUND(Call_Center[[#This Row],[Satisfaction Rating]],0)</f>
        <v>5</v>
      </c>
    </row>
    <row r="221" spans="1:11" x14ac:dyDescent="0.35">
      <c r="A221" s="21" t="s">
        <v>1204</v>
      </c>
      <c r="B221" s="18" t="s">
        <v>997</v>
      </c>
      <c r="C221" s="18">
        <v>72</v>
      </c>
      <c r="D221" s="19" t="s">
        <v>972</v>
      </c>
      <c r="E221" s="20">
        <v>44999</v>
      </c>
      <c r="F221" s="18">
        <v>132</v>
      </c>
      <c r="G221" s="22">
        <v>3.4</v>
      </c>
      <c r="H221">
        <f>IF(MONTH(Call_Center[[#This Row],[Date of Call]])&lt;=6,2023,2024)</f>
        <v>2023</v>
      </c>
      <c r="I221" t="str">
        <f>TEXT(Call_Center[[#This Row],[Date of Call]],"DDDD")</f>
        <v>Tuesday</v>
      </c>
      <c r="J221" t="str" cm="1">
        <f t="array" ref="J221">_xlfn.IFS(Call_Center[[#This Row],[Duration]]&lt;=10,"Under 10 mins",Call_Center[[#This Row],[Duration]]&lt;=30,"10 to 30 min",Call_Center[[#This Row],[Duration]]&lt;=60,"30 to 60 min",Call_Center[[#This Row],[Duration]]&lt;=120,"1 to 2 hours",TRUE,"More than 2 hours")</f>
        <v>1 to 2 hours</v>
      </c>
      <c r="K221">
        <f>ROUND(Call_Center[[#This Row],[Satisfaction Rating]],0)</f>
        <v>3</v>
      </c>
    </row>
    <row r="222" spans="1:11" x14ac:dyDescent="0.35">
      <c r="A222" s="21" t="s">
        <v>1205</v>
      </c>
      <c r="B222" s="18" t="s">
        <v>997</v>
      </c>
      <c r="C222" s="18">
        <v>63</v>
      </c>
      <c r="D222" s="19" t="s">
        <v>967</v>
      </c>
      <c r="E222" s="20">
        <v>44999</v>
      </c>
      <c r="F222" s="18">
        <v>105</v>
      </c>
      <c r="G222" s="22">
        <v>3.3</v>
      </c>
      <c r="H222">
        <f>IF(MONTH(Call_Center[[#This Row],[Date of Call]])&lt;=6,2023,2024)</f>
        <v>2023</v>
      </c>
      <c r="I222" t="str">
        <f>TEXT(Call_Center[[#This Row],[Date of Call]],"DDDD")</f>
        <v>Tuesday</v>
      </c>
      <c r="J222" t="str" cm="1">
        <f t="array" ref="J222">_xlfn.IFS(Call_Center[[#This Row],[Duration]]&lt;=10,"Under 10 mins",Call_Center[[#This Row],[Duration]]&lt;=30,"10 to 30 min",Call_Center[[#This Row],[Duration]]&lt;=60,"30 to 60 min",Call_Center[[#This Row],[Duration]]&lt;=120,"1 to 2 hours",TRUE,"More than 2 hours")</f>
        <v>1 to 2 hours</v>
      </c>
      <c r="K222">
        <f>ROUND(Call_Center[[#This Row],[Satisfaction Rating]],0)</f>
        <v>3</v>
      </c>
    </row>
    <row r="223" spans="1:11" x14ac:dyDescent="0.35">
      <c r="A223" s="21" t="s">
        <v>1206</v>
      </c>
      <c r="B223" s="18" t="s">
        <v>969</v>
      </c>
      <c r="C223" s="18">
        <v>139</v>
      </c>
      <c r="D223" s="19" t="s">
        <v>982</v>
      </c>
      <c r="E223" s="20">
        <v>45000</v>
      </c>
      <c r="F223" s="18">
        <v>48</v>
      </c>
      <c r="G223" s="22">
        <v>4.7</v>
      </c>
      <c r="H223">
        <f>IF(MONTH(Call_Center[[#This Row],[Date of Call]])&lt;=6,2023,2024)</f>
        <v>2023</v>
      </c>
      <c r="I223" t="str">
        <f>TEXT(Call_Center[[#This Row],[Date of Call]],"DDDD")</f>
        <v>Wednesday</v>
      </c>
      <c r="J223" t="str" cm="1">
        <f t="array" ref="J223">_xlfn.IFS(Call_Center[[#This Row],[Duration]]&lt;=10,"Under 10 mins",Call_Center[[#This Row],[Duration]]&lt;=30,"10 to 30 min",Call_Center[[#This Row],[Duration]]&lt;=60,"30 to 60 min",Call_Center[[#This Row],[Duration]]&lt;=120,"1 to 2 hours",TRUE,"More than 2 hours")</f>
        <v>More than 2 hours</v>
      </c>
      <c r="K223">
        <f>ROUND(Call_Center[[#This Row],[Satisfaction Rating]],0)</f>
        <v>5</v>
      </c>
    </row>
    <row r="224" spans="1:11" x14ac:dyDescent="0.35">
      <c r="A224" s="21" t="s">
        <v>1207</v>
      </c>
      <c r="B224" s="18" t="s">
        <v>989</v>
      </c>
      <c r="C224" s="18">
        <v>59</v>
      </c>
      <c r="D224" s="19" t="s">
        <v>982</v>
      </c>
      <c r="E224" s="20">
        <v>45000</v>
      </c>
      <c r="F224" s="18">
        <v>64</v>
      </c>
      <c r="G224" s="22">
        <v>4</v>
      </c>
      <c r="H224">
        <f>IF(MONTH(Call_Center[[#This Row],[Date of Call]])&lt;=6,2023,2024)</f>
        <v>2023</v>
      </c>
      <c r="I224" t="str">
        <f>TEXT(Call_Center[[#This Row],[Date of Call]],"DDDD")</f>
        <v>Wednesday</v>
      </c>
      <c r="J224" t="str" cm="1">
        <f t="array" ref="J224">_xlfn.IFS(Call_Center[[#This Row],[Duration]]&lt;=10,"Under 10 mins",Call_Center[[#This Row],[Duration]]&lt;=30,"10 to 30 min",Call_Center[[#This Row],[Duration]]&lt;=60,"30 to 60 min",Call_Center[[#This Row],[Duration]]&lt;=120,"1 to 2 hours",TRUE,"More than 2 hours")</f>
        <v>30 to 60 min</v>
      </c>
      <c r="K224">
        <f>ROUND(Call_Center[[#This Row],[Satisfaction Rating]],0)</f>
        <v>4</v>
      </c>
    </row>
    <row r="225" spans="1:11" x14ac:dyDescent="0.35">
      <c r="A225" s="21" t="s">
        <v>1208</v>
      </c>
      <c r="B225" s="18" t="s">
        <v>1000</v>
      </c>
      <c r="C225" s="18">
        <v>138</v>
      </c>
      <c r="D225" s="19" t="s">
        <v>967</v>
      </c>
      <c r="E225" s="20">
        <v>45000</v>
      </c>
      <c r="F225" s="18">
        <v>44</v>
      </c>
      <c r="G225" s="22">
        <v>3.8</v>
      </c>
      <c r="H225">
        <f>IF(MONTH(Call_Center[[#This Row],[Date of Call]])&lt;=6,2023,2024)</f>
        <v>2023</v>
      </c>
      <c r="I225" t="str">
        <f>TEXT(Call_Center[[#This Row],[Date of Call]],"DDDD")</f>
        <v>Wednesday</v>
      </c>
      <c r="J225" t="str" cm="1">
        <f t="array" ref="J225">_xlfn.IFS(Call_Center[[#This Row],[Duration]]&lt;=10,"Under 10 mins",Call_Center[[#This Row],[Duration]]&lt;=30,"10 to 30 min",Call_Center[[#This Row],[Duration]]&lt;=60,"30 to 60 min",Call_Center[[#This Row],[Duration]]&lt;=120,"1 to 2 hours",TRUE,"More than 2 hours")</f>
        <v>More than 2 hours</v>
      </c>
      <c r="K225">
        <f>ROUND(Call_Center[[#This Row],[Satisfaction Rating]],0)</f>
        <v>4</v>
      </c>
    </row>
    <row r="226" spans="1:11" x14ac:dyDescent="0.35">
      <c r="A226" s="21" t="s">
        <v>1209</v>
      </c>
      <c r="B226" s="18" t="s">
        <v>969</v>
      </c>
      <c r="C226" s="18">
        <v>47</v>
      </c>
      <c r="D226" s="19" t="s">
        <v>972</v>
      </c>
      <c r="E226" s="20">
        <v>45000</v>
      </c>
      <c r="F226" s="18">
        <v>120</v>
      </c>
      <c r="G226" s="22">
        <v>3.1</v>
      </c>
      <c r="H226">
        <f>IF(MONTH(Call_Center[[#This Row],[Date of Call]])&lt;=6,2023,2024)</f>
        <v>2023</v>
      </c>
      <c r="I226" t="str">
        <f>TEXT(Call_Center[[#This Row],[Date of Call]],"DDDD")</f>
        <v>Wednesday</v>
      </c>
      <c r="J226" t="str" cm="1">
        <f t="array" ref="J226">_xlfn.IFS(Call_Center[[#This Row],[Duration]]&lt;=10,"Under 10 mins",Call_Center[[#This Row],[Duration]]&lt;=30,"10 to 30 min",Call_Center[[#This Row],[Duration]]&lt;=60,"30 to 60 min",Call_Center[[#This Row],[Duration]]&lt;=120,"1 to 2 hours",TRUE,"More than 2 hours")</f>
        <v>30 to 60 min</v>
      </c>
      <c r="K226">
        <f>ROUND(Call_Center[[#This Row],[Satisfaction Rating]],0)</f>
        <v>3</v>
      </c>
    </row>
    <row r="227" spans="1:11" x14ac:dyDescent="0.35">
      <c r="A227" s="21" t="s">
        <v>1210</v>
      </c>
      <c r="B227" s="18" t="s">
        <v>1000</v>
      </c>
      <c r="C227" s="18">
        <v>74</v>
      </c>
      <c r="D227" s="19" t="s">
        <v>972</v>
      </c>
      <c r="E227" s="20">
        <v>45000</v>
      </c>
      <c r="F227" s="18">
        <v>144</v>
      </c>
      <c r="G227" s="22">
        <v>4.8</v>
      </c>
      <c r="H227">
        <f>IF(MONTH(Call_Center[[#This Row],[Date of Call]])&lt;=6,2023,2024)</f>
        <v>2023</v>
      </c>
      <c r="I227" t="str">
        <f>TEXT(Call_Center[[#This Row],[Date of Call]],"DDDD")</f>
        <v>Wednesday</v>
      </c>
      <c r="J227" t="str" cm="1">
        <f t="array" ref="J227">_xlfn.IFS(Call_Center[[#This Row],[Duration]]&lt;=10,"Under 10 mins",Call_Center[[#This Row],[Duration]]&lt;=30,"10 to 30 min",Call_Center[[#This Row],[Duration]]&lt;=60,"30 to 60 min",Call_Center[[#This Row],[Duration]]&lt;=120,"1 to 2 hours",TRUE,"More than 2 hours")</f>
        <v>1 to 2 hours</v>
      </c>
      <c r="K227">
        <f>ROUND(Call_Center[[#This Row],[Satisfaction Rating]],0)</f>
        <v>5</v>
      </c>
    </row>
    <row r="228" spans="1:11" x14ac:dyDescent="0.35">
      <c r="A228" s="21" t="s">
        <v>1211</v>
      </c>
      <c r="B228" s="18" t="s">
        <v>997</v>
      </c>
      <c r="C228" s="18">
        <v>65</v>
      </c>
      <c r="D228" s="19" t="s">
        <v>972</v>
      </c>
      <c r="E228" s="20">
        <v>45000</v>
      </c>
      <c r="F228" s="18">
        <v>87</v>
      </c>
      <c r="G228" s="22">
        <v>2.7</v>
      </c>
      <c r="H228">
        <f>IF(MONTH(Call_Center[[#This Row],[Date of Call]])&lt;=6,2023,2024)</f>
        <v>2023</v>
      </c>
      <c r="I228" t="str">
        <f>TEXT(Call_Center[[#This Row],[Date of Call]],"DDDD")</f>
        <v>Wednesday</v>
      </c>
      <c r="J228" t="str" cm="1">
        <f t="array" ref="J228">_xlfn.IFS(Call_Center[[#This Row],[Duration]]&lt;=10,"Under 10 mins",Call_Center[[#This Row],[Duration]]&lt;=30,"10 to 30 min",Call_Center[[#This Row],[Duration]]&lt;=60,"30 to 60 min",Call_Center[[#This Row],[Duration]]&lt;=120,"1 to 2 hours",TRUE,"More than 2 hours")</f>
        <v>1 to 2 hours</v>
      </c>
      <c r="K228">
        <f>ROUND(Call_Center[[#This Row],[Satisfaction Rating]],0)</f>
        <v>3</v>
      </c>
    </row>
    <row r="229" spans="1:11" x14ac:dyDescent="0.35">
      <c r="A229" s="21" t="s">
        <v>1212</v>
      </c>
      <c r="B229" s="18" t="s">
        <v>976</v>
      </c>
      <c r="C229" s="18">
        <v>123</v>
      </c>
      <c r="D229" s="19" t="s">
        <v>986</v>
      </c>
      <c r="E229" s="20">
        <v>45000</v>
      </c>
      <c r="F229" s="18">
        <v>36</v>
      </c>
      <c r="G229" s="22">
        <v>3.6</v>
      </c>
      <c r="H229">
        <f>IF(MONTH(Call_Center[[#This Row],[Date of Call]])&lt;=6,2023,2024)</f>
        <v>2023</v>
      </c>
      <c r="I229" t="str">
        <f>TEXT(Call_Center[[#This Row],[Date of Call]],"DDDD")</f>
        <v>Wednesday</v>
      </c>
      <c r="J229" t="str" cm="1">
        <f t="array" ref="J229">_xlfn.IFS(Call_Center[[#This Row],[Duration]]&lt;=10,"Under 10 mins",Call_Center[[#This Row],[Duration]]&lt;=30,"10 to 30 min",Call_Center[[#This Row],[Duration]]&lt;=60,"30 to 60 min",Call_Center[[#This Row],[Duration]]&lt;=120,"1 to 2 hours",TRUE,"More than 2 hours")</f>
        <v>More than 2 hours</v>
      </c>
      <c r="K229">
        <f>ROUND(Call_Center[[#This Row],[Satisfaction Rating]],0)</f>
        <v>4</v>
      </c>
    </row>
    <row r="230" spans="1:11" x14ac:dyDescent="0.35">
      <c r="A230" s="21" t="s">
        <v>1213</v>
      </c>
      <c r="B230" s="18" t="s">
        <v>997</v>
      </c>
      <c r="C230" s="18">
        <v>90</v>
      </c>
      <c r="D230" s="19" t="s">
        <v>982</v>
      </c>
      <c r="E230" s="20">
        <v>45001</v>
      </c>
      <c r="F230" s="18">
        <v>72</v>
      </c>
      <c r="G230" s="22">
        <v>4.7</v>
      </c>
      <c r="H230">
        <f>IF(MONTH(Call_Center[[#This Row],[Date of Call]])&lt;=6,2023,2024)</f>
        <v>2023</v>
      </c>
      <c r="I230" t="str">
        <f>TEXT(Call_Center[[#This Row],[Date of Call]],"DDDD")</f>
        <v>Thursday</v>
      </c>
      <c r="J230" t="str" cm="1">
        <f t="array" ref="J230">_xlfn.IFS(Call_Center[[#This Row],[Duration]]&lt;=10,"Under 10 mins",Call_Center[[#This Row],[Duration]]&lt;=30,"10 to 30 min",Call_Center[[#This Row],[Duration]]&lt;=60,"30 to 60 min",Call_Center[[#This Row],[Duration]]&lt;=120,"1 to 2 hours",TRUE,"More than 2 hours")</f>
        <v>1 to 2 hours</v>
      </c>
      <c r="K230">
        <f>ROUND(Call_Center[[#This Row],[Satisfaction Rating]],0)</f>
        <v>5</v>
      </c>
    </row>
    <row r="231" spans="1:11" x14ac:dyDescent="0.35">
      <c r="A231" s="21" t="s">
        <v>1214</v>
      </c>
      <c r="B231" s="18" t="s">
        <v>1018</v>
      </c>
      <c r="C231" s="18">
        <v>127</v>
      </c>
      <c r="D231" s="19" t="s">
        <v>967</v>
      </c>
      <c r="E231" s="20">
        <v>45001</v>
      </c>
      <c r="F231" s="18">
        <v>150</v>
      </c>
      <c r="G231" s="22">
        <v>4.4000000000000004</v>
      </c>
      <c r="H231">
        <f>IF(MONTH(Call_Center[[#This Row],[Date of Call]])&lt;=6,2023,2024)</f>
        <v>2023</v>
      </c>
      <c r="I231" t="str">
        <f>TEXT(Call_Center[[#This Row],[Date of Call]],"DDDD")</f>
        <v>Thursday</v>
      </c>
      <c r="J231" t="str" cm="1">
        <f t="array" ref="J231">_xlfn.IFS(Call_Center[[#This Row],[Duration]]&lt;=10,"Under 10 mins",Call_Center[[#This Row],[Duration]]&lt;=30,"10 to 30 min",Call_Center[[#This Row],[Duration]]&lt;=60,"30 to 60 min",Call_Center[[#This Row],[Duration]]&lt;=120,"1 to 2 hours",TRUE,"More than 2 hours")</f>
        <v>More than 2 hours</v>
      </c>
      <c r="K231">
        <f>ROUND(Call_Center[[#This Row],[Satisfaction Rating]],0)</f>
        <v>4</v>
      </c>
    </row>
    <row r="232" spans="1:11" x14ac:dyDescent="0.35">
      <c r="A232" s="21" t="s">
        <v>1215</v>
      </c>
      <c r="B232" s="18" t="s">
        <v>974</v>
      </c>
      <c r="C232" s="18">
        <v>60</v>
      </c>
      <c r="D232" s="19" t="s">
        <v>972</v>
      </c>
      <c r="E232" s="20">
        <v>45001</v>
      </c>
      <c r="F232" s="18">
        <v>68</v>
      </c>
      <c r="G232" s="22">
        <v>4.3</v>
      </c>
      <c r="H232">
        <f>IF(MONTH(Call_Center[[#This Row],[Date of Call]])&lt;=6,2023,2024)</f>
        <v>2023</v>
      </c>
      <c r="I232" t="str">
        <f>TEXT(Call_Center[[#This Row],[Date of Call]],"DDDD")</f>
        <v>Thursday</v>
      </c>
      <c r="J232" t="str" cm="1">
        <f t="array" ref="J232">_xlfn.IFS(Call_Center[[#This Row],[Duration]]&lt;=10,"Under 10 mins",Call_Center[[#This Row],[Duration]]&lt;=30,"10 to 30 min",Call_Center[[#This Row],[Duration]]&lt;=60,"30 to 60 min",Call_Center[[#This Row],[Duration]]&lt;=120,"1 to 2 hours",TRUE,"More than 2 hours")</f>
        <v>30 to 60 min</v>
      </c>
      <c r="K232">
        <f>ROUND(Call_Center[[#This Row],[Satisfaction Rating]],0)</f>
        <v>4</v>
      </c>
    </row>
    <row r="233" spans="1:11" x14ac:dyDescent="0.35">
      <c r="A233" s="21" t="s">
        <v>1216</v>
      </c>
      <c r="B233" s="18" t="s">
        <v>969</v>
      </c>
      <c r="C233" s="18">
        <v>94</v>
      </c>
      <c r="D233" s="19" t="s">
        <v>967</v>
      </c>
      <c r="E233" s="20">
        <v>45001</v>
      </c>
      <c r="F233" s="18">
        <v>99</v>
      </c>
      <c r="G233" s="22">
        <v>4.9000000000000004</v>
      </c>
      <c r="H233">
        <f>IF(MONTH(Call_Center[[#This Row],[Date of Call]])&lt;=6,2023,2024)</f>
        <v>2023</v>
      </c>
      <c r="I233" t="str">
        <f>TEXT(Call_Center[[#This Row],[Date of Call]],"DDDD")</f>
        <v>Thursday</v>
      </c>
      <c r="J233" t="str" cm="1">
        <f t="array" ref="J233">_xlfn.IFS(Call_Center[[#This Row],[Duration]]&lt;=10,"Under 10 mins",Call_Center[[#This Row],[Duration]]&lt;=30,"10 to 30 min",Call_Center[[#This Row],[Duration]]&lt;=60,"30 to 60 min",Call_Center[[#This Row],[Duration]]&lt;=120,"1 to 2 hours",TRUE,"More than 2 hours")</f>
        <v>1 to 2 hours</v>
      </c>
      <c r="K233">
        <f>ROUND(Call_Center[[#This Row],[Satisfaction Rating]],0)</f>
        <v>5</v>
      </c>
    </row>
    <row r="234" spans="1:11" x14ac:dyDescent="0.35">
      <c r="A234" s="21" t="s">
        <v>1217</v>
      </c>
      <c r="B234" s="18" t="s">
        <v>976</v>
      </c>
      <c r="C234" s="18">
        <v>54</v>
      </c>
      <c r="D234" s="19" t="s">
        <v>972</v>
      </c>
      <c r="E234" s="20">
        <v>45001</v>
      </c>
      <c r="F234" s="18">
        <v>26</v>
      </c>
      <c r="G234" s="22">
        <v>4.8</v>
      </c>
      <c r="H234">
        <f>IF(MONTH(Call_Center[[#This Row],[Date of Call]])&lt;=6,2023,2024)</f>
        <v>2023</v>
      </c>
      <c r="I234" t="str">
        <f>TEXT(Call_Center[[#This Row],[Date of Call]],"DDDD")</f>
        <v>Thursday</v>
      </c>
      <c r="J234" t="str" cm="1">
        <f t="array" ref="J234">_xlfn.IFS(Call_Center[[#This Row],[Duration]]&lt;=10,"Under 10 mins",Call_Center[[#This Row],[Duration]]&lt;=30,"10 to 30 min",Call_Center[[#This Row],[Duration]]&lt;=60,"30 to 60 min",Call_Center[[#This Row],[Duration]]&lt;=120,"1 to 2 hours",TRUE,"More than 2 hours")</f>
        <v>30 to 60 min</v>
      </c>
      <c r="K234">
        <f>ROUND(Call_Center[[#This Row],[Satisfaction Rating]],0)</f>
        <v>5</v>
      </c>
    </row>
    <row r="235" spans="1:11" x14ac:dyDescent="0.35">
      <c r="A235" s="21" t="s">
        <v>1218</v>
      </c>
      <c r="B235" s="18" t="s">
        <v>997</v>
      </c>
      <c r="C235" s="18">
        <v>104</v>
      </c>
      <c r="D235" s="19" t="s">
        <v>972</v>
      </c>
      <c r="E235" s="20">
        <v>45001</v>
      </c>
      <c r="F235" s="18">
        <v>88</v>
      </c>
      <c r="G235" s="22">
        <v>3.2</v>
      </c>
      <c r="H235">
        <f>IF(MONTH(Call_Center[[#This Row],[Date of Call]])&lt;=6,2023,2024)</f>
        <v>2023</v>
      </c>
      <c r="I235" t="str">
        <f>TEXT(Call_Center[[#This Row],[Date of Call]],"DDDD")</f>
        <v>Thursday</v>
      </c>
      <c r="J235" t="str" cm="1">
        <f t="array" ref="J235">_xlfn.IFS(Call_Center[[#This Row],[Duration]]&lt;=10,"Under 10 mins",Call_Center[[#This Row],[Duration]]&lt;=30,"10 to 30 min",Call_Center[[#This Row],[Duration]]&lt;=60,"30 to 60 min",Call_Center[[#This Row],[Duration]]&lt;=120,"1 to 2 hours",TRUE,"More than 2 hours")</f>
        <v>1 to 2 hours</v>
      </c>
      <c r="K235">
        <f>ROUND(Call_Center[[#This Row],[Satisfaction Rating]],0)</f>
        <v>3</v>
      </c>
    </row>
    <row r="236" spans="1:11" x14ac:dyDescent="0.35">
      <c r="A236" s="21" t="s">
        <v>1219</v>
      </c>
      <c r="B236" s="18" t="s">
        <v>980</v>
      </c>
      <c r="C236" s="18">
        <v>100</v>
      </c>
      <c r="D236" s="19" t="s">
        <v>972</v>
      </c>
      <c r="E236" s="20">
        <v>45001</v>
      </c>
      <c r="F236" s="18">
        <v>124</v>
      </c>
      <c r="G236" s="22">
        <v>3.4</v>
      </c>
      <c r="H236">
        <f>IF(MONTH(Call_Center[[#This Row],[Date of Call]])&lt;=6,2023,2024)</f>
        <v>2023</v>
      </c>
      <c r="I236" t="str">
        <f>TEXT(Call_Center[[#This Row],[Date of Call]],"DDDD")</f>
        <v>Thursday</v>
      </c>
      <c r="J236" t="str" cm="1">
        <f t="array" ref="J236">_xlfn.IFS(Call_Center[[#This Row],[Duration]]&lt;=10,"Under 10 mins",Call_Center[[#This Row],[Duration]]&lt;=30,"10 to 30 min",Call_Center[[#This Row],[Duration]]&lt;=60,"30 to 60 min",Call_Center[[#This Row],[Duration]]&lt;=120,"1 to 2 hours",TRUE,"More than 2 hours")</f>
        <v>1 to 2 hours</v>
      </c>
      <c r="K236">
        <f>ROUND(Call_Center[[#This Row],[Satisfaction Rating]],0)</f>
        <v>3</v>
      </c>
    </row>
    <row r="237" spans="1:11" x14ac:dyDescent="0.35">
      <c r="A237" s="21" t="s">
        <v>1220</v>
      </c>
      <c r="B237" s="18" t="s">
        <v>1000</v>
      </c>
      <c r="C237" s="18">
        <v>84</v>
      </c>
      <c r="D237" s="19" t="s">
        <v>972</v>
      </c>
      <c r="E237" s="20">
        <v>45001</v>
      </c>
      <c r="F237" s="18">
        <v>72</v>
      </c>
      <c r="G237" s="22">
        <v>3.5</v>
      </c>
      <c r="H237">
        <f>IF(MONTH(Call_Center[[#This Row],[Date of Call]])&lt;=6,2023,2024)</f>
        <v>2023</v>
      </c>
      <c r="I237" t="str">
        <f>TEXT(Call_Center[[#This Row],[Date of Call]],"DDDD")</f>
        <v>Thursday</v>
      </c>
      <c r="J237" t="str" cm="1">
        <f t="array" ref="J237">_xlfn.IFS(Call_Center[[#This Row],[Duration]]&lt;=10,"Under 10 mins",Call_Center[[#This Row],[Duration]]&lt;=30,"10 to 30 min",Call_Center[[#This Row],[Duration]]&lt;=60,"30 to 60 min",Call_Center[[#This Row],[Duration]]&lt;=120,"1 to 2 hours",TRUE,"More than 2 hours")</f>
        <v>1 to 2 hours</v>
      </c>
      <c r="K237">
        <f>ROUND(Call_Center[[#This Row],[Satisfaction Rating]],0)</f>
        <v>4</v>
      </c>
    </row>
    <row r="238" spans="1:11" x14ac:dyDescent="0.35">
      <c r="A238" s="21" t="s">
        <v>1221</v>
      </c>
      <c r="B238" s="18" t="s">
        <v>966</v>
      </c>
      <c r="C238" s="18">
        <v>92</v>
      </c>
      <c r="D238" s="19" t="s">
        <v>977</v>
      </c>
      <c r="E238" s="20">
        <v>45002</v>
      </c>
      <c r="F238" s="18">
        <v>125</v>
      </c>
      <c r="G238" s="22">
        <v>4.9000000000000004</v>
      </c>
      <c r="H238">
        <f>IF(MONTH(Call_Center[[#This Row],[Date of Call]])&lt;=6,2023,2024)</f>
        <v>2023</v>
      </c>
      <c r="I238" t="str">
        <f>TEXT(Call_Center[[#This Row],[Date of Call]],"DDDD")</f>
        <v>Friday</v>
      </c>
      <c r="J238" t="str" cm="1">
        <f t="array" ref="J238">_xlfn.IFS(Call_Center[[#This Row],[Duration]]&lt;=10,"Under 10 mins",Call_Center[[#This Row],[Duration]]&lt;=30,"10 to 30 min",Call_Center[[#This Row],[Duration]]&lt;=60,"30 to 60 min",Call_Center[[#This Row],[Duration]]&lt;=120,"1 to 2 hours",TRUE,"More than 2 hours")</f>
        <v>1 to 2 hours</v>
      </c>
      <c r="K238">
        <f>ROUND(Call_Center[[#This Row],[Satisfaction Rating]],0)</f>
        <v>5</v>
      </c>
    </row>
    <row r="239" spans="1:11" x14ac:dyDescent="0.35">
      <c r="A239" s="21" t="s">
        <v>1222</v>
      </c>
      <c r="B239" s="18" t="s">
        <v>985</v>
      </c>
      <c r="C239" s="18">
        <v>64</v>
      </c>
      <c r="D239" s="19" t="s">
        <v>967</v>
      </c>
      <c r="E239" s="20">
        <v>45002</v>
      </c>
      <c r="F239" s="18">
        <v>22</v>
      </c>
      <c r="G239" s="22">
        <v>4.0999999999999996</v>
      </c>
      <c r="H239">
        <f>IF(MONTH(Call_Center[[#This Row],[Date of Call]])&lt;=6,2023,2024)</f>
        <v>2023</v>
      </c>
      <c r="I239" t="str">
        <f>TEXT(Call_Center[[#This Row],[Date of Call]],"DDDD")</f>
        <v>Friday</v>
      </c>
      <c r="J239" t="str" cm="1">
        <f t="array" ref="J239">_xlfn.IFS(Call_Center[[#This Row],[Duration]]&lt;=10,"Under 10 mins",Call_Center[[#This Row],[Duration]]&lt;=30,"10 to 30 min",Call_Center[[#This Row],[Duration]]&lt;=60,"30 to 60 min",Call_Center[[#This Row],[Duration]]&lt;=120,"1 to 2 hours",TRUE,"More than 2 hours")</f>
        <v>1 to 2 hours</v>
      </c>
      <c r="K239">
        <f>ROUND(Call_Center[[#This Row],[Satisfaction Rating]],0)</f>
        <v>4</v>
      </c>
    </row>
    <row r="240" spans="1:11" x14ac:dyDescent="0.35">
      <c r="A240" s="21" t="s">
        <v>1223</v>
      </c>
      <c r="B240" s="18" t="s">
        <v>971</v>
      </c>
      <c r="C240" s="18">
        <v>89</v>
      </c>
      <c r="D240" s="19" t="s">
        <v>982</v>
      </c>
      <c r="E240" s="20">
        <v>45003</v>
      </c>
      <c r="F240" s="18">
        <v>70</v>
      </c>
      <c r="G240" s="22">
        <v>4.9000000000000004</v>
      </c>
      <c r="H240">
        <f>IF(MONTH(Call_Center[[#This Row],[Date of Call]])&lt;=6,2023,2024)</f>
        <v>2023</v>
      </c>
      <c r="I240" t="str">
        <f>TEXT(Call_Center[[#This Row],[Date of Call]],"DDDD")</f>
        <v>Saturday</v>
      </c>
      <c r="J240" t="str" cm="1">
        <f t="array" ref="J240">_xlfn.IFS(Call_Center[[#This Row],[Duration]]&lt;=10,"Under 10 mins",Call_Center[[#This Row],[Duration]]&lt;=30,"10 to 30 min",Call_Center[[#This Row],[Duration]]&lt;=60,"30 to 60 min",Call_Center[[#This Row],[Duration]]&lt;=120,"1 to 2 hours",TRUE,"More than 2 hours")</f>
        <v>1 to 2 hours</v>
      </c>
      <c r="K240">
        <f>ROUND(Call_Center[[#This Row],[Satisfaction Rating]],0)</f>
        <v>5</v>
      </c>
    </row>
    <row r="241" spans="1:11" x14ac:dyDescent="0.35">
      <c r="A241" s="21" t="s">
        <v>1224</v>
      </c>
      <c r="B241" s="18" t="s">
        <v>1005</v>
      </c>
      <c r="C241" s="18">
        <v>40</v>
      </c>
      <c r="D241" s="19" t="s">
        <v>972</v>
      </c>
      <c r="E241" s="20">
        <v>45003</v>
      </c>
      <c r="F241" s="18">
        <v>24</v>
      </c>
      <c r="G241" s="22">
        <v>4.3</v>
      </c>
      <c r="H241">
        <f>IF(MONTH(Call_Center[[#This Row],[Date of Call]])&lt;=6,2023,2024)</f>
        <v>2023</v>
      </c>
      <c r="I241" t="str">
        <f>TEXT(Call_Center[[#This Row],[Date of Call]],"DDDD")</f>
        <v>Saturday</v>
      </c>
      <c r="J241" t="str" cm="1">
        <f t="array" ref="J241">_xlfn.IFS(Call_Center[[#This Row],[Duration]]&lt;=10,"Under 10 mins",Call_Center[[#This Row],[Duration]]&lt;=30,"10 to 30 min",Call_Center[[#This Row],[Duration]]&lt;=60,"30 to 60 min",Call_Center[[#This Row],[Duration]]&lt;=120,"1 to 2 hours",TRUE,"More than 2 hours")</f>
        <v>30 to 60 min</v>
      </c>
      <c r="K241">
        <f>ROUND(Call_Center[[#This Row],[Satisfaction Rating]],0)</f>
        <v>4</v>
      </c>
    </row>
    <row r="242" spans="1:11" x14ac:dyDescent="0.35">
      <c r="A242" s="21" t="s">
        <v>1225</v>
      </c>
      <c r="B242" s="18" t="s">
        <v>989</v>
      </c>
      <c r="C242" s="18">
        <v>75</v>
      </c>
      <c r="D242" s="19" t="s">
        <v>986</v>
      </c>
      <c r="E242" s="20">
        <v>45003</v>
      </c>
      <c r="F242" s="18">
        <v>32</v>
      </c>
      <c r="G242" s="22">
        <v>4.0999999999999996</v>
      </c>
      <c r="H242">
        <f>IF(MONTH(Call_Center[[#This Row],[Date of Call]])&lt;=6,2023,2024)</f>
        <v>2023</v>
      </c>
      <c r="I242" t="str">
        <f>TEXT(Call_Center[[#This Row],[Date of Call]],"DDDD")</f>
        <v>Saturday</v>
      </c>
      <c r="J242" t="str" cm="1">
        <f t="array" ref="J242">_xlfn.IFS(Call_Center[[#This Row],[Duration]]&lt;=10,"Under 10 mins",Call_Center[[#This Row],[Duration]]&lt;=30,"10 to 30 min",Call_Center[[#This Row],[Duration]]&lt;=60,"30 to 60 min",Call_Center[[#This Row],[Duration]]&lt;=120,"1 to 2 hours",TRUE,"More than 2 hours")</f>
        <v>1 to 2 hours</v>
      </c>
      <c r="K242">
        <f>ROUND(Call_Center[[#This Row],[Satisfaction Rating]],0)</f>
        <v>4</v>
      </c>
    </row>
    <row r="243" spans="1:11" x14ac:dyDescent="0.35">
      <c r="A243" s="21" t="s">
        <v>1226</v>
      </c>
      <c r="B243" s="18" t="s">
        <v>1018</v>
      </c>
      <c r="C243" s="18">
        <v>106</v>
      </c>
      <c r="D243" s="19" t="s">
        <v>977</v>
      </c>
      <c r="E243" s="20">
        <v>45003</v>
      </c>
      <c r="F243" s="18">
        <v>112</v>
      </c>
      <c r="G243" s="22">
        <v>4.4000000000000004</v>
      </c>
      <c r="H243">
        <f>IF(MONTH(Call_Center[[#This Row],[Date of Call]])&lt;=6,2023,2024)</f>
        <v>2023</v>
      </c>
      <c r="I243" t="str">
        <f>TEXT(Call_Center[[#This Row],[Date of Call]],"DDDD")</f>
        <v>Saturday</v>
      </c>
      <c r="J243" t="str" cm="1">
        <f t="array" ref="J243">_xlfn.IFS(Call_Center[[#This Row],[Duration]]&lt;=10,"Under 10 mins",Call_Center[[#This Row],[Duration]]&lt;=30,"10 to 30 min",Call_Center[[#This Row],[Duration]]&lt;=60,"30 to 60 min",Call_Center[[#This Row],[Duration]]&lt;=120,"1 to 2 hours",TRUE,"More than 2 hours")</f>
        <v>1 to 2 hours</v>
      </c>
      <c r="K243">
        <f>ROUND(Call_Center[[#This Row],[Satisfaction Rating]],0)</f>
        <v>4</v>
      </c>
    </row>
    <row r="244" spans="1:11" x14ac:dyDescent="0.35">
      <c r="A244" s="21" t="s">
        <v>1227</v>
      </c>
      <c r="B244" s="18" t="s">
        <v>985</v>
      </c>
      <c r="C244" s="18">
        <v>58</v>
      </c>
      <c r="D244" s="19" t="s">
        <v>972</v>
      </c>
      <c r="E244" s="20">
        <v>45004</v>
      </c>
      <c r="F244" s="18">
        <v>43</v>
      </c>
      <c r="G244" s="22">
        <v>4.5</v>
      </c>
      <c r="H244">
        <f>IF(MONTH(Call_Center[[#This Row],[Date of Call]])&lt;=6,2023,2024)</f>
        <v>2023</v>
      </c>
      <c r="I244" t="str">
        <f>TEXT(Call_Center[[#This Row],[Date of Call]],"DDDD")</f>
        <v>Sunday</v>
      </c>
      <c r="J244" t="str" cm="1">
        <f t="array" ref="J244">_xlfn.IFS(Call_Center[[#This Row],[Duration]]&lt;=10,"Under 10 mins",Call_Center[[#This Row],[Duration]]&lt;=30,"10 to 30 min",Call_Center[[#This Row],[Duration]]&lt;=60,"30 to 60 min",Call_Center[[#This Row],[Duration]]&lt;=120,"1 to 2 hours",TRUE,"More than 2 hours")</f>
        <v>30 to 60 min</v>
      </c>
      <c r="K244">
        <f>ROUND(Call_Center[[#This Row],[Satisfaction Rating]],0)</f>
        <v>5</v>
      </c>
    </row>
    <row r="245" spans="1:11" x14ac:dyDescent="0.35">
      <c r="A245" s="21" t="s">
        <v>1228</v>
      </c>
      <c r="B245" s="18" t="s">
        <v>1000</v>
      </c>
      <c r="C245" s="18">
        <v>84</v>
      </c>
      <c r="D245" s="19" t="s">
        <v>977</v>
      </c>
      <c r="E245" s="20">
        <v>45004</v>
      </c>
      <c r="F245" s="18">
        <v>22</v>
      </c>
      <c r="G245" s="22">
        <v>3.5</v>
      </c>
      <c r="H245">
        <f>IF(MONTH(Call_Center[[#This Row],[Date of Call]])&lt;=6,2023,2024)</f>
        <v>2023</v>
      </c>
      <c r="I245" t="str">
        <f>TEXT(Call_Center[[#This Row],[Date of Call]],"DDDD")</f>
        <v>Sunday</v>
      </c>
      <c r="J245" t="str" cm="1">
        <f t="array" ref="J245">_xlfn.IFS(Call_Center[[#This Row],[Duration]]&lt;=10,"Under 10 mins",Call_Center[[#This Row],[Duration]]&lt;=30,"10 to 30 min",Call_Center[[#This Row],[Duration]]&lt;=60,"30 to 60 min",Call_Center[[#This Row],[Duration]]&lt;=120,"1 to 2 hours",TRUE,"More than 2 hours")</f>
        <v>1 to 2 hours</v>
      </c>
      <c r="K245">
        <f>ROUND(Call_Center[[#This Row],[Satisfaction Rating]],0)</f>
        <v>4</v>
      </c>
    </row>
    <row r="246" spans="1:11" x14ac:dyDescent="0.35">
      <c r="A246" s="21" t="s">
        <v>1229</v>
      </c>
      <c r="B246" s="18" t="s">
        <v>997</v>
      </c>
      <c r="C246" s="18">
        <v>140</v>
      </c>
      <c r="D246" s="19" t="s">
        <v>977</v>
      </c>
      <c r="E246" s="20">
        <v>45004</v>
      </c>
      <c r="F246" s="18">
        <v>93</v>
      </c>
      <c r="G246" s="22">
        <v>4.4000000000000004</v>
      </c>
      <c r="H246">
        <f>IF(MONTH(Call_Center[[#This Row],[Date of Call]])&lt;=6,2023,2024)</f>
        <v>2023</v>
      </c>
      <c r="I246" t="str">
        <f>TEXT(Call_Center[[#This Row],[Date of Call]],"DDDD")</f>
        <v>Sunday</v>
      </c>
      <c r="J246" t="str" cm="1">
        <f t="array" ref="J246">_xlfn.IFS(Call_Center[[#This Row],[Duration]]&lt;=10,"Under 10 mins",Call_Center[[#This Row],[Duration]]&lt;=30,"10 to 30 min",Call_Center[[#This Row],[Duration]]&lt;=60,"30 to 60 min",Call_Center[[#This Row],[Duration]]&lt;=120,"1 to 2 hours",TRUE,"More than 2 hours")</f>
        <v>More than 2 hours</v>
      </c>
      <c r="K246">
        <f>ROUND(Call_Center[[#This Row],[Satisfaction Rating]],0)</f>
        <v>4</v>
      </c>
    </row>
    <row r="247" spans="1:11" x14ac:dyDescent="0.35">
      <c r="A247" s="21" t="s">
        <v>1230</v>
      </c>
      <c r="B247" s="18" t="s">
        <v>985</v>
      </c>
      <c r="C247" s="18">
        <v>67</v>
      </c>
      <c r="D247" s="19" t="s">
        <v>977</v>
      </c>
      <c r="E247" s="20">
        <v>45004</v>
      </c>
      <c r="F247" s="18">
        <v>45</v>
      </c>
      <c r="G247" s="22">
        <v>3.5</v>
      </c>
      <c r="H247">
        <f>IF(MONTH(Call_Center[[#This Row],[Date of Call]])&lt;=6,2023,2024)</f>
        <v>2023</v>
      </c>
      <c r="I247" t="str">
        <f>TEXT(Call_Center[[#This Row],[Date of Call]],"DDDD")</f>
        <v>Sunday</v>
      </c>
      <c r="J247" t="str" cm="1">
        <f t="array" ref="J247">_xlfn.IFS(Call_Center[[#This Row],[Duration]]&lt;=10,"Under 10 mins",Call_Center[[#This Row],[Duration]]&lt;=30,"10 to 30 min",Call_Center[[#This Row],[Duration]]&lt;=60,"30 to 60 min",Call_Center[[#This Row],[Duration]]&lt;=120,"1 to 2 hours",TRUE,"More than 2 hours")</f>
        <v>1 to 2 hours</v>
      </c>
      <c r="K247">
        <f>ROUND(Call_Center[[#This Row],[Satisfaction Rating]],0)</f>
        <v>4</v>
      </c>
    </row>
    <row r="248" spans="1:11" x14ac:dyDescent="0.35">
      <c r="A248" s="21" t="s">
        <v>1231</v>
      </c>
      <c r="B248" s="18" t="s">
        <v>969</v>
      </c>
      <c r="C248" s="18">
        <v>126</v>
      </c>
      <c r="D248" s="19" t="s">
        <v>977</v>
      </c>
      <c r="E248" s="20">
        <v>45005</v>
      </c>
      <c r="F248" s="18">
        <v>96</v>
      </c>
      <c r="G248" s="22">
        <v>3.8</v>
      </c>
      <c r="H248">
        <f>IF(MONTH(Call_Center[[#This Row],[Date of Call]])&lt;=6,2023,2024)</f>
        <v>2023</v>
      </c>
      <c r="I248" t="str">
        <f>TEXT(Call_Center[[#This Row],[Date of Call]],"DDDD")</f>
        <v>Monday</v>
      </c>
      <c r="J248" t="str" cm="1">
        <f t="array" ref="J248">_xlfn.IFS(Call_Center[[#This Row],[Duration]]&lt;=10,"Under 10 mins",Call_Center[[#This Row],[Duration]]&lt;=30,"10 to 30 min",Call_Center[[#This Row],[Duration]]&lt;=60,"30 to 60 min",Call_Center[[#This Row],[Duration]]&lt;=120,"1 to 2 hours",TRUE,"More than 2 hours")</f>
        <v>More than 2 hours</v>
      </c>
      <c r="K248">
        <f>ROUND(Call_Center[[#This Row],[Satisfaction Rating]],0)</f>
        <v>4</v>
      </c>
    </row>
    <row r="249" spans="1:11" x14ac:dyDescent="0.35">
      <c r="A249" s="21" t="s">
        <v>1232</v>
      </c>
      <c r="B249" s="18" t="s">
        <v>969</v>
      </c>
      <c r="C249" s="18">
        <v>89</v>
      </c>
      <c r="D249" s="19" t="s">
        <v>972</v>
      </c>
      <c r="E249" s="20">
        <v>45005</v>
      </c>
      <c r="F249" s="18">
        <v>96</v>
      </c>
      <c r="G249" s="22">
        <v>3.3</v>
      </c>
      <c r="H249">
        <f>IF(MONTH(Call_Center[[#This Row],[Date of Call]])&lt;=6,2023,2024)</f>
        <v>2023</v>
      </c>
      <c r="I249" t="str">
        <f>TEXT(Call_Center[[#This Row],[Date of Call]],"DDDD")</f>
        <v>Monday</v>
      </c>
      <c r="J249" t="str" cm="1">
        <f t="array" ref="J249">_xlfn.IFS(Call_Center[[#This Row],[Duration]]&lt;=10,"Under 10 mins",Call_Center[[#This Row],[Duration]]&lt;=30,"10 to 30 min",Call_Center[[#This Row],[Duration]]&lt;=60,"30 to 60 min",Call_Center[[#This Row],[Duration]]&lt;=120,"1 to 2 hours",TRUE,"More than 2 hours")</f>
        <v>1 to 2 hours</v>
      </c>
      <c r="K249">
        <f>ROUND(Call_Center[[#This Row],[Satisfaction Rating]],0)</f>
        <v>3</v>
      </c>
    </row>
    <row r="250" spans="1:11" x14ac:dyDescent="0.35">
      <c r="A250" s="21" t="s">
        <v>1233</v>
      </c>
      <c r="B250" s="18" t="s">
        <v>971</v>
      </c>
      <c r="C250" s="18">
        <v>56</v>
      </c>
      <c r="D250" s="19" t="s">
        <v>967</v>
      </c>
      <c r="E250" s="20">
        <v>45005</v>
      </c>
      <c r="F250" s="18">
        <v>31</v>
      </c>
      <c r="G250" s="22">
        <v>4.4000000000000004</v>
      </c>
      <c r="H250">
        <f>IF(MONTH(Call_Center[[#This Row],[Date of Call]])&lt;=6,2023,2024)</f>
        <v>2023</v>
      </c>
      <c r="I250" t="str">
        <f>TEXT(Call_Center[[#This Row],[Date of Call]],"DDDD")</f>
        <v>Monday</v>
      </c>
      <c r="J250" t="str" cm="1">
        <f t="array" ref="J250">_xlfn.IFS(Call_Center[[#This Row],[Duration]]&lt;=10,"Under 10 mins",Call_Center[[#This Row],[Duration]]&lt;=30,"10 to 30 min",Call_Center[[#This Row],[Duration]]&lt;=60,"30 to 60 min",Call_Center[[#This Row],[Duration]]&lt;=120,"1 to 2 hours",TRUE,"More than 2 hours")</f>
        <v>30 to 60 min</v>
      </c>
      <c r="K250">
        <f>ROUND(Call_Center[[#This Row],[Satisfaction Rating]],0)</f>
        <v>4</v>
      </c>
    </row>
    <row r="251" spans="1:11" x14ac:dyDescent="0.35">
      <c r="A251" s="21" t="s">
        <v>1234</v>
      </c>
      <c r="B251" s="18" t="s">
        <v>976</v>
      </c>
      <c r="C251" s="18">
        <v>48</v>
      </c>
      <c r="D251" s="19" t="s">
        <v>972</v>
      </c>
      <c r="E251" s="20">
        <v>45005</v>
      </c>
      <c r="F251" s="18">
        <v>200</v>
      </c>
      <c r="G251" s="22">
        <v>3.9</v>
      </c>
      <c r="H251">
        <f>IF(MONTH(Call_Center[[#This Row],[Date of Call]])&lt;=6,2023,2024)</f>
        <v>2023</v>
      </c>
      <c r="I251" t="str">
        <f>TEXT(Call_Center[[#This Row],[Date of Call]],"DDDD")</f>
        <v>Monday</v>
      </c>
      <c r="J251" t="str" cm="1">
        <f t="array" ref="J251">_xlfn.IFS(Call_Center[[#This Row],[Duration]]&lt;=10,"Under 10 mins",Call_Center[[#This Row],[Duration]]&lt;=30,"10 to 30 min",Call_Center[[#This Row],[Duration]]&lt;=60,"30 to 60 min",Call_Center[[#This Row],[Duration]]&lt;=120,"1 to 2 hours",TRUE,"More than 2 hours")</f>
        <v>30 to 60 min</v>
      </c>
      <c r="K251">
        <f>ROUND(Call_Center[[#This Row],[Satisfaction Rating]],0)</f>
        <v>4</v>
      </c>
    </row>
    <row r="252" spans="1:11" x14ac:dyDescent="0.35">
      <c r="A252" s="21" t="s">
        <v>1235</v>
      </c>
      <c r="B252" s="18" t="s">
        <v>969</v>
      </c>
      <c r="C252" s="18">
        <v>55</v>
      </c>
      <c r="D252" s="19" t="s">
        <v>967</v>
      </c>
      <c r="E252" s="20">
        <v>45005</v>
      </c>
      <c r="F252" s="18">
        <v>99</v>
      </c>
      <c r="G252" s="22">
        <v>2.7</v>
      </c>
      <c r="H252">
        <f>IF(MONTH(Call_Center[[#This Row],[Date of Call]])&lt;=6,2023,2024)</f>
        <v>2023</v>
      </c>
      <c r="I252" t="str">
        <f>TEXT(Call_Center[[#This Row],[Date of Call]],"DDDD")</f>
        <v>Monday</v>
      </c>
      <c r="J252" t="str" cm="1">
        <f t="array" ref="J252">_xlfn.IFS(Call_Center[[#This Row],[Duration]]&lt;=10,"Under 10 mins",Call_Center[[#This Row],[Duration]]&lt;=30,"10 to 30 min",Call_Center[[#This Row],[Duration]]&lt;=60,"30 to 60 min",Call_Center[[#This Row],[Duration]]&lt;=120,"1 to 2 hours",TRUE,"More than 2 hours")</f>
        <v>30 to 60 min</v>
      </c>
      <c r="K252">
        <f>ROUND(Call_Center[[#This Row],[Satisfaction Rating]],0)</f>
        <v>3</v>
      </c>
    </row>
    <row r="253" spans="1:11" x14ac:dyDescent="0.35">
      <c r="A253" s="21" t="s">
        <v>1236</v>
      </c>
      <c r="B253" s="18" t="s">
        <v>974</v>
      </c>
      <c r="C253" s="18">
        <v>88</v>
      </c>
      <c r="D253" s="19" t="s">
        <v>986</v>
      </c>
      <c r="E253" s="20">
        <v>45005</v>
      </c>
      <c r="F253" s="18">
        <v>144</v>
      </c>
      <c r="G253" s="22">
        <v>2.9</v>
      </c>
      <c r="H253">
        <f>IF(MONTH(Call_Center[[#This Row],[Date of Call]])&lt;=6,2023,2024)</f>
        <v>2023</v>
      </c>
      <c r="I253" t="str">
        <f>TEXT(Call_Center[[#This Row],[Date of Call]],"DDDD")</f>
        <v>Monday</v>
      </c>
      <c r="J253" t="str" cm="1">
        <f t="array" ref="J253">_xlfn.IFS(Call_Center[[#This Row],[Duration]]&lt;=10,"Under 10 mins",Call_Center[[#This Row],[Duration]]&lt;=30,"10 to 30 min",Call_Center[[#This Row],[Duration]]&lt;=60,"30 to 60 min",Call_Center[[#This Row],[Duration]]&lt;=120,"1 to 2 hours",TRUE,"More than 2 hours")</f>
        <v>1 to 2 hours</v>
      </c>
      <c r="K253">
        <f>ROUND(Call_Center[[#This Row],[Satisfaction Rating]],0)</f>
        <v>3</v>
      </c>
    </row>
    <row r="254" spans="1:11" x14ac:dyDescent="0.35">
      <c r="A254" s="21" t="s">
        <v>1237</v>
      </c>
      <c r="B254" s="18" t="s">
        <v>971</v>
      </c>
      <c r="C254" s="18">
        <v>102</v>
      </c>
      <c r="D254" s="19" t="s">
        <v>977</v>
      </c>
      <c r="E254" s="20">
        <v>45006</v>
      </c>
      <c r="F254" s="18">
        <v>81</v>
      </c>
      <c r="G254" s="22">
        <v>4</v>
      </c>
      <c r="H254">
        <f>IF(MONTH(Call_Center[[#This Row],[Date of Call]])&lt;=6,2023,2024)</f>
        <v>2023</v>
      </c>
      <c r="I254" t="str">
        <f>TEXT(Call_Center[[#This Row],[Date of Call]],"DDDD")</f>
        <v>Tuesday</v>
      </c>
      <c r="J254" t="str" cm="1">
        <f t="array" ref="J254">_xlfn.IFS(Call_Center[[#This Row],[Duration]]&lt;=10,"Under 10 mins",Call_Center[[#This Row],[Duration]]&lt;=30,"10 to 30 min",Call_Center[[#This Row],[Duration]]&lt;=60,"30 to 60 min",Call_Center[[#This Row],[Duration]]&lt;=120,"1 to 2 hours",TRUE,"More than 2 hours")</f>
        <v>1 to 2 hours</v>
      </c>
      <c r="K254">
        <f>ROUND(Call_Center[[#This Row],[Satisfaction Rating]],0)</f>
        <v>4</v>
      </c>
    </row>
    <row r="255" spans="1:11" x14ac:dyDescent="0.35">
      <c r="A255" s="21" t="s">
        <v>1238</v>
      </c>
      <c r="B255" s="18" t="s">
        <v>974</v>
      </c>
      <c r="C255" s="18">
        <v>155</v>
      </c>
      <c r="D255" s="19" t="s">
        <v>986</v>
      </c>
      <c r="E255" s="20">
        <v>45006</v>
      </c>
      <c r="F255" s="18">
        <v>70</v>
      </c>
      <c r="G255" s="22">
        <v>4.4000000000000004</v>
      </c>
      <c r="H255">
        <f>IF(MONTH(Call_Center[[#This Row],[Date of Call]])&lt;=6,2023,2024)</f>
        <v>2023</v>
      </c>
      <c r="I255" t="str">
        <f>TEXT(Call_Center[[#This Row],[Date of Call]],"DDDD")</f>
        <v>Tuesday</v>
      </c>
      <c r="J255" t="str" cm="1">
        <f t="array" ref="J255">_xlfn.IFS(Call_Center[[#This Row],[Duration]]&lt;=10,"Under 10 mins",Call_Center[[#This Row],[Duration]]&lt;=30,"10 to 30 min",Call_Center[[#This Row],[Duration]]&lt;=60,"30 to 60 min",Call_Center[[#This Row],[Duration]]&lt;=120,"1 to 2 hours",TRUE,"More than 2 hours")</f>
        <v>More than 2 hours</v>
      </c>
      <c r="K255">
        <f>ROUND(Call_Center[[#This Row],[Satisfaction Rating]],0)</f>
        <v>4</v>
      </c>
    </row>
    <row r="256" spans="1:11" x14ac:dyDescent="0.35">
      <c r="A256" s="21" t="s">
        <v>1239</v>
      </c>
      <c r="B256" s="18" t="s">
        <v>969</v>
      </c>
      <c r="C256" s="18">
        <v>63</v>
      </c>
      <c r="D256" s="19" t="s">
        <v>986</v>
      </c>
      <c r="E256" s="20">
        <v>45006</v>
      </c>
      <c r="F256" s="18">
        <v>148</v>
      </c>
      <c r="G256" s="22">
        <v>5</v>
      </c>
      <c r="H256">
        <f>IF(MONTH(Call_Center[[#This Row],[Date of Call]])&lt;=6,2023,2024)</f>
        <v>2023</v>
      </c>
      <c r="I256" t="str">
        <f>TEXT(Call_Center[[#This Row],[Date of Call]],"DDDD")</f>
        <v>Tuesday</v>
      </c>
      <c r="J256" t="str" cm="1">
        <f t="array" ref="J256">_xlfn.IFS(Call_Center[[#This Row],[Duration]]&lt;=10,"Under 10 mins",Call_Center[[#This Row],[Duration]]&lt;=30,"10 to 30 min",Call_Center[[#This Row],[Duration]]&lt;=60,"30 to 60 min",Call_Center[[#This Row],[Duration]]&lt;=120,"1 to 2 hours",TRUE,"More than 2 hours")</f>
        <v>1 to 2 hours</v>
      </c>
      <c r="K256">
        <f>ROUND(Call_Center[[#This Row],[Satisfaction Rating]],0)</f>
        <v>5</v>
      </c>
    </row>
    <row r="257" spans="1:11" x14ac:dyDescent="0.35">
      <c r="A257" s="21" t="s">
        <v>1240</v>
      </c>
      <c r="B257" s="18" t="s">
        <v>980</v>
      </c>
      <c r="C257" s="18">
        <v>59</v>
      </c>
      <c r="D257" s="19" t="s">
        <v>977</v>
      </c>
      <c r="E257" s="20">
        <v>45006</v>
      </c>
      <c r="F257" s="18">
        <v>215</v>
      </c>
      <c r="G257" s="22">
        <v>4.0999999999999996</v>
      </c>
      <c r="H257">
        <f>IF(MONTH(Call_Center[[#This Row],[Date of Call]])&lt;=6,2023,2024)</f>
        <v>2023</v>
      </c>
      <c r="I257" t="str">
        <f>TEXT(Call_Center[[#This Row],[Date of Call]],"DDDD")</f>
        <v>Tuesday</v>
      </c>
      <c r="J257" t="str" cm="1">
        <f t="array" ref="J257">_xlfn.IFS(Call_Center[[#This Row],[Duration]]&lt;=10,"Under 10 mins",Call_Center[[#This Row],[Duration]]&lt;=30,"10 to 30 min",Call_Center[[#This Row],[Duration]]&lt;=60,"30 to 60 min",Call_Center[[#This Row],[Duration]]&lt;=120,"1 to 2 hours",TRUE,"More than 2 hours")</f>
        <v>30 to 60 min</v>
      </c>
      <c r="K257">
        <f>ROUND(Call_Center[[#This Row],[Satisfaction Rating]],0)</f>
        <v>4</v>
      </c>
    </row>
    <row r="258" spans="1:11" x14ac:dyDescent="0.35">
      <c r="A258" s="21" t="s">
        <v>1241</v>
      </c>
      <c r="B258" s="18" t="s">
        <v>980</v>
      </c>
      <c r="C258" s="18">
        <v>144</v>
      </c>
      <c r="D258" s="19" t="s">
        <v>972</v>
      </c>
      <c r="E258" s="20">
        <v>45006</v>
      </c>
      <c r="F258" s="18">
        <v>124</v>
      </c>
      <c r="G258" s="22">
        <v>4.4000000000000004</v>
      </c>
      <c r="H258">
        <f>IF(MONTH(Call_Center[[#This Row],[Date of Call]])&lt;=6,2023,2024)</f>
        <v>2023</v>
      </c>
      <c r="I258" t="str">
        <f>TEXT(Call_Center[[#This Row],[Date of Call]],"DDDD")</f>
        <v>Tuesday</v>
      </c>
      <c r="J258" t="str" cm="1">
        <f t="array" ref="J258">_xlfn.IFS(Call_Center[[#This Row],[Duration]]&lt;=10,"Under 10 mins",Call_Center[[#This Row],[Duration]]&lt;=30,"10 to 30 min",Call_Center[[#This Row],[Duration]]&lt;=60,"30 to 60 min",Call_Center[[#This Row],[Duration]]&lt;=120,"1 to 2 hours",TRUE,"More than 2 hours")</f>
        <v>More than 2 hours</v>
      </c>
      <c r="K258">
        <f>ROUND(Call_Center[[#This Row],[Satisfaction Rating]],0)</f>
        <v>4</v>
      </c>
    </row>
    <row r="259" spans="1:11" x14ac:dyDescent="0.35">
      <c r="A259" s="21" t="s">
        <v>1242</v>
      </c>
      <c r="B259" s="18" t="s">
        <v>1000</v>
      </c>
      <c r="C259" s="18">
        <v>113</v>
      </c>
      <c r="D259" s="19" t="s">
        <v>982</v>
      </c>
      <c r="E259" s="20">
        <v>45006</v>
      </c>
      <c r="F259" s="18">
        <v>168</v>
      </c>
      <c r="G259" s="22">
        <v>4.0999999999999996</v>
      </c>
      <c r="H259">
        <f>IF(MONTH(Call_Center[[#This Row],[Date of Call]])&lt;=6,2023,2024)</f>
        <v>2023</v>
      </c>
      <c r="I259" t="str">
        <f>TEXT(Call_Center[[#This Row],[Date of Call]],"DDDD")</f>
        <v>Tuesday</v>
      </c>
      <c r="J259" t="str" cm="1">
        <f t="array" ref="J259">_xlfn.IFS(Call_Center[[#This Row],[Duration]]&lt;=10,"Under 10 mins",Call_Center[[#This Row],[Duration]]&lt;=30,"10 to 30 min",Call_Center[[#This Row],[Duration]]&lt;=60,"30 to 60 min",Call_Center[[#This Row],[Duration]]&lt;=120,"1 to 2 hours",TRUE,"More than 2 hours")</f>
        <v>1 to 2 hours</v>
      </c>
      <c r="K259">
        <f>ROUND(Call_Center[[#This Row],[Satisfaction Rating]],0)</f>
        <v>4</v>
      </c>
    </row>
    <row r="260" spans="1:11" x14ac:dyDescent="0.35">
      <c r="A260" s="21" t="s">
        <v>1243</v>
      </c>
      <c r="B260" s="18" t="s">
        <v>1008</v>
      </c>
      <c r="C260" s="18">
        <v>154</v>
      </c>
      <c r="D260" s="19" t="s">
        <v>967</v>
      </c>
      <c r="E260" s="20">
        <v>45006</v>
      </c>
      <c r="F260" s="18">
        <v>90</v>
      </c>
      <c r="G260" s="22">
        <v>4.5</v>
      </c>
      <c r="H260">
        <f>IF(MONTH(Call_Center[[#This Row],[Date of Call]])&lt;=6,2023,2024)</f>
        <v>2023</v>
      </c>
      <c r="I260" t="str">
        <f>TEXT(Call_Center[[#This Row],[Date of Call]],"DDDD")</f>
        <v>Tuesday</v>
      </c>
      <c r="J260" t="str" cm="1">
        <f t="array" ref="J260">_xlfn.IFS(Call_Center[[#This Row],[Duration]]&lt;=10,"Under 10 mins",Call_Center[[#This Row],[Duration]]&lt;=30,"10 to 30 min",Call_Center[[#This Row],[Duration]]&lt;=60,"30 to 60 min",Call_Center[[#This Row],[Duration]]&lt;=120,"1 to 2 hours",TRUE,"More than 2 hours")</f>
        <v>More than 2 hours</v>
      </c>
      <c r="K260">
        <f>ROUND(Call_Center[[#This Row],[Satisfaction Rating]],0)</f>
        <v>5</v>
      </c>
    </row>
    <row r="261" spans="1:11" x14ac:dyDescent="0.35">
      <c r="A261" s="21" t="s">
        <v>1244</v>
      </c>
      <c r="B261" s="18" t="s">
        <v>1008</v>
      </c>
      <c r="C261" s="18">
        <v>58</v>
      </c>
      <c r="D261" s="19" t="s">
        <v>977</v>
      </c>
      <c r="E261" s="20">
        <v>45007</v>
      </c>
      <c r="F261" s="18">
        <v>176</v>
      </c>
      <c r="G261" s="22">
        <v>4.2</v>
      </c>
      <c r="H261">
        <f>IF(MONTH(Call_Center[[#This Row],[Date of Call]])&lt;=6,2023,2024)</f>
        <v>2023</v>
      </c>
      <c r="I261" t="str">
        <f>TEXT(Call_Center[[#This Row],[Date of Call]],"DDDD")</f>
        <v>Wednesday</v>
      </c>
      <c r="J261" t="str" cm="1">
        <f t="array" ref="J261">_xlfn.IFS(Call_Center[[#This Row],[Duration]]&lt;=10,"Under 10 mins",Call_Center[[#This Row],[Duration]]&lt;=30,"10 to 30 min",Call_Center[[#This Row],[Duration]]&lt;=60,"30 to 60 min",Call_Center[[#This Row],[Duration]]&lt;=120,"1 to 2 hours",TRUE,"More than 2 hours")</f>
        <v>30 to 60 min</v>
      </c>
      <c r="K261">
        <f>ROUND(Call_Center[[#This Row],[Satisfaction Rating]],0)</f>
        <v>4</v>
      </c>
    </row>
    <row r="262" spans="1:11" x14ac:dyDescent="0.35">
      <c r="A262" s="21" t="s">
        <v>1245</v>
      </c>
      <c r="B262" s="18" t="s">
        <v>976</v>
      </c>
      <c r="C262" s="18">
        <v>63</v>
      </c>
      <c r="D262" s="19" t="s">
        <v>986</v>
      </c>
      <c r="E262" s="20">
        <v>45007</v>
      </c>
      <c r="F262" s="18">
        <v>87</v>
      </c>
      <c r="G262" s="22">
        <v>4.5999999999999996</v>
      </c>
      <c r="H262">
        <f>IF(MONTH(Call_Center[[#This Row],[Date of Call]])&lt;=6,2023,2024)</f>
        <v>2023</v>
      </c>
      <c r="I262" t="str">
        <f>TEXT(Call_Center[[#This Row],[Date of Call]],"DDDD")</f>
        <v>Wednesday</v>
      </c>
      <c r="J262" t="str" cm="1">
        <f t="array" ref="J262">_xlfn.IFS(Call_Center[[#This Row],[Duration]]&lt;=10,"Under 10 mins",Call_Center[[#This Row],[Duration]]&lt;=30,"10 to 30 min",Call_Center[[#This Row],[Duration]]&lt;=60,"30 to 60 min",Call_Center[[#This Row],[Duration]]&lt;=120,"1 to 2 hours",TRUE,"More than 2 hours")</f>
        <v>1 to 2 hours</v>
      </c>
      <c r="K262">
        <f>ROUND(Call_Center[[#This Row],[Satisfaction Rating]],0)</f>
        <v>5</v>
      </c>
    </row>
    <row r="263" spans="1:11" x14ac:dyDescent="0.35">
      <c r="A263" s="21" t="s">
        <v>1246</v>
      </c>
      <c r="B263" s="18" t="s">
        <v>997</v>
      </c>
      <c r="C263" s="18">
        <v>59</v>
      </c>
      <c r="D263" s="19" t="s">
        <v>972</v>
      </c>
      <c r="E263" s="20">
        <v>45007</v>
      </c>
      <c r="F263" s="18">
        <v>128</v>
      </c>
      <c r="G263" s="22">
        <v>4.5</v>
      </c>
      <c r="H263">
        <f>IF(MONTH(Call_Center[[#This Row],[Date of Call]])&lt;=6,2023,2024)</f>
        <v>2023</v>
      </c>
      <c r="I263" t="str">
        <f>TEXT(Call_Center[[#This Row],[Date of Call]],"DDDD")</f>
        <v>Wednesday</v>
      </c>
      <c r="J263" t="str" cm="1">
        <f t="array" ref="J263">_xlfn.IFS(Call_Center[[#This Row],[Duration]]&lt;=10,"Under 10 mins",Call_Center[[#This Row],[Duration]]&lt;=30,"10 to 30 min",Call_Center[[#This Row],[Duration]]&lt;=60,"30 to 60 min",Call_Center[[#This Row],[Duration]]&lt;=120,"1 to 2 hours",TRUE,"More than 2 hours")</f>
        <v>30 to 60 min</v>
      </c>
      <c r="K263">
        <f>ROUND(Call_Center[[#This Row],[Satisfaction Rating]],0)</f>
        <v>5</v>
      </c>
    </row>
    <row r="264" spans="1:11" x14ac:dyDescent="0.35">
      <c r="A264" s="21" t="s">
        <v>1247</v>
      </c>
      <c r="B264" s="18" t="s">
        <v>1038</v>
      </c>
      <c r="C264" s="18">
        <v>129</v>
      </c>
      <c r="D264" s="19" t="s">
        <v>986</v>
      </c>
      <c r="E264" s="20">
        <v>45007</v>
      </c>
      <c r="F264" s="18">
        <v>120</v>
      </c>
      <c r="G264" s="22">
        <v>4.0999999999999996</v>
      </c>
      <c r="H264">
        <f>IF(MONTH(Call_Center[[#This Row],[Date of Call]])&lt;=6,2023,2024)</f>
        <v>2023</v>
      </c>
      <c r="I264" t="str">
        <f>TEXT(Call_Center[[#This Row],[Date of Call]],"DDDD")</f>
        <v>Wednesday</v>
      </c>
      <c r="J264" t="str" cm="1">
        <f t="array" ref="J264">_xlfn.IFS(Call_Center[[#This Row],[Duration]]&lt;=10,"Under 10 mins",Call_Center[[#This Row],[Duration]]&lt;=30,"10 to 30 min",Call_Center[[#This Row],[Duration]]&lt;=60,"30 to 60 min",Call_Center[[#This Row],[Duration]]&lt;=120,"1 to 2 hours",TRUE,"More than 2 hours")</f>
        <v>More than 2 hours</v>
      </c>
      <c r="K264">
        <f>ROUND(Call_Center[[#This Row],[Satisfaction Rating]],0)</f>
        <v>4</v>
      </c>
    </row>
    <row r="265" spans="1:11" x14ac:dyDescent="0.35">
      <c r="A265" s="21" t="s">
        <v>1248</v>
      </c>
      <c r="B265" s="18" t="s">
        <v>991</v>
      </c>
      <c r="C265" s="18">
        <v>101</v>
      </c>
      <c r="D265" s="19" t="s">
        <v>982</v>
      </c>
      <c r="E265" s="20">
        <v>45007</v>
      </c>
      <c r="F265" s="18">
        <v>130</v>
      </c>
      <c r="G265" s="22">
        <v>4.8</v>
      </c>
      <c r="H265">
        <f>IF(MONTH(Call_Center[[#This Row],[Date of Call]])&lt;=6,2023,2024)</f>
        <v>2023</v>
      </c>
      <c r="I265" t="str">
        <f>TEXT(Call_Center[[#This Row],[Date of Call]],"DDDD")</f>
        <v>Wednesday</v>
      </c>
      <c r="J265" t="str" cm="1">
        <f t="array" ref="J265">_xlfn.IFS(Call_Center[[#This Row],[Duration]]&lt;=10,"Under 10 mins",Call_Center[[#This Row],[Duration]]&lt;=30,"10 to 30 min",Call_Center[[#This Row],[Duration]]&lt;=60,"30 to 60 min",Call_Center[[#This Row],[Duration]]&lt;=120,"1 to 2 hours",TRUE,"More than 2 hours")</f>
        <v>1 to 2 hours</v>
      </c>
      <c r="K265">
        <f>ROUND(Call_Center[[#This Row],[Satisfaction Rating]],0)</f>
        <v>5</v>
      </c>
    </row>
    <row r="266" spans="1:11" x14ac:dyDescent="0.35">
      <c r="A266" s="21" t="s">
        <v>1249</v>
      </c>
      <c r="B266" s="18" t="s">
        <v>1005</v>
      </c>
      <c r="C266" s="18">
        <v>154</v>
      </c>
      <c r="D266" s="19" t="s">
        <v>972</v>
      </c>
      <c r="E266" s="20">
        <v>45007</v>
      </c>
      <c r="F266" s="18">
        <v>172</v>
      </c>
      <c r="G266" s="22">
        <v>3.1</v>
      </c>
      <c r="H266">
        <f>IF(MONTH(Call_Center[[#This Row],[Date of Call]])&lt;=6,2023,2024)</f>
        <v>2023</v>
      </c>
      <c r="I266" t="str">
        <f>TEXT(Call_Center[[#This Row],[Date of Call]],"DDDD")</f>
        <v>Wednesday</v>
      </c>
      <c r="J266" t="str" cm="1">
        <f t="array" ref="J266">_xlfn.IFS(Call_Center[[#This Row],[Duration]]&lt;=10,"Under 10 mins",Call_Center[[#This Row],[Duration]]&lt;=30,"10 to 30 min",Call_Center[[#This Row],[Duration]]&lt;=60,"30 to 60 min",Call_Center[[#This Row],[Duration]]&lt;=120,"1 to 2 hours",TRUE,"More than 2 hours")</f>
        <v>More than 2 hours</v>
      </c>
      <c r="K266">
        <f>ROUND(Call_Center[[#This Row],[Satisfaction Rating]],0)</f>
        <v>3</v>
      </c>
    </row>
    <row r="267" spans="1:11" x14ac:dyDescent="0.35">
      <c r="A267" s="21" t="s">
        <v>1250</v>
      </c>
      <c r="B267" s="18" t="s">
        <v>985</v>
      </c>
      <c r="C267" s="18">
        <v>131</v>
      </c>
      <c r="D267" s="19" t="s">
        <v>972</v>
      </c>
      <c r="E267" s="20">
        <v>45007</v>
      </c>
      <c r="F267" s="18">
        <v>58</v>
      </c>
      <c r="G267" s="22">
        <v>4.9000000000000004</v>
      </c>
      <c r="H267">
        <f>IF(MONTH(Call_Center[[#This Row],[Date of Call]])&lt;=6,2023,2024)</f>
        <v>2023</v>
      </c>
      <c r="I267" t="str">
        <f>TEXT(Call_Center[[#This Row],[Date of Call]],"DDDD")</f>
        <v>Wednesday</v>
      </c>
      <c r="J267" t="str" cm="1">
        <f t="array" ref="J267">_xlfn.IFS(Call_Center[[#This Row],[Duration]]&lt;=10,"Under 10 mins",Call_Center[[#This Row],[Duration]]&lt;=30,"10 to 30 min",Call_Center[[#This Row],[Duration]]&lt;=60,"30 to 60 min",Call_Center[[#This Row],[Duration]]&lt;=120,"1 to 2 hours",TRUE,"More than 2 hours")</f>
        <v>More than 2 hours</v>
      </c>
      <c r="K267">
        <f>ROUND(Call_Center[[#This Row],[Satisfaction Rating]],0)</f>
        <v>5</v>
      </c>
    </row>
    <row r="268" spans="1:11" x14ac:dyDescent="0.35">
      <c r="A268" s="21" t="s">
        <v>1251</v>
      </c>
      <c r="B268" s="18" t="s">
        <v>980</v>
      </c>
      <c r="C268" s="18">
        <v>111</v>
      </c>
      <c r="D268" s="19" t="s">
        <v>982</v>
      </c>
      <c r="E268" s="20">
        <v>45008</v>
      </c>
      <c r="F268" s="18">
        <v>86</v>
      </c>
      <c r="G268" s="22">
        <v>4.0999999999999996</v>
      </c>
      <c r="H268">
        <f>IF(MONTH(Call_Center[[#This Row],[Date of Call]])&lt;=6,2023,2024)</f>
        <v>2023</v>
      </c>
      <c r="I268" t="str">
        <f>TEXT(Call_Center[[#This Row],[Date of Call]],"DDDD")</f>
        <v>Thursday</v>
      </c>
      <c r="J268" t="str" cm="1">
        <f t="array" ref="J268">_xlfn.IFS(Call_Center[[#This Row],[Duration]]&lt;=10,"Under 10 mins",Call_Center[[#This Row],[Duration]]&lt;=30,"10 to 30 min",Call_Center[[#This Row],[Duration]]&lt;=60,"30 to 60 min",Call_Center[[#This Row],[Duration]]&lt;=120,"1 to 2 hours",TRUE,"More than 2 hours")</f>
        <v>1 to 2 hours</v>
      </c>
      <c r="K268">
        <f>ROUND(Call_Center[[#This Row],[Satisfaction Rating]],0)</f>
        <v>4</v>
      </c>
    </row>
    <row r="269" spans="1:11" x14ac:dyDescent="0.35">
      <c r="A269" s="21" t="s">
        <v>1252</v>
      </c>
      <c r="B269" s="18" t="s">
        <v>1008</v>
      </c>
      <c r="C269" s="18">
        <v>142</v>
      </c>
      <c r="D269" s="19" t="s">
        <v>982</v>
      </c>
      <c r="E269" s="20">
        <v>45009</v>
      </c>
      <c r="F269" s="18">
        <v>31</v>
      </c>
      <c r="G269" s="22">
        <v>4.4000000000000004</v>
      </c>
      <c r="H269">
        <f>IF(MONTH(Call_Center[[#This Row],[Date of Call]])&lt;=6,2023,2024)</f>
        <v>2023</v>
      </c>
      <c r="I269" t="str">
        <f>TEXT(Call_Center[[#This Row],[Date of Call]],"DDDD")</f>
        <v>Friday</v>
      </c>
      <c r="J269" t="str" cm="1">
        <f t="array" ref="J269">_xlfn.IFS(Call_Center[[#This Row],[Duration]]&lt;=10,"Under 10 mins",Call_Center[[#This Row],[Duration]]&lt;=30,"10 to 30 min",Call_Center[[#This Row],[Duration]]&lt;=60,"30 to 60 min",Call_Center[[#This Row],[Duration]]&lt;=120,"1 to 2 hours",TRUE,"More than 2 hours")</f>
        <v>More than 2 hours</v>
      </c>
      <c r="K269">
        <f>ROUND(Call_Center[[#This Row],[Satisfaction Rating]],0)</f>
        <v>4</v>
      </c>
    </row>
    <row r="270" spans="1:11" x14ac:dyDescent="0.35">
      <c r="A270" s="21" t="s">
        <v>1253</v>
      </c>
      <c r="B270" s="18" t="s">
        <v>971</v>
      </c>
      <c r="C270" s="18">
        <v>93</v>
      </c>
      <c r="D270" s="19" t="s">
        <v>986</v>
      </c>
      <c r="E270" s="20">
        <v>45009</v>
      </c>
      <c r="F270" s="18">
        <v>72</v>
      </c>
      <c r="G270" s="22">
        <v>4.4000000000000004</v>
      </c>
      <c r="H270">
        <f>IF(MONTH(Call_Center[[#This Row],[Date of Call]])&lt;=6,2023,2024)</f>
        <v>2023</v>
      </c>
      <c r="I270" t="str">
        <f>TEXT(Call_Center[[#This Row],[Date of Call]],"DDDD")</f>
        <v>Friday</v>
      </c>
      <c r="J270" t="str" cm="1">
        <f t="array" ref="J270">_xlfn.IFS(Call_Center[[#This Row],[Duration]]&lt;=10,"Under 10 mins",Call_Center[[#This Row],[Duration]]&lt;=30,"10 to 30 min",Call_Center[[#This Row],[Duration]]&lt;=60,"30 to 60 min",Call_Center[[#This Row],[Duration]]&lt;=120,"1 to 2 hours",TRUE,"More than 2 hours")</f>
        <v>1 to 2 hours</v>
      </c>
      <c r="K270">
        <f>ROUND(Call_Center[[#This Row],[Satisfaction Rating]],0)</f>
        <v>4</v>
      </c>
    </row>
    <row r="271" spans="1:11" x14ac:dyDescent="0.35">
      <c r="A271" s="21" t="s">
        <v>1254</v>
      </c>
      <c r="B271" s="18" t="s">
        <v>1008</v>
      </c>
      <c r="C271" s="18">
        <v>125</v>
      </c>
      <c r="D271" s="19" t="s">
        <v>967</v>
      </c>
      <c r="E271" s="20">
        <v>45010</v>
      </c>
      <c r="F271" s="18">
        <v>27</v>
      </c>
      <c r="G271" s="22">
        <v>3</v>
      </c>
      <c r="H271">
        <f>IF(MONTH(Call_Center[[#This Row],[Date of Call]])&lt;=6,2023,2024)</f>
        <v>2023</v>
      </c>
      <c r="I271" t="str">
        <f>TEXT(Call_Center[[#This Row],[Date of Call]],"DDDD")</f>
        <v>Saturday</v>
      </c>
      <c r="J271" t="str" cm="1">
        <f t="array" ref="J271">_xlfn.IFS(Call_Center[[#This Row],[Duration]]&lt;=10,"Under 10 mins",Call_Center[[#This Row],[Duration]]&lt;=30,"10 to 30 min",Call_Center[[#This Row],[Duration]]&lt;=60,"30 to 60 min",Call_Center[[#This Row],[Duration]]&lt;=120,"1 to 2 hours",TRUE,"More than 2 hours")</f>
        <v>More than 2 hours</v>
      </c>
      <c r="K271">
        <f>ROUND(Call_Center[[#This Row],[Satisfaction Rating]],0)</f>
        <v>3</v>
      </c>
    </row>
    <row r="272" spans="1:11" x14ac:dyDescent="0.35">
      <c r="A272" s="21" t="s">
        <v>1255</v>
      </c>
      <c r="B272" s="18" t="s">
        <v>1038</v>
      </c>
      <c r="C272" s="18">
        <v>76</v>
      </c>
      <c r="D272" s="19" t="s">
        <v>972</v>
      </c>
      <c r="E272" s="20">
        <v>45010</v>
      </c>
      <c r="F272" s="18">
        <v>110</v>
      </c>
      <c r="G272" s="22">
        <v>4.4000000000000004</v>
      </c>
      <c r="H272">
        <f>IF(MONTH(Call_Center[[#This Row],[Date of Call]])&lt;=6,2023,2024)</f>
        <v>2023</v>
      </c>
      <c r="I272" t="str">
        <f>TEXT(Call_Center[[#This Row],[Date of Call]],"DDDD")</f>
        <v>Saturday</v>
      </c>
      <c r="J272" t="str" cm="1">
        <f t="array" ref="J272">_xlfn.IFS(Call_Center[[#This Row],[Duration]]&lt;=10,"Under 10 mins",Call_Center[[#This Row],[Duration]]&lt;=30,"10 to 30 min",Call_Center[[#This Row],[Duration]]&lt;=60,"30 to 60 min",Call_Center[[#This Row],[Duration]]&lt;=120,"1 to 2 hours",TRUE,"More than 2 hours")</f>
        <v>1 to 2 hours</v>
      </c>
      <c r="K272">
        <f>ROUND(Call_Center[[#This Row],[Satisfaction Rating]],0)</f>
        <v>4</v>
      </c>
    </row>
    <row r="273" spans="1:11" x14ac:dyDescent="0.35">
      <c r="A273" s="21" t="s">
        <v>1256</v>
      </c>
      <c r="B273" s="18" t="s">
        <v>1000</v>
      </c>
      <c r="C273" s="18">
        <v>69</v>
      </c>
      <c r="D273" s="19" t="s">
        <v>986</v>
      </c>
      <c r="E273" s="20">
        <v>45010</v>
      </c>
      <c r="F273" s="18">
        <v>126</v>
      </c>
      <c r="G273" s="22">
        <v>3.7</v>
      </c>
      <c r="H273">
        <f>IF(MONTH(Call_Center[[#This Row],[Date of Call]])&lt;=6,2023,2024)</f>
        <v>2023</v>
      </c>
      <c r="I273" t="str">
        <f>TEXT(Call_Center[[#This Row],[Date of Call]],"DDDD")</f>
        <v>Saturday</v>
      </c>
      <c r="J273" t="str" cm="1">
        <f t="array" ref="J273">_xlfn.IFS(Call_Center[[#This Row],[Duration]]&lt;=10,"Under 10 mins",Call_Center[[#This Row],[Duration]]&lt;=30,"10 to 30 min",Call_Center[[#This Row],[Duration]]&lt;=60,"30 to 60 min",Call_Center[[#This Row],[Duration]]&lt;=120,"1 to 2 hours",TRUE,"More than 2 hours")</f>
        <v>1 to 2 hours</v>
      </c>
      <c r="K273">
        <f>ROUND(Call_Center[[#This Row],[Satisfaction Rating]],0)</f>
        <v>4</v>
      </c>
    </row>
    <row r="274" spans="1:11" x14ac:dyDescent="0.35">
      <c r="A274" s="21" t="s">
        <v>1257</v>
      </c>
      <c r="B274" s="18" t="s">
        <v>997</v>
      </c>
      <c r="C274" s="18">
        <v>149</v>
      </c>
      <c r="D274" s="19" t="s">
        <v>967</v>
      </c>
      <c r="E274" s="20">
        <v>45010</v>
      </c>
      <c r="F274" s="18">
        <v>60</v>
      </c>
      <c r="G274" s="22">
        <v>3.9</v>
      </c>
      <c r="H274">
        <f>IF(MONTH(Call_Center[[#This Row],[Date of Call]])&lt;=6,2023,2024)</f>
        <v>2023</v>
      </c>
      <c r="I274" t="str">
        <f>TEXT(Call_Center[[#This Row],[Date of Call]],"DDDD")</f>
        <v>Saturday</v>
      </c>
      <c r="J274" t="str" cm="1">
        <f t="array" ref="J274">_xlfn.IFS(Call_Center[[#This Row],[Duration]]&lt;=10,"Under 10 mins",Call_Center[[#This Row],[Duration]]&lt;=30,"10 to 30 min",Call_Center[[#This Row],[Duration]]&lt;=60,"30 to 60 min",Call_Center[[#This Row],[Duration]]&lt;=120,"1 to 2 hours",TRUE,"More than 2 hours")</f>
        <v>More than 2 hours</v>
      </c>
      <c r="K274">
        <f>ROUND(Call_Center[[#This Row],[Satisfaction Rating]],0)</f>
        <v>4</v>
      </c>
    </row>
    <row r="275" spans="1:11" x14ac:dyDescent="0.35">
      <c r="A275" s="21" t="s">
        <v>1258</v>
      </c>
      <c r="B275" s="18" t="s">
        <v>1008</v>
      </c>
      <c r="C275" s="18">
        <v>57</v>
      </c>
      <c r="D275" s="19" t="s">
        <v>986</v>
      </c>
      <c r="E275" s="20">
        <v>45010</v>
      </c>
      <c r="F275" s="18">
        <v>35</v>
      </c>
      <c r="G275" s="22">
        <v>3.5</v>
      </c>
      <c r="H275">
        <f>IF(MONTH(Call_Center[[#This Row],[Date of Call]])&lt;=6,2023,2024)</f>
        <v>2023</v>
      </c>
      <c r="I275" t="str">
        <f>TEXT(Call_Center[[#This Row],[Date of Call]],"DDDD")</f>
        <v>Saturday</v>
      </c>
      <c r="J275" t="str" cm="1">
        <f t="array" ref="J275">_xlfn.IFS(Call_Center[[#This Row],[Duration]]&lt;=10,"Under 10 mins",Call_Center[[#This Row],[Duration]]&lt;=30,"10 to 30 min",Call_Center[[#This Row],[Duration]]&lt;=60,"30 to 60 min",Call_Center[[#This Row],[Duration]]&lt;=120,"1 to 2 hours",TRUE,"More than 2 hours")</f>
        <v>30 to 60 min</v>
      </c>
      <c r="K275">
        <f>ROUND(Call_Center[[#This Row],[Satisfaction Rating]],0)</f>
        <v>4</v>
      </c>
    </row>
    <row r="276" spans="1:11" x14ac:dyDescent="0.35">
      <c r="A276" s="21" t="s">
        <v>1259</v>
      </c>
      <c r="B276" s="18" t="s">
        <v>969</v>
      </c>
      <c r="C276" s="18">
        <v>113</v>
      </c>
      <c r="D276" s="19" t="s">
        <v>972</v>
      </c>
      <c r="E276" s="20">
        <v>45010</v>
      </c>
      <c r="F276" s="18">
        <v>81</v>
      </c>
      <c r="G276" s="22">
        <v>3.5</v>
      </c>
      <c r="H276">
        <f>IF(MONTH(Call_Center[[#This Row],[Date of Call]])&lt;=6,2023,2024)</f>
        <v>2023</v>
      </c>
      <c r="I276" t="str">
        <f>TEXT(Call_Center[[#This Row],[Date of Call]],"DDDD")</f>
        <v>Saturday</v>
      </c>
      <c r="J276" t="str" cm="1">
        <f t="array" ref="J276">_xlfn.IFS(Call_Center[[#This Row],[Duration]]&lt;=10,"Under 10 mins",Call_Center[[#This Row],[Duration]]&lt;=30,"10 to 30 min",Call_Center[[#This Row],[Duration]]&lt;=60,"30 to 60 min",Call_Center[[#This Row],[Duration]]&lt;=120,"1 to 2 hours",TRUE,"More than 2 hours")</f>
        <v>1 to 2 hours</v>
      </c>
      <c r="K276">
        <f>ROUND(Call_Center[[#This Row],[Satisfaction Rating]],0)</f>
        <v>4</v>
      </c>
    </row>
    <row r="277" spans="1:11" x14ac:dyDescent="0.35">
      <c r="A277" s="21" t="s">
        <v>1260</v>
      </c>
      <c r="B277" s="18" t="s">
        <v>966</v>
      </c>
      <c r="C277" s="18">
        <v>160</v>
      </c>
      <c r="D277" s="19" t="s">
        <v>967</v>
      </c>
      <c r="E277" s="20">
        <v>45010</v>
      </c>
      <c r="F277" s="18">
        <v>116</v>
      </c>
      <c r="G277" s="22">
        <v>3.4</v>
      </c>
      <c r="H277">
        <f>IF(MONTH(Call_Center[[#This Row],[Date of Call]])&lt;=6,2023,2024)</f>
        <v>2023</v>
      </c>
      <c r="I277" t="str">
        <f>TEXT(Call_Center[[#This Row],[Date of Call]],"DDDD")</f>
        <v>Saturday</v>
      </c>
      <c r="J277" t="str" cm="1">
        <f t="array" ref="J277">_xlfn.IFS(Call_Center[[#This Row],[Duration]]&lt;=10,"Under 10 mins",Call_Center[[#This Row],[Duration]]&lt;=30,"10 to 30 min",Call_Center[[#This Row],[Duration]]&lt;=60,"30 to 60 min",Call_Center[[#This Row],[Duration]]&lt;=120,"1 to 2 hours",TRUE,"More than 2 hours")</f>
        <v>More than 2 hours</v>
      </c>
      <c r="K277">
        <f>ROUND(Call_Center[[#This Row],[Satisfaction Rating]],0)</f>
        <v>3</v>
      </c>
    </row>
    <row r="278" spans="1:11" x14ac:dyDescent="0.35">
      <c r="A278" s="21" t="s">
        <v>1261</v>
      </c>
      <c r="B278" s="18" t="s">
        <v>976</v>
      </c>
      <c r="C278" s="18">
        <v>158</v>
      </c>
      <c r="D278" s="19" t="s">
        <v>977</v>
      </c>
      <c r="E278" s="20">
        <v>45010</v>
      </c>
      <c r="F278" s="18">
        <v>60</v>
      </c>
      <c r="G278" s="22">
        <v>4.5</v>
      </c>
      <c r="H278">
        <f>IF(MONTH(Call_Center[[#This Row],[Date of Call]])&lt;=6,2023,2024)</f>
        <v>2023</v>
      </c>
      <c r="I278" t="str">
        <f>TEXT(Call_Center[[#This Row],[Date of Call]],"DDDD")</f>
        <v>Saturday</v>
      </c>
      <c r="J278" t="str" cm="1">
        <f t="array" ref="J278">_xlfn.IFS(Call_Center[[#This Row],[Duration]]&lt;=10,"Under 10 mins",Call_Center[[#This Row],[Duration]]&lt;=30,"10 to 30 min",Call_Center[[#This Row],[Duration]]&lt;=60,"30 to 60 min",Call_Center[[#This Row],[Duration]]&lt;=120,"1 to 2 hours",TRUE,"More than 2 hours")</f>
        <v>More than 2 hours</v>
      </c>
      <c r="K278">
        <f>ROUND(Call_Center[[#This Row],[Satisfaction Rating]],0)</f>
        <v>5</v>
      </c>
    </row>
    <row r="279" spans="1:11" x14ac:dyDescent="0.35">
      <c r="A279" s="21" t="s">
        <v>1262</v>
      </c>
      <c r="B279" s="18" t="s">
        <v>1000</v>
      </c>
      <c r="C279" s="18">
        <v>77</v>
      </c>
      <c r="D279" s="19" t="s">
        <v>967</v>
      </c>
      <c r="E279" s="20">
        <v>45011</v>
      </c>
      <c r="F279" s="18">
        <v>130</v>
      </c>
      <c r="G279" s="22">
        <v>4.2</v>
      </c>
      <c r="H279">
        <f>IF(MONTH(Call_Center[[#This Row],[Date of Call]])&lt;=6,2023,2024)</f>
        <v>2023</v>
      </c>
      <c r="I279" t="str">
        <f>TEXT(Call_Center[[#This Row],[Date of Call]],"DDDD")</f>
        <v>Sunday</v>
      </c>
      <c r="J279" t="str" cm="1">
        <f t="array" ref="J279">_xlfn.IFS(Call_Center[[#This Row],[Duration]]&lt;=10,"Under 10 mins",Call_Center[[#This Row],[Duration]]&lt;=30,"10 to 30 min",Call_Center[[#This Row],[Duration]]&lt;=60,"30 to 60 min",Call_Center[[#This Row],[Duration]]&lt;=120,"1 to 2 hours",TRUE,"More than 2 hours")</f>
        <v>1 to 2 hours</v>
      </c>
      <c r="K279">
        <f>ROUND(Call_Center[[#This Row],[Satisfaction Rating]],0)</f>
        <v>4</v>
      </c>
    </row>
    <row r="280" spans="1:11" x14ac:dyDescent="0.35">
      <c r="A280" s="21" t="s">
        <v>1263</v>
      </c>
      <c r="B280" s="18" t="s">
        <v>989</v>
      </c>
      <c r="C280" s="18">
        <v>118</v>
      </c>
      <c r="D280" s="19" t="s">
        <v>982</v>
      </c>
      <c r="E280" s="20">
        <v>45011</v>
      </c>
      <c r="F280" s="18">
        <v>99</v>
      </c>
      <c r="G280" s="22">
        <v>5</v>
      </c>
      <c r="H280">
        <f>IF(MONTH(Call_Center[[#This Row],[Date of Call]])&lt;=6,2023,2024)</f>
        <v>2023</v>
      </c>
      <c r="I280" t="str">
        <f>TEXT(Call_Center[[#This Row],[Date of Call]],"DDDD")</f>
        <v>Sunday</v>
      </c>
      <c r="J280" t="str" cm="1">
        <f t="array" ref="J280">_xlfn.IFS(Call_Center[[#This Row],[Duration]]&lt;=10,"Under 10 mins",Call_Center[[#This Row],[Duration]]&lt;=30,"10 to 30 min",Call_Center[[#This Row],[Duration]]&lt;=60,"30 to 60 min",Call_Center[[#This Row],[Duration]]&lt;=120,"1 to 2 hours",TRUE,"More than 2 hours")</f>
        <v>1 to 2 hours</v>
      </c>
      <c r="K280">
        <f>ROUND(Call_Center[[#This Row],[Satisfaction Rating]],0)</f>
        <v>5</v>
      </c>
    </row>
    <row r="281" spans="1:11" x14ac:dyDescent="0.35">
      <c r="A281" s="21" t="s">
        <v>1264</v>
      </c>
      <c r="B281" s="18" t="s">
        <v>1005</v>
      </c>
      <c r="C281" s="18">
        <v>75</v>
      </c>
      <c r="D281" s="19" t="s">
        <v>972</v>
      </c>
      <c r="E281" s="20">
        <v>45011</v>
      </c>
      <c r="F281" s="18">
        <v>135</v>
      </c>
      <c r="G281" s="22">
        <v>4.7</v>
      </c>
      <c r="H281">
        <f>IF(MONTH(Call_Center[[#This Row],[Date of Call]])&lt;=6,2023,2024)</f>
        <v>2023</v>
      </c>
      <c r="I281" t="str">
        <f>TEXT(Call_Center[[#This Row],[Date of Call]],"DDDD")</f>
        <v>Sunday</v>
      </c>
      <c r="J281" t="str" cm="1">
        <f t="array" ref="J281">_xlfn.IFS(Call_Center[[#This Row],[Duration]]&lt;=10,"Under 10 mins",Call_Center[[#This Row],[Duration]]&lt;=30,"10 to 30 min",Call_Center[[#This Row],[Duration]]&lt;=60,"30 to 60 min",Call_Center[[#This Row],[Duration]]&lt;=120,"1 to 2 hours",TRUE,"More than 2 hours")</f>
        <v>1 to 2 hours</v>
      </c>
      <c r="K281">
        <f>ROUND(Call_Center[[#This Row],[Satisfaction Rating]],0)</f>
        <v>5</v>
      </c>
    </row>
    <row r="282" spans="1:11" x14ac:dyDescent="0.35">
      <c r="A282" s="21" t="s">
        <v>1265</v>
      </c>
      <c r="B282" s="18" t="s">
        <v>969</v>
      </c>
      <c r="C282" s="18">
        <v>103</v>
      </c>
      <c r="D282" s="19" t="s">
        <v>967</v>
      </c>
      <c r="E282" s="20">
        <v>45011</v>
      </c>
      <c r="F282" s="18">
        <v>42</v>
      </c>
      <c r="G282" s="22">
        <v>2.8</v>
      </c>
      <c r="H282">
        <f>IF(MONTH(Call_Center[[#This Row],[Date of Call]])&lt;=6,2023,2024)</f>
        <v>2023</v>
      </c>
      <c r="I282" t="str">
        <f>TEXT(Call_Center[[#This Row],[Date of Call]],"DDDD")</f>
        <v>Sunday</v>
      </c>
      <c r="J282" t="str" cm="1">
        <f t="array" ref="J282">_xlfn.IFS(Call_Center[[#This Row],[Duration]]&lt;=10,"Under 10 mins",Call_Center[[#This Row],[Duration]]&lt;=30,"10 to 30 min",Call_Center[[#This Row],[Duration]]&lt;=60,"30 to 60 min",Call_Center[[#This Row],[Duration]]&lt;=120,"1 to 2 hours",TRUE,"More than 2 hours")</f>
        <v>1 to 2 hours</v>
      </c>
      <c r="K282">
        <f>ROUND(Call_Center[[#This Row],[Satisfaction Rating]],0)</f>
        <v>3</v>
      </c>
    </row>
    <row r="283" spans="1:11" x14ac:dyDescent="0.35">
      <c r="A283" s="21" t="s">
        <v>1266</v>
      </c>
      <c r="B283" s="18" t="s">
        <v>1000</v>
      </c>
      <c r="C283" s="18">
        <v>116</v>
      </c>
      <c r="D283" s="19" t="s">
        <v>982</v>
      </c>
      <c r="E283" s="20">
        <v>45012</v>
      </c>
      <c r="F283" s="18">
        <v>63</v>
      </c>
      <c r="G283" s="22">
        <v>3.4</v>
      </c>
      <c r="H283">
        <f>IF(MONTH(Call_Center[[#This Row],[Date of Call]])&lt;=6,2023,2024)</f>
        <v>2023</v>
      </c>
      <c r="I283" t="str">
        <f>TEXT(Call_Center[[#This Row],[Date of Call]],"DDDD")</f>
        <v>Monday</v>
      </c>
      <c r="J283" t="str" cm="1">
        <f t="array" ref="J283">_xlfn.IFS(Call_Center[[#This Row],[Duration]]&lt;=10,"Under 10 mins",Call_Center[[#This Row],[Duration]]&lt;=30,"10 to 30 min",Call_Center[[#This Row],[Duration]]&lt;=60,"30 to 60 min",Call_Center[[#This Row],[Duration]]&lt;=120,"1 to 2 hours",TRUE,"More than 2 hours")</f>
        <v>1 to 2 hours</v>
      </c>
      <c r="K283">
        <f>ROUND(Call_Center[[#This Row],[Satisfaction Rating]],0)</f>
        <v>3</v>
      </c>
    </row>
    <row r="284" spans="1:11" x14ac:dyDescent="0.35">
      <c r="A284" s="21" t="s">
        <v>1267</v>
      </c>
      <c r="B284" s="18" t="s">
        <v>980</v>
      </c>
      <c r="C284" s="18">
        <v>61</v>
      </c>
      <c r="D284" s="19" t="s">
        <v>977</v>
      </c>
      <c r="E284" s="20">
        <v>45012</v>
      </c>
      <c r="F284" s="18">
        <v>140</v>
      </c>
      <c r="G284" s="22">
        <v>1.8</v>
      </c>
      <c r="H284">
        <f>IF(MONTH(Call_Center[[#This Row],[Date of Call]])&lt;=6,2023,2024)</f>
        <v>2023</v>
      </c>
      <c r="I284" t="str">
        <f>TEXT(Call_Center[[#This Row],[Date of Call]],"DDDD")</f>
        <v>Monday</v>
      </c>
      <c r="J284" t="str" cm="1">
        <f t="array" ref="J284">_xlfn.IFS(Call_Center[[#This Row],[Duration]]&lt;=10,"Under 10 mins",Call_Center[[#This Row],[Duration]]&lt;=30,"10 to 30 min",Call_Center[[#This Row],[Duration]]&lt;=60,"30 to 60 min",Call_Center[[#This Row],[Duration]]&lt;=120,"1 to 2 hours",TRUE,"More than 2 hours")</f>
        <v>1 to 2 hours</v>
      </c>
      <c r="K284">
        <f>ROUND(Call_Center[[#This Row],[Satisfaction Rating]],0)</f>
        <v>2</v>
      </c>
    </row>
    <row r="285" spans="1:11" x14ac:dyDescent="0.35">
      <c r="A285" s="21" t="s">
        <v>1268</v>
      </c>
      <c r="B285" s="18" t="s">
        <v>1008</v>
      </c>
      <c r="C285" s="18">
        <v>126</v>
      </c>
      <c r="D285" s="19" t="s">
        <v>972</v>
      </c>
      <c r="E285" s="20">
        <v>45012</v>
      </c>
      <c r="F285" s="18">
        <v>128</v>
      </c>
      <c r="G285" s="22">
        <v>4.2</v>
      </c>
      <c r="H285">
        <f>IF(MONTH(Call_Center[[#This Row],[Date of Call]])&lt;=6,2023,2024)</f>
        <v>2023</v>
      </c>
      <c r="I285" t="str">
        <f>TEXT(Call_Center[[#This Row],[Date of Call]],"DDDD")</f>
        <v>Monday</v>
      </c>
      <c r="J285" t="str" cm="1">
        <f t="array" ref="J285">_xlfn.IFS(Call_Center[[#This Row],[Duration]]&lt;=10,"Under 10 mins",Call_Center[[#This Row],[Duration]]&lt;=30,"10 to 30 min",Call_Center[[#This Row],[Duration]]&lt;=60,"30 to 60 min",Call_Center[[#This Row],[Duration]]&lt;=120,"1 to 2 hours",TRUE,"More than 2 hours")</f>
        <v>More than 2 hours</v>
      </c>
      <c r="K285">
        <f>ROUND(Call_Center[[#This Row],[Satisfaction Rating]],0)</f>
        <v>4</v>
      </c>
    </row>
    <row r="286" spans="1:11" x14ac:dyDescent="0.35">
      <c r="A286" s="21" t="s">
        <v>1269</v>
      </c>
      <c r="B286" s="18" t="s">
        <v>991</v>
      </c>
      <c r="C286" s="18">
        <v>141</v>
      </c>
      <c r="D286" s="19" t="s">
        <v>986</v>
      </c>
      <c r="E286" s="20">
        <v>45012</v>
      </c>
      <c r="F286" s="18">
        <v>80</v>
      </c>
      <c r="G286" s="22">
        <v>4.4000000000000004</v>
      </c>
      <c r="H286">
        <f>IF(MONTH(Call_Center[[#This Row],[Date of Call]])&lt;=6,2023,2024)</f>
        <v>2023</v>
      </c>
      <c r="I286" t="str">
        <f>TEXT(Call_Center[[#This Row],[Date of Call]],"DDDD")</f>
        <v>Monday</v>
      </c>
      <c r="J286" t="str" cm="1">
        <f t="array" ref="J286">_xlfn.IFS(Call_Center[[#This Row],[Duration]]&lt;=10,"Under 10 mins",Call_Center[[#This Row],[Duration]]&lt;=30,"10 to 30 min",Call_Center[[#This Row],[Duration]]&lt;=60,"30 to 60 min",Call_Center[[#This Row],[Duration]]&lt;=120,"1 to 2 hours",TRUE,"More than 2 hours")</f>
        <v>More than 2 hours</v>
      </c>
      <c r="K286">
        <f>ROUND(Call_Center[[#This Row],[Satisfaction Rating]],0)</f>
        <v>4</v>
      </c>
    </row>
    <row r="287" spans="1:11" x14ac:dyDescent="0.35">
      <c r="A287" s="21" t="s">
        <v>1270</v>
      </c>
      <c r="B287" s="18" t="s">
        <v>976</v>
      </c>
      <c r="C287" s="18">
        <v>95</v>
      </c>
      <c r="D287" s="19" t="s">
        <v>982</v>
      </c>
      <c r="E287" s="20">
        <v>45012</v>
      </c>
      <c r="F287" s="18">
        <v>28</v>
      </c>
      <c r="G287" s="22">
        <v>2.7</v>
      </c>
      <c r="H287">
        <f>IF(MONTH(Call_Center[[#This Row],[Date of Call]])&lt;=6,2023,2024)</f>
        <v>2023</v>
      </c>
      <c r="I287" t="str">
        <f>TEXT(Call_Center[[#This Row],[Date of Call]],"DDDD")</f>
        <v>Monday</v>
      </c>
      <c r="J287" t="str" cm="1">
        <f t="array" ref="J287">_xlfn.IFS(Call_Center[[#This Row],[Duration]]&lt;=10,"Under 10 mins",Call_Center[[#This Row],[Duration]]&lt;=30,"10 to 30 min",Call_Center[[#This Row],[Duration]]&lt;=60,"30 to 60 min",Call_Center[[#This Row],[Duration]]&lt;=120,"1 to 2 hours",TRUE,"More than 2 hours")</f>
        <v>1 to 2 hours</v>
      </c>
      <c r="K287">
        <f>ROUND(Call_Center[[#This Row],[Satisfaction Rating]],0)</f>
        <v>3</v>
      </c>
    </row>
    <row r="288" spans="1:11" x14ac:dyDescent="0.35">
      <c r="A288" s="21" t="s">
        <v>1271</v>
      </c>
      <c r="B288" s="18" t="s">
        <v>1005</v>
      </c>
      <c r="C288" s="18">
        <v>39</v>
      </c>
      <c r="D288" s="19" t="s">
        <v>977</v>
      </c>
      <c r="E288" s="20">
        <v>45013</v>
      </c>
      <c r="F288" s="18">
        <v>81</v>
      </c>
      <c r="G288" s="22">
        <v>5</v>
      </c>
      <c r="H288">
        <f>IF(MONTH(Call_Center[[#This Row],[Date of Call]])&lt;=6,2023,2024)</f>
        <v>2023</v>
      </c>
      <c r="I288" t="str">
        <f>TEXT(Call_Center[[#This Row],[Date of Call]],"DDDD")</f>
        <v>Tuesday</v>
      </c>
      <c r="J288" t="str" cm="1">
        <f t="array" ref="J288">_xlfn.IFS(Call_Center[[#This Row],[Duration]]&lt;=10,"Under 10 mins",Call_Center[[#This Row],[Duration]]&lt;=30,"10 to 30 min",Call_Center[[#This Row],[Duration]]&lt;=60,"30 to 60 min",Call_Center[[#This Row],[Duration]]&lt;=120,"1 to 2 hours",TRUE,"More than 2 hours")</f>
        <v>30 to 60 min</v>
      </c>
      <c r="K288">
        <f>ROUND(Call_Center[[#This Row],[Satisfaction Rating]],0)</f>
        <v>5</v>
      </c>
    </row>
    <row r="289" spans="1:11" x14ac:dyDescent="0.35">
      <c r="A289" s="21" t="s">
        <v>1272</v>
      </c>
      <c r="B289" s="18" t="s">
        <v>969</v>
      </c>
      <c r="C289" s="18">
        <v>127</v>
      </c>
      <c r="D289" s="19" t="s">
        <v>972</v>
      </c>
      <c r="E289" s="20">
        <v>45013</v>
      </c>
      <c r="F289" s="18">
        <v>99</v>
      </c>
      <c r="G289" s="22">
        <v>3.9</v>
      </c>
      <c r="H289">
        <f>IF(MONTH(Call_Center[[#This Row],[Date of Call]])&lt;=6,2023,2024)</f>
        <v>2023</v>
      </c>
      <c r="I289" t="str">
        <f>TEXT(Call_Center[[#This Row],[Date of Call]],"DDDD")</f>
        <v>Tuesday</v>
      </c>
      <c r="J289" t="str" cm="1">
        <f t="array" ref="J289">_xlfn.IFS(Call_Center[[#This Row],[Duration]]&lt;=10,"Under 10 mins",Call_Center[[#This Row],[Duration]]&lt;=30,"10 to 30 min",Call_Center[[#This Row],[Duration]]&lt;=60,"30 to 60 min",Call_Center[[#This Row],[Duration]]&lt;=120,"1 to 2 hours",TRUE,"More than 2 hours")</f>
        <v>More than 2 hours</v>
      </c>
      <c r="K289">
        <f>ROUND(Call_Center[[#This Row],[Satisfaction Rating]],0)</f>
        <v>4</v>
      </c>
    </row>
    <row r="290" spans="1:11" x14ac:dyDescent="0.35">
      <c r="A290" s="21" t="s">
        <v>1273</v>
      </c>
      <c r="B290" s="18" t="s">
        <v>980</v>
      </c>
      <c r="C290" s="18">
        <v>78</v>
      </c>
      <c r="D290" s="19" t="s">
        <v>972</v>
      </c>
      <c r="E290" s="20">
        <v>45013</v>
      </c>
      <c r="F290" s="18">
        <v>43</v>
      </c>
      <c r="G290" s="22">
        <v>3.8</v>
      </c>
      <c r="H290">
        <f>IF(MONTH(Call_Center[[#This Row],[Date of Call]])&lt;=6,2023,2024)</f>
        <v>2023</v>
      </c>
      <c r="I290" t="str">
        <f>TEXT(Call_Center[[#This Row],[Date of Call]],"DDDD")</f>
        <v>Tuesday</v>
      </c>
      <c r="J290" t="str" cm="1">
        <f t="array" ref="J290">_xlfn.IFS(Call_Center[[#This Row],[Duration]]&lt;=10,"Under 10 mins",Call_Center[[#This Row],[Duration]]&lt;=30,"10 to 30 min",Call_Center[[#This Row],[Duration]]&lt;=60,"30 to 60 min",Call_Center[[#This Row],[Duration]]&lt;=120,"1 to 2 hours",TRUE,"More than 2 hours")</f>
        <v>1 to 2 hours</v>
      </c>
      <c r="K290">
        <f>ROUND(Call_Center[[#This Row],[Satisfaction Rating]],0)</f>
        <v>4</v>
      </c>
    </row>
    <row r="291" spans="1:11" x14ac:dyDescent="0.35">
      <c r="A291" s="21" t="s">
        <v>1274</v>
      </c>
      <c r="B291" s="18" t="s">
        <v>989</v>
      </c>
      <c r="C291" s="18">
        <v>40</v>
      </c>
      <c r="D291" s="19" t="s">
        <v>972</v>
      </c>
      <c r="E291" s="20">
        <v>45013</v>
      </c>
      <c r="F291" s="18">
        <v>34</v>
      </c>
      <c r="G291" s="22">
        <v>4.5999999999999996</v>
      </c>
      <c r="H291">
        <f>IF(MONTH(Call_Center[[#This Row],[Date of Call]])&lt;=6,2023,2024)</f>
        <v>2023</v>
      </c>
      <c r="I291" t="str">
        <f>TEXT(Call_Center[[#This Row],[Date of Call]],"DDDD")</f>
        <v>Tuesday</v>
      </c>
      <c r="J291" t="str" cm="1">
        <f t="array" ref="J291">_xlfn.IFS(Call_Center[[#This Row],[Duration]]&lt;=10,"Under 10 mins",Call_Center[[#This Row],[Duration]]&lt;=30,"10 to 30 min",Call_Center[[#This Row],[Duration]]&lt;=60,"30 to 60 min",Call_Center[[#This Row],[Duration]]&lt;=120,"1 to 2 hours",TRUE,"More than 2 hours")</f>
        <v>30 to 60 min</v>
      </c>
      <c r="K291">
        <f>ROUND(Call_Center[[#This Row],[Satisfaction Rating]],0)</f>
        <v>5</v>
      </c>
    </row>
    <row r="292" spans="1:11" x14ac:dyDescent="0.35">
      <c r="A292" s="21" t="s">
        <v>1275</v>
      </c>
      <c r="B292" s="18" t="s">
        <v>980</v>
      </c>
      <c r="C292" s="18">
        <v>56</v>
      </c>
      <c r="D292" s="19" t="s">
        <v>977</v>
      </c>
      <c r="E292" s="20">
        <v>45013</v>
      </c>
      <c r="F292" s="18">
        <v>225</v>
      </c>
      <c r="G292" s="22">
        <v>4.5999999999999996</v>
      </c>
      <c r="H292">
        <f>IF(MONTH(Call_Center[[#This Row],[Date of Call]])&lt;=6,2023,2024)</f>
        <v>2023</v>
      </c>
      <c r="I292" t="str">
        <f>TEXT(Call_Center[[#This Row],[Date of Call]],"DDDD")</f>
        <v>Tuesday</v>
      </c>
      <c r="J292" t="str" cm="1">
        <f t="array" ref="J292">_xlfn.IFS(Call_Center[[#This Row],[Duration]]&lt;=10,"Under 10 mins",Call_Center[[#This Row],[Duration]]&lt;=30,"10 to 30 min",Call_Center[[#This Row],[Duration]]&lt;=60,"30 to 60 min",Call_Center[[#This Row],[Duration]]&lt;=120,"1 to 2 hours",TRUE,"More than 2 hours")</f>
        <v>30 to 60 min</v>
      </c>
      <c r="K292">
        <f>ROUND(Call_Center[[#This Row],[Satisfaction Rating]],0)</f>
        <v>5</v>
      </c>
    </row>
    <row r="293" spans="1:11" x14ac:dyDescent="0.35">
      <c r="A293" s="21" t="s">
        <v>1276</v>
      </c>
      <c r="B293" s="18" t="s">
        <v>1005</v>
      </c>
      <c r="C293" s="18">
        <v>59</v>
      </c>
      <c r="D293" s="19" t="s">
        <v>986</v>
      </c>
      <c r="E293" s="20">
        <v>45013</v>
      </c>
      <c r="F293" s="18">
        <v>210</v>
      </c>
      <c r="G293" s="22">
        <v>4.5</v>
      </c>
      <c r="H293">
        <f>IF(MONTH(Call_Center[[#This Row],[Date of Call]])&lt;=6,2023,2024)</f>
        <v>2023</v>
      </c>
      <c r="I293" t="str">
        <f>TEXT(Call_Center[[#This Row],[Date of Call]],"DDDD")</f>
        <v>Tuesday</v>
      </c>
      <c r="J293" t="str" cm="1">
        <f t="array" ref="J293">_xlfn.IFS(Call_Center[[#This Row],[Duration]]&lt;=10,"Under 10 mins",Call_Center[[#This Row],[Duration]]&lt;=30,"10 to 30 min",Call_Center[[#This Row],[Duration]]&lt;=60,"30 to 60 min",Call_Center[[#This Row],[Duration]]&lt;=120,"1 to 2 hours",TRUE,"More than 2 hours")</f>
        <v>30 to 60 min</v>
      </c>
      <c r="K293">
        <f>ROUND(Call_Center[[#This Row],[Satisfaction Rating]],0)</f>
        <v>5</v>
      </c>
    </row>
    <row r="294" spans="1:11" x14ac:dyDescent="0.35">
      <c r="A294" s="21" t="s">
        <v>1277</v>
      </c>
      <c r="B294" s="18" t="s">
        <v>1008</v>
      </c>
      <c r="C294" s="18">
        <v>30</v>
      </c>
      <c r="D294" s="19" t="s">
        <v>972</v>
      </c>
      <c r="E294" s="20">
        <v>45013</v>
      </c>
      <c r="F294" s="18">
        <v>168</v>
      </c>
      <c r="G294" s="22">
        <v>4.2</v>
      </c>
      <c r="H294">
        <f>IF(MONTH(Call_Center[[#This Row],[Date of Call]])&lt;=6,2023,2024)</f>
        <v>2023</v>
      </c>
      <c r="I294" t="str">
        <f>TEXT(Call_Center[[#This Row],[Date of Call]],"DDDD")</f>
        <v>Tuesday</v>
      </c>
      <c r="J294" t="str" cm="1">
        <f t="array" ref="J294">_xlfn.IFS(Call_Center[[#This Row],[Duration]]&lt;=10,"Under 10 mins",Call_Center[[#This Row],[Duration]]&lt;=30,"10 to 30 min",Call_Center[[#This Row],[Duration]]&lt;=60,"30 to 60 min",Call_Center[[#This Row],[Duration]]&lt;=120,"1 to 2 hours",TRUE,"More than 2 hours")</f>
        <v>10 to 30 min</v>
      </c>
      <c r="K294">
        <f>ROUND(Call_Center[[#This Row],[Satisfaction Rating]],0)</f>
        <v>4</v>
      </c>
    </row>
    <row r="295" spans="1:11" x14ac:dyDescent="0.35">
      <c r="A295" s="21" t="s">
        <v>1278</v>
      </c>
      <c r="B295" s="18" t="s">
        <v>989</v>
      </c>
      <c r="C295" s="18">
        <v>63</v>
      </c>
      <c r="D295" s="19" t="s">
        <v>967</v>
      </c>
      <c r="E295" s="20">
        <v>45014</v>
      </c>
      <c r="F295" s="18">
        <v>82</v>
      </c>
      <c r="G295" s="22">
        <v>4.5</v>
      </c>
      <c r="H295">
        <f>IF(MONTH(Call_Center[[#This Row],[Date of Call]])&lt;=6,2023,2024)</f>
        <v>2023</v>
      </c>
      <c r="I295" t="str">
        <f>TEXT(Call_Center[[#This Row],[Date of Call]],"DDDD")</f>
        <v>Wednesday</v>
      </c>
      <c r="J295" t="str" cm="1">
        <f t="array" ref="J295">_xlfn.IFS(Call_Center[[#This Row],[Duration]]&lt;=10,"Under 10 mins",Call_Center[[#This Row],[Duration]]&lt;=30,"10 to 30 min",Call_Center[[#This Row],[Duration]]&lt;=60,"30 to 60 min",Call_Center[[#This Row],[Duration]]&lt;=120,"1 to 2 hours",TRUE,"More than 2 hours")</f>
        <v>1 to 2 hours</v>
      </c>
      <c r="K295">
        <f>ROUND(Call_Center[[#This Row],[Satisfaction Rating]],0)</f>
        <v>5</v>
      </c>
    </row>
    <row r="296" spans="1:11" x14ac:dyDescent="0.35">
      <c r="A296" s="21" t="s">
        <v>1279</v>
      </c>
      <c r="B296" s="18" t="s">
        <v>971</v>
      </c>
      <c r="C296" s="18">
        <v>56</v>
      </c>
      <c r="D296" s="19" t="s">
        <v>982</v>
      </c>
      <c r="E296" s="20">
        <v>45014</v>
      </c>
      <c r="F296" s="18">
        <v>88</v>
      </c>
      <c r="G296" s="22">
        <v>4.0999999999999996</v>
      </c>
      <c r="H296">
        <f>IF(MONTH(Call_Center[[#This Row],[Date of Call]])&lt;=6,2023,2024)</f>
        <v>2023</v>
      </c>
      <c r="I296" t="str">
        <f>TEXT(Call_Center[[#This Row],[Date of Call]],"DDDD")</f>
        <v>Wednesday</v>
      </c>
      <c r="J296" t="str" cm="1">
        <f t="array" ref="J296">_xlfn.IFS(Call_Center[[#This Row],[Duration]]&lt;=10,"Under 10 mins",Call_Center[[#This Row],[Duration]]&lt;=30,"10 to 30 min",Call_Center[[#This Row],[Duration]]&lt;=60,"30 to 60 min",Call_Center[[#This Row],[Duration]]&lt;=120,"1 to 2 hours",TRUE,"More than 2 hours")</f>
        <v>30 to 60 min</v>
      </c>
      <c r="K296">
        <f>ROUND(Call_Center[[#This Row],[Satisfaction Rating]],0)</f>
        <v>4</v>
      </c>
    </row>
    <row r="297" spans="1:11" x14ac:dyDescent="0.35">
      <c r="A297" s="21" t="s">
        <v>1280</v>
      </c>
      <c r="B297" s="18" t="s">
        <v>1038</v>
      </c>
      <c r="C297" s="18">
        <v>95</v>
      </c>
      <c r="D297" s="19" t="s">
        <v>967</v>
      </c>
      <c r="E297" s="20">
        <v>45014</v>
      </c>
      <c r="F297" s="18">
        <v>111</v>
      </c>
      <c r="G297" s="22">
        <v>3.3</v>
      </c>
      <c r="H297">
        <f>IF(MONTH(Call_Center[[#This Row],[Date of Call]])&lt;=6,2023,2024)</f>
        <v>2023</v>
      </c>
      <c r="I297" t="str">
        <f>TEXT(Call_Center[[#This Row],[Date of Call]],"DDDD")</f>
        <v>Wednesday</v>
      </c>
      <c r="J297" t="str" cm="1">
        <f t="array" ref="J297">_xlfn.IFS(Call_Center[[#This Row],[Duration]]&lt;=10,"Under 10 mins",Call_Center[[#This Row],[Duration]]&lt;=30,"10 to 30 min",Call_Center[[#This Row],[Duration]]&lt;=60,"30 to 60 min",Call_Center[[#This Row],[Duration]]&lt;=120,"1 to 2 hours",TRUE,"More than 2 hours")</f>
        <v>1 to 2 hours</v>
      </c>
      <c r="K297">
        <f>ROUND(Call_Center[[#This Row],[Satisfaction Rating]],0)</f>
        <v>3</v>
      </c>
    </row>
    <row r="298" spans="1:11" x14ac:dyDescent="0.35">
      <c r="A298" s="21" t="s">
        <v>1281</v>
      </c>
      <c r="B298" s="18" t="s">
        <v>1018</v>
      </c>
      <c r="C298" s="18">
        <v>128</v>
      </c>
      <c r="D298" s="19" t="s">
        <v>986</v>
      </c>
      <c r="E298" s="20">
        <v>45014</v>
      </c>
      <c r="F298" s="18">
        <v>60</v>
      </c>
      <c r="G298" s="22">
        <v>3.8</v>
      </c>
      <c r="H298">
        <f>IF(MONTH(Call_Center[[#This Row],[Date of Call]])&lt;=6,2023,2024)</f>
        <v>2023</v>
      </c>
      <c r="I298" t="str">
        <f>TEXT(Call_Center[[#This Row],[Date of Call]],"DDDD")</f>
        <v>Wednesday</v>
      </c>
      <c r="J298" t="str" cm="1">
        <f t="array" ref="J298">_xlfn.IFS(Call_Center[[#This Row],[Duration]]&lt;=10,"Under 10 mins",Call_Center[[#This Row],[Duration]]&lt;=30,"10 to 30 min",Call_Center[[#This Row],[Duration]]&lt;=60,"30 to 60 min",Call_Center[[#This Row],[Duration]]&lt;=120,"1 to 2 hours",TRUE,"More than 2 hours")</f>
        <v>More than 2 hours</v>
      </c>
      <c r="K298">
        <f>ROUND(Call_Center[[#This Row],[Satisfaction Rating]],0)</f>
        <v>4</v>
      </c>
    </row>
    <row r="299" spans="1:11" x14ac:dyDescent="0.35">
      <c r="A299" s="21" t="s">
        <v>1282</v>
      </c>
      <c r="B299" s="18" t="s">
        <v>976</v>
      </c>
      <c r="C299" s="18">
        <v>49</v>
      </c>
      <c r="D299" s="19" t="s">
        <v>967</v>
      </c>
      <c r="E299" s="20">
        <v>45014</v>
      </c>
      <c r="F299" s="18">
        <v>80</v>
      </c>
      <c r="G299" s="22">
        <v>3</v>
      </c>
      <c r="H299">
        <f>IF(MONTH(Call_Center[[#This Row],[Date of Call]])&lt;=6,2023,2024)</f>
        <v>2023</v>
      </c>
      <c r="I299" t="str">
        <f>TEXT(Call_Center[[#This Row],[Date of Call]],"DDDD")</f>
        <v>Wednesday</v>
      </c>
      <c r="J299" t="str" cm="1">
        <f t="array" ref="J299">_xlfn.IFS(Call_Center[[#This Row],[Duration]]&lt;=10,"Under 10 mins",Call_Center[[#This Row],[Duration]]&lt;=30,"10 to 30 min",Call_Center[[#This Row],[Duration]]&lt;=60,"30 to 60 min",Call_Center[[#This Row],[Duration]]&lt;=120,"1 to 2 hours",TRUE,"More than 2 hours")</f>
        <v>30 to 60 min</v>
      </c>
      <c r="K299">
        <f>ROUND(Call_Center[[#This Row],[Satisfaction Rating]],0)</f>
        <v>3</v>
      </c>
    </row>
    <row r="300" spans="1:11" x14ac:dyDescent="0.35">
      <c r="A300" s="21" t="s">
        <v>1283</v>
      </c>
      <c r="B300" s="18" t="s">
        <v>1018</v>
      </c>
      <c r="C300" s="18">
        <v>89</v>
      </c>
      <c r="D300" s="19" t="s">
        <v>977</v>
      </c>
      <c r="E300" s="20">
        <v>45016</v>
      </c>
      <c r="F300" s="18">
        <v>90</v>
      </c>
      <c r="G300" s="22">
        <v>4.5999999999999996</v>
      </c>
      <c r="H300">
        <f>IF(MONTH(Call_Center[[#This Row],[Date of Call]])&lt;=6,2023,2024)</f>
        <v>2023</v>
      </c>
      <c r="I300" t="str">
        <f>TEXT(Call_Center[[#This Row],[Date of Call]],"DDDD")</f>
        <v>Friday</v>
      </c>
      <c r="J300" t="str" cm="1">
        <f t="array" ref="J300">_xlfn.IFS(Call_Center[[#This Row],[Duration]]&lt;=10,"Under 10 mins",Call_Center[[#This Row],[Duration]]&lt;=30,"10 to 30 min",Call_Center[[#This Row],[Duration]]&lt;=60,"30 to 60 min",Call_Center[[#This Row],[Duration]]&lt;=120,"1 to 2 hours",TRUE,"More than 2 hours")</f>
        <v>1 to 2 hours</v>
      </c>
      <c r="K300">
        <f>ROUND(Call_Center[[#This Row],[Satisfaction Rating]],0)</f>
        <v>5</v>
      </c>
    </row>
    <row r="301" spans="1:11" x14ac:dyDescent="0.35">
      <c r="A301" s="21" t="s">
        <v>1284</v>
      </c>
      <c r="B301" s="18" t="s">
        <v>997</v>
      </c>
      <c r="C301" s="18">
        <v>87</v>
      </c>
      <c r="D301" s="19" t="s">
        <v>967</v>
      </c>
      <c r="E301" s="20">
        <v>45016</v>
      </c>
      <c r="F301" s="18">
        <v>225</v>
      </c>
      <c r="G301" s="22">
        <v>2.9</v>
      </c>
      <c r="H301">
        <f>IF(MONTH(Call_Center[[#This Row],[Date of Call]])&lt;=6,2023,2024)</f>
        <v>2023</v>
      </c>
      <c r="I301" t="str">
        <f>TEXT(Call_Center[[#This Row],[Date of Call]],"DDDD")</f>
        <v>Friday</v>
      </c>
      <c r="J301" t="str" cm="1">
        <f t="array" ref="J301">_xlfn.IFS(Call_Center[[#This Row],[Duration]]&lt;=10,"Under 10 mins",Call_Center[[#This Row],[Duration]]&lt;=30,"10 to 30 min",Call_Center[[#This Row],[Duration]]&lt;=60,"30 to 60 min",Call_Center[[#This Row],[Duration]]&lt;=120,"1 to 2 hours",TRUE,"More than 2 hours")</f>
        <v>1 to 2 hours</v>
      </c>
      <c r="K301">
        <f>ROUND(Call_Center[[#This Row],[Satisfaction Rating]],0)</f>
        <v>3</v>
      </c>
    </row>
    <row r="302" spans="1:11" x14ac:dyDescent="0.35">
      <c r="A302" s="21" t="s">
        <v>1285</v>
      </c>
      <c r="B302" s="18" t="s">
        <v>966</v>
      </c>
      <c r="C302" s="18">
        <v>60</v>
      </c>
      <c r="D302" s="19" t="s">
        <v>972</v>
      </c>
      <c r="E302" s="20">
        <v>45017</v>
      </c>
      <c r="F302" s="18">
        <v>215</v>
      </c>
      <c r="G302" s="22">
        <v>3.2</v>
      </c>
      <c r="H302">
        <f>IF(MONTH(Call_Center[[#This Row],[Date of Call]])&lt;=6,2023,2024)</f>
        <v>2023</v>
      </c>
      <c r="I302" t="str">
        <f>TEXT(Call_Center[[#This Row],[Date of Call]],"DDDD")</f>
        <v>Saturday</v>
      </c>
      <c r="J302" t="str" cm="1">
        <f t="array" ref="J302">_xlfn.IFS(Call_Center[[#This Row],[Duration]]&lt;=10,"Under 10 mins",Call_Center[[#This Row],[Duration]]&lt;=30,"10 to 30 min",Call_Center[[#This Row],[Duration]]&lt;=60,"30 to 60 min",Call_Center[[#This Row],[Duration]]&lt;=120,"1 to 2 hours",TRUE,"More than 2 hours")</f>
        <v>30 to 60 min</v>
      </c>
      <c r="K302">
        <f>ROUND(Call_Center[[#This Row],[Satisfaction Rating]],0)</f>
        <v>3</v>
      </c>
    </row>
    <row r="303" spans="1:11" x14ac:dyDescent="0.35">
      <c r="A303" s="21" t="s">
        <v>1286</v>
      </c>
      <c r="B303" s="18" t="s">
        <v>974</v>
      </c>
      <c r="C303" s="18">
        <v>42</v>
      </c>
      <c r="D303" s="19" t="s">
        <v>977</v>
      </c>
      <c r="E303" s="20">
        <v>45017</v>
      </c>
      <c r="F303" s="18">
        <v>45</v>
      </c>
      <c r="G303" s="22">
        <v>1.5</v>
      </c>
      <c r="H303">
        <f>IF(MONTH(Call_Center[[#This Row],[Date of Call]])&lt;=6,2023,2024)</f>
        <v>2023</v>
      </c>
      <c r="I303" t="str">
        <f>TEXT(Call_Center[[#This Row],[Date of Call]],"DDDD")</f>
        <v>Saturday</v>
      </c>
      <c r="J303" t="str" cm="1">
        <f t="array" ref="J303">_xlfn.IFS(Call_Center[[#This Row],[Duration]]&lt;=10,"Under 10 mins",Call_Center[[#This Row],[Duration]]&lt;=30,"10 to 30 min",Call_Center[[#This Row],[Duration]]&lt;=60,"30 to 60 min",Call_Center[[#This Row],[Duration]]&lt;=120,"1 to 2 hours",TRUE,"More than 2 hours")</f>
        <v>30 to 60 min</v>
      </c>
      <c r="K303">
        <f>ROUND(Call_Center[[#This Row],[Satisfaction Rating]],0)</f>
        <v>2</v>
      </c>
    </row>
    <row r="304" spans="1:11" x14ac:dyDescent="0.35">
      <c r="A304" s="21" t="s">
        <v>1287</v>
      </c>
      <c r="B304" s="18" t="s">
        <v>985</v>
      </c>
      <c r="C304" s="18">
        <v>99</v>
      </c>
      <c r="D304" s="19" t="s">
        <v>972</v>
      </c>
      <c r="E304" s="20">
        <v>45017</v>
      </c>
      <c r="F304" s="18">
        <v>74</v>
      </c>
      <c r="G304" s="22">
        <v>4</v>
      </c>
      <c r="H304">
        <f>IF(MONTH(Call_Center[[#This Row],[Date of Call]])&lt;=6,2023,2024)</f>
        <v>2023</v>
      </c>
      <c r="I304" t="str">
        <f>TEXT(Call_Center[[#This Row],[Date of Call]],"DDDD")</f>
        <v>Saturday</v>
      </c>
      <c r="J304" t="str" cm="1">
        <f t="array" ref="J304">_xlfn.IFS(Call_Center[[#This Row],[Duration]]&lt;=10,"Under 10 mins",Call_Center[[#This Row],[Duration]]&lt;=30,"10 to 30 min",Call_Center[[#This Row],[Duration]]&lt;=60,"30 to 60 min",Call_Center[[#This Row],[Duration]]&lt;=120,"1 to 2 hours",TRUE,"More than 2 hours")</f>
        <v>1 to 2 hours</v>
      </c>
      <c r="K304">
        <f>ROUND(Call_Center[[#This Row],[Satisfaction Rating]],0)</f>
        <v>4</v>
      </c>
    </row>
    <row r="305" spans="1:11" x14ac:dyDescent="0.35">
      <c r="A305" s="21" t="s">
        <v>1288</v>
      </c>
      <c r="B305" s="18" t="s">
        <v>971</v>
      </c>
      <c r="C305" s="18">
        <v>20</v>
      </c>
      <c r="D305" s="19" t="s">
        <v>977</v>
      </c>
      <c r="E305" s="20">
        <v>45017</v>
      </c>
      <c r="F305" s="18">
        <v>60</v>
      </c>
      <c r="G305" s="22">
        <v>3.6</v>
      </c>
      <c r="H305">
        <f>IF(MONTH(Call_Center[[#This Row],[Date of Call]])&lt;=6,2023,2024)</f>
        <v>2023</v>
      </c>
      <c r="I305" t="str">
        <f>TEXT(Call_Center[[#This Row],[Date of Call]],"DDDD")</f>
        <v>Saturday</v>
      </c>
      <c r="J305" t="str" cm="1">
        <f t="array" ref="J305">_xlfn.IFS(Call_Center[[#This Row],[Duration]]&lt;=10,"Under 10 mins",Call_Center[[#This Row],[Duration]]&lt;=30,"10 to 30 min",Call_Center[[#This Row],[Duration]]&lt;=60,"30 to 60 min",Call_Center[[#This Row],[Duration]]&lt;=120,"1 to 2 hours",TRUE,"More than 2 hours")</f>
        <v>10 to 30 min</v>
      </c>
      <c r="K305">
        <f>ROUND(Call_Center[[#This Row],[Satisfaction Rating]],0)</f>
        <v>4</v>
      </c>
    </row>
    <row r="306" spans="1:11" x14ac:dyDescent="0.35">
      <c r="A306" s="21" t="s">
        <v>1289</v>
      </c>
      <c r="B306" s="18" t="s">
        <v>989</v>
      </c>
      <c r="C306" s="18">
        <v>65</v>
      </c>
      <c r="D306" s="19" t="s">
        <v>972</v>
      </c>
      <c r="E306" s="20">
        <v>45017</v>
      </c>
      <c r="F306" s="18">
        <v>64</v>
      </c>
      <c r="G306" s="22">
        <v>3.7</v>
      </c>
      <c r="H306">
        <f>IF(MONTH(Call_Center[[#This Row],[Date of Call]])&lt;=6,2023,2024)</f>
        <v>2023</v>
      </c>
      <c r="I306" t="str">
        <f>TEXT(Call_Center[[#This Row],[Date of Call]],"DDDD")</f>
        <v>Saturday</v>
      </c>
      <c r="J306" t="str" cm="1">
        <f t="array" ref="J306">_xlfn.IFS(Call_Center[[#This Row],[Duration]]&lt;=10,"Under 10 mins",Call_Center[[#This Row],[Duration]]&lt;=30,"10 to 30 min",Call_Center[[#This Row],[Duration]]&lt;=60,"30 to 60 min",Call_Center[[#This Row],[Duration]]&lt;=120,"1 to 2 hours",TRUE,"More than 2 hours")</f>
        <v>1 to 2 hours</v>
      </c>
      <c r="K306">
        <f>ROUND(Call_Center[[#This Row],[Satisfaction Rating]],0)</f>
        <v>4</v>
      </c>
    </row>
    <row r="307" spans="1:11" x14ac:dyDescent="0.35">
      <c r="A307" s="21" t="s">
        <v>1290</v>
      </c>
      <c r="B307" s="18" t="s">
        <v>1008</v>
      </c>
      <c r="C307" s="18">
        <v>71</v>
      </c>
      <c r="D307" s="19" t="s">
        <v>967</v>
      </c>
      <c r="E307" s="20">
        <v>45018</v>
      </c>
      <c r="F307" s="18">
        <v>110</v>
      </c>
      <c r="G307" s="22">
        <v>4.8</v>
      </c>
      <c r="H307">
        <f>IF(MONTH(Call_Center[[#This Row],[Date of Call]])&lt;=6,2023,2024)</f>
        <v>2023</v>
      </c>
      <c r="I307" t="str">
        <f>TEXT(Call_Center[[#This Row],[Date of Call]],"DDDD")</f>
        <v>Sunday</v>
      </c>
      <c r="J307" t="str" cm="1">
        <f t="array" ref="J307">_xlfn.IFS(Call_Center[[#This Row],[Duration]]&lt;=10,"Under 10 mins",Call_Center[[#This Row],[Duration]]&lt;=30,"10 to 30 min",Call_Center[[#This Row],[Duration]]&lt;=60,"30 to 60 min",Call_Center[[#This Row],[Duration]]&lt;=120,"1 to 2 hours",TRUE,"More than 2 hours")</f>
        <v>1 to 2 hours</v>
      </c>
      <c r="K307">
        <f>ROUND(Call_Center[[#This Row],[Satisfaction Rating]],0)</f>
        <v>5</v>
      </c>
    </row>
    <row r="308" spans="1:11" x14ac:dyDescent="0.35">
      <c r="A308" s="21" t="s">
        <v>1291</v>
      </c>
      <c r="B308" s="18" t="s">
        <v>969</v>
      </c>
      <c r="C308" s="18">
        <v>95</v>
      </c>
      <c r="D308" s="19" t="s">
        <v>986</v>
      </c>
      <c r="E308" s="20">
        <v>45018</v>
      </c>
      <c r="F308" s="18">
        <v>52</v>
      </c>
      <c r="G308" s="22">
        <v>1.2</v>
      </c>
      <c r="H308">
        <f>IF(MONTH(Call_Center[[#This Row],[Date of Call]])&lt;=6,2023,2024)</f>
        <v>2023</v>
      </c>
      <c r="I308" t="str">
        <f>TEXT(Call_Center[[#This Row],[Date of Call]],"DDDD")</f>
        <v>Sunday</v>
      </c>
      <c r="J308" t="str" cm="1">
        <f t="array" ref="J308">_xlfn.IFS(Call_Center[[#This Row],[Duration]]&lt;=10,"Under 10 mins",Call_Center[[#This Row],[Duration]]&lt;=30,"10 to 30 min",Call_Center[[#This Row],[Duration]]&lt;=60,"30 to 60 min",Call_Center[[#This Row],[Duration]]&lt;=120,"1 to 2 hours",TRUE,"More than 2 hours")</f>
        <v>1 to 2 hours</v>
      </c>
      <c r="K308">
        <f>ROUND(Call_Center[[#This Row],[Satisfaction Rating]],0)</f>
        <v>1</v>
      </c>
    </row>
    <row r="309" spans="1:11" x14ac:dyDescent="0.35">
      <c r="A309" s="21" t="s">
        <v>1292</v>
      </c>
      <c r="B309" s="18" t="s">
        <v>971</v>
      </c>
      <c r="C309" s="18">
        <v>81</v>
      </c>
      <c r="D309" s="19" t="s">
        <v>982</v>
      </c>
      <c r="E309" s="20">
        <v>45019</v>
      </c>
      <c r="F309" s="18">
        <v>160</v>
      </c>
      <c r="G309" s="22">
        <v>4.7</v>
      </c>
      <c r="H309">
        <f>IF(MONTH(Call_Center[[#This Row],[Date of Call]])&lt;=6,2023,2024)</f>
        <v>2023</v>
      </c>
      <c r="I309" t="str">
        <f>TEXT(Call_Center[[#This Row],[Date of Call]],"DDDD")</f>
        <v>Monday</v>
      </c>
      <c r="J309" t="str" cm="1">
        <f t="array" ref="J309">_xlfn.IFS(Call_Center[[#This Row],[Duration]]&lt;=10,"Under 10 mins",Call_Center[[#This Row],[Duration]]&lt;=30,"10 to 30 min",Call_Center[[#This Row],[Duration]]&lt;=60,"30 to 60 min",Call_Center[[#This Row],[Duration]]&lt;=120,"1 to 2 hours",TRUE,"More than 2 hours")</f>
        <v>1 to 2 hours</v>
      </c>
      <c r="K309">
        <f>ROUND(Call_Center[[#This Row],[Satisfaction Rating]],0)</f>
        <v>5</v>
      </c>
    </row>
    <row r="310" spans="1:11" x14ac:dyDescent="0.35">
      <c r="A310" s="21" t="s">
        <v>1293</v>
      </c>
      <c r="B310" s="18" t="s">
        <v>1000</v>
      </c>
      <c r="C310" s="18">
        <v>137</v>
      </c>
      <c r="D310" s="19" t="s">
        <v>982</v>
      </c>
      <c r="E310" s="20">
        <v>45019</v>
      </c>
      <c r="F310" s="18">
        <v>215</v>
      </c>
      <c r="G310" s="22">
        <v>4.7</v>
      </c>
      <c r="H310">
        <f>IF(MONTH(Call_Center[[#This Row],[Date of Call]])&lt;=6,2023,2024)</f>
        <v>2023</v>
      </c>
      <c r="I310" t="str">
        <f>TEXT(Call_Center[[#This Row],[Date of Call]],"DDDD")</f>
        <v>Monday</v>
      </c>
      <c r="J310" t="str" cm="1">
        <f t="array" ref="J310">_xlfn.IFS(Call_Center[[#This Row],[Duration]]&lt;=10,"Under 10 mins",Call_Center[[#This Row],[Duration]]&lt;=30,"10 to 30 min",Call_Center[[#This Row],[Duration]]&lt;=60,"30 to 60 min",Call_Center[[#This Row],[Duration]]&lt;=120,"1 to 2 hours",TRUE,"More than 2 hours")</f>
        <v>More than 2 hours</v>
      </c>
      <c r="K310">
        <f>ROUND(Call_Center[[#This Row],[Satisfaction Rating]],0)</f>
        <v>5</v>
      </c>
    </row>
    <row r="311" spans="1:11" x14ac:dyDescent="0.35">
      <c r="A311" s="21" t="s">
        <v>1294</v>
      </c>
      <c r="B311" s="18" t="s">
        <v>1000</v>
      </c>
      <c r="C311" s="18">
        <v>40</v>
      </c>
      <c r="D311" s="19" t="s">
        <v>986</v>
      </c>
      <c r="E311" s="20">
        <v>45019</v>
      </c>
      <c r="F311" s="18">
        <v>220</v>
      </c>
      <c r="G311" s="22">
        <v>4.5</v>
      </c>
      <c r="H311">
        <f>IF(MONTH(Call_Center[[#This Row],[Date of Call]])&lt;=6,2023,2024)</f>
        <v>2023</v>
      </c>
      <c r="I311" t="str">
        <f>TEXT(Call_Center[[#This Row],[Date of Call]],"DDDD")</f>
        <v>Monday</v>
      </c>
      <c r="J311" t="str" cm="1">
        <f t="array" ref="J311">_xlfn.IFS(Call_Center[[#This Row],[Duration]]&lt;=10,"Under 10 mins",Call_Center[[#This Row],[Duration]]&lt;=30,"10 to 30 min",Call_Center[[#This Row],[Duration]]&lt;=60,"30 to 60 min",Call_Center[[#This Row],[Duration]]&lt;=120,"1 to 2 hours",TRUE,"More than 2 hours")</f>
        <v>30 to 60 min</v>
      </c>
      <c r="K311">
        <f>ROUND(Call_Center[[#This Row],[Satisfaction Rating]],0)</f>
        <v>5</v>
      </c>
    </row>
    <row r="312" spans="1:11" x14ac:dyDescent="0.35">
      <c r="A312" s="21" t="s">
        <v>1295</v>
      </c>
      <c r="B312" s="18" t="s">
        <v>985</v>
      </c>
      <c r="C312" s="18">
        <v>111</v>
      </c>
      <c r="D312" s="19" t="s">
        <v>972</v>
      </c>
      <c r="E312" s="20">
        <v>45020</v>
      </c>
      <c r="F312" s="18">
        <v>175</v>
      </c>
      <c r="G312" s="22">
        <v>3.5</v>
      </c>
      <c r="H312">
        <f>IF(MONTH(Call_Center[[#This Row],[Date of Call]])&lt;=6,2023,2024)</f>
        <v>2023</v>
      </c>
      <c r="I312" t="str">
        <f>TEXT(Call_Center[[#This Row],[Date of Call]],"DDDD")</f>
        <v>Tuesday</v>
      </c>
      <c r="J312" t="str" cm="1">
        <f t="array" ref="J312">_xlfn.IFS(Call_Center[[#This Row],[Duration]]&lt;=10,"Under 10 mins",Call_Center[[#This Row],[Duration]]&lt;=30,"10 to 30 min",Call_Center[[#This Row],[Duration]]&lt;=60,"30 to 60 min",Call_Center[[#This Row],[Duration]]&lt;=120,"1 to 2 hours",TRUE,"More than 2 hours")</f>
        <v>1 to 2 hours</v>
      </c>
      <c r="K312">
        <f>ROUND(Call_Center[[#This Row],[Satisfaction Rating]],0)</f>
        <v>4</v>
      </c>
    </row>
    <row r="313" spans="1:11" x14ac:dyDescent="0.35">
      <c r="A313" s="21" t="s">
        <v>1296</v>
      </c>
      <c r="B313" s="18" t="s">
        <v>1008</v>
      </c>
      <c r="C313" s="18">
        <v>106</v>
      </c>
      <c r="D313" s="19" t="s">
        <v>972</v>
      </c>
      <c r="E313" s="20">
        <v>45020</v>
      </c>
      <c r="F313" s="18">
        <v>145</v>
      </c>
      <c r="G313" s="22">
        <v>4.0999999999999996</v>
      </c>
      <c r="H313">
        <f>IF(MONTH(Call_Center[[#This Row],[Date of Call]])&lt;=6,2023,2024)</f>
        <v>2023</v>
      </c>
      <c r="I313" t="str">
        <f>TEXT(Call_Center[[#This Row],[Date of Call]],"DDDD")</f>
        <v>Tuesday</v>
      </c>
      <c r="J313" t="str" cm="1">
        <f t="array" ref="J313">_xlfn.IFS(Call_Center[[#This Row],[Duration]]&lt;=10,"Under 10 mins",Call_Center[[#This Row],[Duration]]&lt;=30,"10 to 30 min",Call_Center[[#This Row],[Duration]]&lt;=60,"30 to 60 min",Call_Center[[#This Row],[Duration]]&lt;=120,"1 to 2 hours",TRUE,"More than 2 hours")</f>
        <v>1 to 2 hours</v>
      </c>
      <c r="K313">
        <f>ROUND(Call_Center[[#This Row],[Satisfaction Rating]],0)</f>
        <v>4</v>
      </c>
    </row>
    <row r="314" spans="1:11" x14ac:dyDescent="0.35">
      <c r="A314" s="21" t="s">
        <v>1297</v>
      </c>
      <c r="B314" s="18" t="s">
        <v>974</v>
      </c>
      <c r="C314" s="18">
        <v>133</v>
      </c>
      <c r="D314" s="19" t="s">
        <v>977</v>
      </c>
      <c r="E314" s="20">
        <v>45020</v>
      </c>
      <c r="F314" s="18">
        <v>72</v>
      </c>
      <c r="G314" s="22">
        <v>4.4000000000000004</v>
      </c>
      <c r="H314">
        <f>IF(MONTH(Call_Center[[#This Row],[Date of Call]])&lt;=6,2023,2024)</f>
        <v>2023</v>
      </c>
      <c r="I314" t="str">
        <f>TEXT(Call_Center[[#This Row],[Date of Call]],"DDDD")</f>
        <v>Tuesday</v>
      </c>
      <c r="J314" t="str" cm="1">
        <f t="array" ref="J314">_xlfn.IFS(Call_Center[[#This Row],[Duration]]&lt;=10,"Under 10 mins",Call_Center[[#This Row],[Duration]]&lt;=30,"10 to 30 min",Call_Center[[#This Row],[Duration]]&lt;=60,"30 to 60 min",Call_Center[[#This Row],[Duration]]&lt;=120,"1 to 2 hours",TRUE,"More than 2 hours")</f>
        <v>More than 2 hours</v>
      </c>
      <c r="K314">
        <f>ROUND(Call_Center[[#This Row],[Satisfaction Rating]],0)</f>
        <v>4</v>
      </c>
    </row>
    <row r="315" spans="1:11" x14ac:dyDescent="0.35">
      <c r="A315" s="21" t="s">
        <v>1298</v>
      </c>
      <c r="B315" s="18" t="s">
        <v>980</v>
      </c>
      <c r="C315" s="18">
        <v>38</v>
      </c>
      <c r="D315" s="19" t="s">
        <v>972</v>
      </c>
      <c r="E315" s="20">
        <v>45021</v>
      </c>
      <c r="F315" s="18">
        <v>81</v>
      </c>
      <c r="G315" s="22">
        <v>3.6</v>
      </c>
      <c r="H315">
        <f>IF(MONTH(Call_Center[[#This Row],[Date of Call]])&lt;=6,2023,2024)</f>
        <v>2023</v>
      </c>
      <c r="I315" t="str">
        <f>TEXT(Call_Center[[#This Row],[Date of Call]],"DDDD")</f>
        <v>Wednesday</v>
      </c>
      <c r="J315" t="str" cm="1">
        <f t="array" ref="J315">_xlfn.IFS(Call_Center[[#This Row],[Duration]]&lt;=10,"Under 10 mins",Call_Center[[#This Row],[Duration]]&lt;=30,"10 to 30 min",Call_Center[[#This Row],[Duration]]&lt;=60,"30 to 60 min",Call_Center[[#This Row],[Duration]]&lt;=120,"1 to 2 hours",TRUE,"More than 2 hours")</f>
        <v>30 to 60 min</v>
      </c>
      <c r="K315">
        <f>ROUND(Call_Center[[#This Row],[Satisfaction Rating]],0)</f>
        <v>4</v>
      </c>
    </row>
    <row r="316" spans="1:11" x14ac:dyDescent="0.35">
      <c r="A316" s="21" t="s">
        <v>1299</v>
      </c>
      <c r="B316" s="18" t="s">
        <v>1005</v>
      </c>
      <c r="C316" s="18">
        <v>130</v>
      </c>
      <c r="D316" s="19" t="s">
        <v>986</v>
      </c>
      <c r="E316" s="20">
        <v>45021</v>
      </c>
      <c r="F316" s="18">
        <v>54</v>
      </c>
      <c r="G316" s="22">
        <v>4.0999999999999996</v>
      </c>
      <c r="H316">
        <f>IF(MONTH(Call_Center[[#This Row],[Date of Call]])&lt;=6,2023,2024)</f>
        <v>2023</v>
      </c>
      <c r="I316" t="str">
        <f>TEXT(Call_Center[[#This Row],[Date of Call]],"DDDD")</f>
        <v>Wednesday</v>
      </c>
      <c r="J316" t="str" cm="1">
        <f t="array" ref="J316">_xlfn.IFS(Call_Center[[#This Row],[Duration]]&lt;=10,"Under 10 mins",Call_Center[[#This Row],[Duration]]&lt;=30,"10 to 30 min",Call_Center[[#This Row],[Duration]]&lt;=60,"30 to 60 min",Call_Center[[#This Row],[Duration]]&lt;=120,"1 to 2 hours",TRUE,"More than 2 hours")</f>
        <v>More than 2 hours</v>
      </c>
      <c r="K316">
        <f>ROUND(Call_Center[[#This Row],[Satisfaction Rating]],0)</f>
        <v>4</v>
      </c>
    </row>
    <row r="317" spans="1:11" x14ac:dyDescent="0.35">
      <c r="A317" s="21" t="s">
        <v>1300</v>
      </c>
      <c r="B317" s="18" t="s">
        <v>989</v>
      </c>
      <c r="C317" s="18">
        <v>23</v>
      </c>
      <c r="D317" s="19" t="s">
        <v>977</v>
      </c>
      <c r="E317" s="20">
        <v>45021</v>
      </c>
      <c r="F317" s="18">
        <v>105</v>
      </c>
      <c r="G317" s="22">
        <v>4.8</v>
      </c>
      <c r="H317">
        <f>IF(MONTH(Call_Center[[#This Row],[Date of Call]])&lt;=6,2023,2024)</f>
        <v>2023</v>
      </c>
      <c r="I317" t="str">
        <f>TEXT(Call_Center[[#This Row],[Date of Call]],"DDDD")</f>
        <v>Wednesday</v>
      </c>
      <c r="J317" t="str" cm="1">
        <f t="array" ref="J317">_xlfn.IFS(Call_Center[[#This Row],[Duration]]&lt;=10,"Under 10 mins",Call_Center[[#This Row],[Duration]]&lt;=30,"10 to 30 min",Call_Center[[#This Row],[Duration]]&lt;=60,"30 to 60 min",Call_Center[[#This Row],[Duration]]&lt;=120,"1 to 2 hours",TRUE,"More than 2 hours")</f>
        <v>10 to 30 min</v>
      </c>
      <c r="K317">
        <f>ROUND(Call_Center[[#This Row],[Satisfaction Rating]],0)</f>
        <v>5</v>
      </c>
    </row>
    <row r="318" spans="1:11" x14ac:dyDescent="0.35">
      <c r="A318" s="21" t="s">
        <v>1301</v>
      </c>
      <c r="B318" s="18" t="s">
        <v>1005</v>
      </c>
      <c r="C318" s="18">
        <v>124</v>
      </c>
      <c r="D318" s="19" t="s">
        <v>972</v>
      </c>
      <c r="E318" s="20">
        <v>45022</v>
      </c>
      <c r="F318" s="18">
        <v>176</v>
      </c>
      <c r="G318" s="22">
        <v>3.9</v>
      </c>
      <c r="H318">
        <f>IF(MONTH(Call_Center[[#This Row],[Date of Call]])&lt;=6,2023,2024)</f>
        <v>2023</v>
      </c>
      <c r="I318" t="str">
        <f>TEXT(Call_Center[[#This Row],[Date of Call]],"DDDD")</f>
        <v>Thursday</v>
      </c>
      <c r="J318" t="str" cm="1">
        <f t="array" ref="J318">_xlfn.IFS(Call_Center[[#This Row],[Duration]]&lt;=10,"Under 10 mins",Call_Center[[#This Row],[Duration]]&lt;=30,"10 to 30 min",Call_Center[[#This Row],[Duration]]&lt;=60,"30 to 60 min",Call_Center[[#This Row],[Duration]]&lt;=120,"1 to 2 hours",TRUE,"More than 2 hours")</f>
        <v>More than 2 hours</v>
      </c>
      <c r="K318">
        <f>ROUND(Call_Center[[#This Row],[Satisfaction Rating]],0)</f>
        <v>4</v>
      </c>
    </row>
    <row r="319" spans="1:11" x14ac:dyDescent="0.35">
      <c r="A319" s="21" t="s">
        <v>1302</v>
      </c>
      <c r="B319" s="18" t="s">
        <v>971</v>
      </c>
      <c r="C319" s="18">
        <v>107</v>
      </c>
      <c r="D319" s="19" t="s">
        <v>972</v>
      </c>
      <c r="E319" s="20">
        <v>45022</v>
      </c>
      <c r="F319" s="18">
        <v>115</v>
      </c>
      <c r="G319" s="22">
        <v>3.8</v>
      </c>
      <c r="H319">
        <f>IF(MONTH(Call_Center[[#This Row],[Date of Call]])&lt;=6,2023,2024)</f>
        <v>2023</v>
      </c>
      <c r="I319" t="str">
        <f>TEXT(Call_Center[[#This Row],[Date of Call]],"DDDD")</f>
        <v>Thursday</v>
      </c>
      <c r="J319" t="str" cm="1">
        <f t="array" ref="J319">_xlfn.IFS(Call_Center[[#This Row],[Duration]]&lt;=10,"Under 10 mins",Call_Center[[#This Row],[Duration]]&lt;=30,"10 to 30 min",Call_Center[[#This Row],[Duration]]&lt;=60,"30 to 60 min",Call_Center[[#This Row],[Duration]]&lt;=120,"1 to 2 hours",TRUE,"More than 2 hours")</f>
        <v>1 to 2 hours</v>
      </c>
      <c r="K319">
        <f>ROUND(Call_Center[[#This Row],[Satisfaction Rating]],0)</f>
        <v>4</v>
      </c>
    </row>
    <row r="320" spans="1:11" x14ac:dyDescent="0.35">
      <c r="A320" s="21" t="s">
        <v>1303</v>
      </c>
      <c r="B320" s="18" t="s">
        <v>1000</v>
      </c>
      <c r="C320" s="18">
        <v>60</v>
      </c>
      <c r="D320" s="19" t="s">
        <v>967</v>
      </c>
      <c r="E320" s="20">
        <v>45022</v>
      </c>
      <c r="F320" s="18">
        <v>116</v>
      </c>
      <c r="G320" s="22">
        <v>3.9</v>
      </c>
      <c r="H320">
        <f>IF(MONTH(Call_Center[[#This Row],[Date of Call]])&lt;=6,2023,2024)</f>
        <v>2023</v>
      </c>
      <c r="I320" t="str">
        <f>TEXT(Call_Center[[#This Row],[Date of Call]],"DDDD")</f>
        <v>Thursday</v>
      </c>
      <c r="J320" t="str" cm="1">
        <f t="array" ref="J320">_xlfn.IFS(Call_Center[[#This Row],[Duration]]&lt;=10,"Under 10 mins",Call_Center[[#This Row],[Duration]]&lt;=30,"10 to 30 min",Call_Center[[#This Row],[Duration]]&lt;=60,"30 to 60 min",Call_Center[[#This Row],[Duration]]&lt;=120,"1 to 2 hours",TRUE,"More than 2 hours")</f>
        <v>30 to 60 min</v>
      </c>
      <c r="K320">
        <f>ROUND(Call_Center[[#This Row],[Satisfaction Rating]],0)</f>
        <v>4</v>
      </c>
    </row>
    <row r="321" spans="1:11" x14ac:dyDescent="0.35">
      <c r="A321" s="21" t="s">
        <v>1304</v>
      </c>
      <c r="B321" s="18" t="s">
        <v>1000</v>
      </c>
      <c r="C321" s="18">
        <v>158</v>
      </c>
      <c r="D321" s="19" t="s">
        <v>986</v>
      </c>
      <c r="E321" s="20">
        <v>45022</v>
      </c>
      <c r="F321" s="18">
        <v>100</v>
      </c>
      <c r="G321" s="22">
        <v>4.0999999999999996</v>
      </c>
      <c r="H321">
        <f>IF(MONTH(Call_Center[[#This Row],[Date of Call]])&lt;=6,2023,2024)</f>
        <v>2023</v>
      </c>
      <c r="I321" t="str">
        <f>TEXT(Call_Center[[#This Row],[Date of Call]],"DDDD")</f>
        <v>Thursday</v>
      </c>
      <c r="J321" t="str" cm="1">
        <f t="array" ref="J321">_xlfn.IFS(Call_Center[[#This Row],[Duration]]&lt;=10,"Under 10 mins",Call_Center[[#This Row],[Duration]]&lt;=30,"10 to 30 min",Call_Center[[#This Row],[Duration]]&lt;=60,"30 to 60 min",Call_Center[[#This Row],[Duration]]&lt;=120,"1 to 2 hours",TRUE,"More than 2 hours")</f>
        <v>More than 2 hours</v>
      </c>
      <c r="K321">
        <f>ROUND(Call_Center[[#This Row],[Satisfaction Rating]],0)</f>
        <v>4</v>
      </c>
    </row>
    <row r="322" spans="1:11" x14ac:dyDescent="0.35">
      <c r="A322" s="21" t="s">
        <v>1305</v>
      </c>
      <c r="B322" s="18" t="s">
        <v>997</v>
      </c>
      <c r="C322" s="18">
        <v>110</v>
      </c>
      <c r="D322" s="19" t="s">
        <v>986</v>
      </c>
      <c r="E322" s="20">
        <v>45023</v>
      </c>
      <c r="F322" s="18">
        <v>36</v>
      </c>
      <c r="G322" s="22">
        <v>2.2000000000000002</v>
      </c>
      <c r="H322">
        <f>IF(MONTH(Call_Center[[#This Row],[Date of Call]])&lt;=6,2023,2024)</f>
        <v>2023</v>
      </c>
      <c r="I322" t="str">
        <f>TEXT(Call_Center[[#This Row],[Date of Call]],"DDDD")</f>
        <v>Friday</v>
      </c>
      <c r="J322" t="str" cm="1">
        <f t="array" ref="J322">_xlfn.IFS(Call_Center[[#This Row],[Duration]]&lt;=10,"Under 10 mins",Call_Center[[#This Row],[Duration]]&lt;=30,"10 to 30 min",Call_Center[[#This Row],[Duration]]&lt;=60,"30 to 60 min",Call_Center[[#This Row],[Duration]]&lt;=120,"1 to 2 hours",TRUE,"More than 2 hours")</f>
        <v>1 to 2 hours</v>
      </c>
      <c r="K322">
        <f>ROUND(Call_Center[[#This Row],[Satisfaction Rating]],0)</f>
        <v>2</v>
      </c>
    </row>
    <row r="323" spans="1:11" x14ac:dyDescent="0.35">
      <c r="A323" s="21" t="s">
        <v>1306</v>
      </c>
      <c r="B323" s="18" t="s">
        <v>1018</v>
      </c>
      <c r="C323" s="18">
        <v>70</v>
      </c>
      <c r="D323" s="19" t="s">
        <v>986</v>
      </c>
      <c r="E323" s="20">
        <v>45023</v>
      </c>
      <c r="F323" s="18">
        <v>114</v>
      </c>
      <c r="G323" s="22">
        <v>5</v>
      </c>
      <c r="H323">
        <f>IF(MONTH(Call_Center[[#This Row],[Date of Call]])&lt;=6,2023,2024)</f>
        <v>2023</v>
      </c>
      <c r="I323" t="str">
        <f>TEXT(Call_Center[[#This Row],[Date of Call]],"DDDD")</f>
        <v>Friday</v>
      </c>
      <c r="J323" t="str" cm="1">
        <f t="array" ref="J323">_xlfn.IFS(Call_Center[[#This Row],[Duration]]&lt;=10,"Under 10 mins",Call_Center[[#This Row],[Duration]]&lt;=30,"10 to 30 min",Call_Center[[#This Row],[Duration]]&lt;=60,"30 to 60 min",Call_Center[[#This Row],[Duration]]&lt;=120,"1 to 2 hours",TRUE,"More than 2 hours")</f>
        <v>1 to 2 hours</v>
      </c>
      <c r="K323">
        <f>ROUND(Call_Center[[#This Row],[Satisfaction Rating]],0)</f>
        <v>5</v>
      </c>
    </row>
    <row r="324" spans="1:11" x14ac:dyDescent="0.35">
      <c r="A324" s="21" t="s">
        <v>1307</v>
      </c>
      <c r="B324" s="18" t="s">
        <v>1018</v>
      </c>
      <c r="C324" s="18">
        <v>150</v>
      </c>
      <c r="D324" s="19" t="s">
        <v>967</v>
      </c>
      <c r="E324" s="20">
        <v>45023</v>
      </c>
      <c r="F324" s="18">
        <v>24</v>
      </c>
      <c r="G324" s="22">
        <v>3.8</v>
      </c>
      <c r="H324">
        <f>IF(MONTH(Call_Center[[#This Row],[Date of Call]])&lt;=6,2023,2024)</f>
        <v>2023</v>
      </c>
      <c r="I324" t="str">
        <f>TEXT(Call_Center[[#This Row],[Date of Call]],"DDDD")</f>
        <v>Friday</v>
      </c>
      <c r="J324" t="str" cm="1">
        <f t="array" ref="J324">_xlfn.IFS(Call_Center[[#This Row],[Duration]]&lt;=10,"Under 10 mins",Call_Center[[#This Row],[Duration]]&lt;=30,"10 to 30 min",Call_Center[[#This Row],[Duration]]&lt;=60,"30 to 60 min",Call_Center[[#This Row],[Duration]]&lt;=120,"1 to 2 hours",TRUE,"More than 2 hours")</f>
        <v>More than 2 hours</v>
      </c>
      <c r="K324">
        <f>ROUND(Call_Center[[#This Row],[Satisfaction Rating]],0)</f>
        <v>4</v>
      </c>
    </row>
    <row r="325" spans="1:11" x14ac:dyDescent="0.35">
      <c r="A325" s="21" t="s">
        <v>1308</v>
      </c>
      <c r="B325" s="18" t="s">
        <v>980</v>
      </c>
      <c r="C325" s="18">
        <v>36</v>
      </c>
      <c r="D325" s="19" t="s">
        <v>972</v>
      </c>
      <c r="E325" s="20">
        <v>45023</v>
      </c>
      <c r="F325" s="18">
        <v>135</v>
      </c>
      <c r="G325" s="22">
        <v>4.5999999999999996</v>
      </c>
      <c r="H325">
        <f>IF(MONTH(Call_Center[[#This Row],[Date of Call]])&lt;=6,2023,2024)</f>
        <v>2023</v>
      </c>
      <c r="I325" t="str">
        <f>TEXT(Call_Center[[#This Row],[Date of Call]],"DDDD")</f>
        <v>Friday</v>
      </c>
      <c r="J325" t="str" cm="1">
        <f t="array" ref="J325">_xlfn.IFS(Call_Center[[#This Row],[Duration]]&lt;=10,"Under 10 mins",Call_Center[[#This Row],[Duration]]&lt;=30,"10 to 30 min",Call_Center[[#This Row],[Duration]]&lt;=60,"30 to 60 min",Call_Center[[#This Row],[Duration]]&lt;=120,"1 to 2 hours",TRUE,"More than 2 hours")</f>
        <v>30 to 60 min</v>
      </c>
      <c r="K325">
        <f>ROUND(Call_Center[[#This Row],[Satisfaction Rating]],0)</f>
        <v>5</v>
      </c>
    </row>
    <row r="326" spans="1:11" x14ac:dyDescent="0.35">
      <c r="A326" s="21" t="s">
        <v>1309</v>
      </c>
      <c r="B326" s="18" t="s">
        <v>1005</v>
      </c>
      <c r="C326" s="18">
        <v>74</v>
      </c>
      <c r="D326" s="19" t="s">
        <v>972</v>
      </c>
      <c r="E326" s="20">
        <v>45023</v>
      </c>
      <c r="F326" s="18">
        <v>30</v>
      </c>
      <c r="G326" s="22">
        <v>4</v>
      </c>
      <c r="H326">
        <f>IF(MONTH(Call_Center[[#This Row],[Date of Call]])&lt;=6,2023,2024)</f>
        <v>2023</v>
      </c>
      <c r="I326" t="str">
        <f>TEXT(Call_Center[[#This Row],[Date of Call]],"DDDD")</f>
        <v>Friday</v>
      </c>
      <c r="J326" t="str" cm="1">
        <f t="array" ref="J326">_xlfn.IFS(Call_Center[[#This Row],[Duration]]&lt;=10,"Under 10 mins",Call_Center[[#This Row],[Duration]]&lt;=30,"10 to 30 min",Call_Center[[#This Row],[Duration]]&lt;=60,"30 to 60 min",Call_Center[[#This Row],[Duration]]&lt;=120,"1 to 2 hours",TRUE,"More than 2 hours")</f>
        <v>1 to 2 hours</v>
      </c>
      <c r="K326">
        <f>ROUND(Call_Center[[#This Row],[Satisfaction Rating]],0)</f>
        <v>4</v>
      </c>
    </row>
    <row r="327" spans="1:11" x14ac:dyDescent="0.35">
      <c r="A327" s="21" t="s">
        <v>1310</v>
      </c>
      <c r="B327" s="18" t="s">
        <v>969</v>
      </c>
      <c r="C327" s="18">
        <v>75</v>
      </c>
      <c r="D327" s="19" t="s">
        <v>972</v>
      </c>
      <c r="E327" s="20">
        <v>45023</v>
      </c>
      <c r="F327" s="18">
        <v>84</v>
      </c>
      <c r="G327" s="22">
        <v>2.8</v>
      </c>
      <c r="H327">
        <f>IF(MONTH(Call_Center[[#This Row],[Date of Call]])&lt;=6,2023,2024)</f>
        <v>2023</v>
      </c>
      <c r="I327" t="str">
        <f>TEXT(Call_Center[[#This Row],[Date of Call]],"DDDD")</f>
        <v>Friday</v>
      </c>
      <c r="J327" t="str" cm="1">
        <f t="array" ref="J327">_xlfn.IFS(Call_Center[[#This Row],[Duration]]&lt;=10,"Under 10 mins",Call_Center[[#This Row],[Duration]]&lt;=30,"10 to 30 min",Call_Center[[#This Row],[Duration]]&lt;=60,"30 to 60 min",Call_Center[[#This Row],[Duration]]&lt;=120,"1 to 2 hours",TRUE,"More than 2 hours")</f>
        <v>1 to 2 hours</v>
      </c>
      <c r="K327">
        <f>ROUND(Call_Center[[#This Row],[Satisfaction Rating]],0)</f>
        <v>3</v>
      </c>
    </row>
    <row r="328" spans="1:11" x14ac:dyDescent="0.35">
      <c r="A328" s="21" t="s">
        <v>1311</v>
      </c>
      <c r="B328" s="18" t="s">
        <v>1038</v>
      </c>
      <c r="C328" s="18">
        <v>70</v>
      </c>
      <c r="D328" s="19" t="s">
        <v>982</v>
      </c>
      <c r="E328" s="20">
        <v>45023</v>
      </c>
      <c r="F328" s="18">
        <v>42</v>
      </c>
      <c r="G328" s="22">
        <v>4.4000000000000004</v>
      </c>
      <c r="H328">
        <f>IF(MONTH(Call_Center[[#This Row],[Date of Call]])&lt;=6,2023,2024)</f>
        <v>2023</v>
      </c>
      <c r="I328" t="str">
        <f>TEXT(Call_Center[[#This Row],[Date of Call]],"DDDD")</f>
        <v>Friday</v>
      </c>
      <c r="J328" t="str" cm="1">
        <f t="array" ref="J328">_xlfn.IFS(Call_Center[[#This Row],[Duration]]&lt;=10,"Under 10 mins",Call_Center[[#This Row],[Duration]]&lt;=30,"10 to 30 min",Call_Center[[#This Row],[Duration]]&lt;=60,"30 to 60 min",Call_Center[[#This Row],[Duration]]&lt;=120,"1 to 2 hours",TRUE,"More than 2 hours")</f>
        <v>1 to 2 hours</v>
      </c>
      <c r="K328">
        <f>ROUND(Call_Center[[#This Row],[Satisfaction Rating]],0)</f>
        <v>4</v>
      </c>
    </row>
    <row r="329" spans="1:11" x14ac:dyDescent="0.35">
      <c r="A329" s="21" t="s">
        <v>1312</v>
      </c>
      <c r="B329" s="18" t="s">
        <v>997</v>
      </c>
      <c r="C329" s="18">
        <v>23</v>
      </c>
      <c r="D329" s="19" t="s">
        <v>986</v>
      </c>
      <c r="E329" s="20">
        <v>45023</v>
      </c>
      <c r="F329" s="18">
        <v>117</v>
      </c>
      <c r="G329" s="22">
        <v>2.4</v>
      </c>
      <c r="H329">
        <f>IF(MONTH(Call_Center[[#This Row],[Date of Call]])&lt;=6,2023,2024)</f>
        <v>2023</v>
      </c>
      <c r="I329" t="str">
        <f>TEXT(Call_Center[[#This Row],[Date of Call]],"DDDD")</f>
        <v>Friday</v>
      </c>
      <c r="J329" t="str" cm="1">
        <f t="array" ref="J329">_xlfn.IFS(Call_Center[[#This Row],[Duration]]&lt;=10,"Under 10 mins",Call_Center[[#This Row],[Duration]]&lt;=30,"10 to 30 min",Call_Center[[#This Row],[Duration]]&lt;=60,"30 to 60 min",Call_Center[[#This Row],[Duration]]&lt;=120,"1 to 2 hours",TRUE,"More than 2 hours")</f>
        <v>10 to 30 min</v>
      </c>
      <c r="K329">
        <f>ROUND(Call_Center[[#This Row],[Satisfaction Rating]],0)</f>
        <v>2</v>
      </c>
    </row>
    <row r="330" spans="1:11" x14ac:dyDescent="0.35">
      <c r="A330" s="21" t="s">
        <v>1313</v>
      </c>
      <c r="B330" s="18" t="s">
        <v>985</v>
      </c>
      <c r="C330" s="18">
        <v>104</v>
      </c>
      <c r="D330" s="19" t="s">
        <v>977</v>
      </c>
      <c r="E330" s="20">
        <v>45023</v>
      </c>
      <c r="F330" s="18">
        <v>164</v>
      </c>
      <c r="G330" s="22">
        <v>4</v>
      </c>
      <c r="H330">
        <f>IF(MONTH(Call_Center[[#This Row],[Date of Call]])&lt;=6,2023,2024)</f>
        <v>2023</v>
      </c>
      <c r="I330" t="str">
        <f>TEXT(Call_Center[[#This Row],[Date of Call]],"DDDD")</f>
        <v>Friday</v>
      </c>
      <c r="J330" t="str" cm="1">
        <f t="array" ref="J330">_xlfn.IFS(Call_Center[[#This Row],[Duration]]&lt;=10,"Under 10 mins",Call_Center[[#This Row],[Duration]]&lt;=30,"10 to 30 min",Call_Center[[#This Row],[Duration]]&lt;=60,"30 to 60 min",Call_Center[[#This Row],[Duration]]&lt;=120,"1 to 2 hours",TRUE,"More than 2 hours")</f>
        <v>1 to 2 hours</v>
      </c>
      <c r="K330">
        <f>ROUND(Call_Center[[#This Row],[Satisfaction Rating]],0)</f>
        <v>4</v>
      </c>
    </row>
    <row r="331" spans="1:11" x14ac:dyDescent="0.35">
      <c r="A331" s="21" t="s">
        <v>1314</v>
      </c>
      <c r="B331" s="18" t="s">
        <v>1018</v>
      </c>
      <c r="C331" s="18">
        <v>95</v>
      </c>
      <c r="D331" s="19" t="s">
        <v>982</v>
      </c>
      <c r="E331" s="20">
        <v>45024</v>
      </c>
      <c r="F331" s="18">
        <v>123</v>
      </c>
      <c r="G331" s="22">
        <v>4.4000000000000004</v>
      </c>
      <c r="H331">
        <f>IF(MONTH(Call_Center[[#This Row],[Date of Call]])&lt;=6,2023,2024)</f>
        <v>2023</v>
      </c>
      <c r="I331" t="str">
        <f>TEXT(Call_Center[[#This Row],[Date of Call]],"DDDD")</f>
        <v>Saturday</v>
      </c>
      <c r="J331" t="str" cm="1">
        <f t="array" ref="J331">_xlfn.IFS(Call_Center[[#This Row],[Duration]]&lt;=10,"Under 10 mins",Call_Center[[#This Row],[Duration]]&lt;=30,"10 to 30 min",Call_Center[[#This Row],[Duration]]&lt;=60,"30 to 60 min",Call_Center[[#This Row],[Duration]]&lt;=120,"1 to 2 hours",TRUE,"More than 2 hours")</f>
        <v>1 to 2 hours</v>
      </c>
      <c r="K331">
        <f>ROUND(Call_Center[[#This Row],[Satisfaction Rating]],0)</f>
        <v>4</v>
      </c>
    </row>
    <row r="332" spans="1:11" x14ac:dyDescent="0.35">
      <c r="A332" s="21" t="s">
        <v>1315</v>
      </c>
      <c r="B332" s="18" t="s">
        <v>976</v>
      </c>
      <c r="C332" s="18">
        <v>49</v>
      </c>
      <c r="D332" s="19" t="s">
        <v>967</v>
      </c>
      <c r="E332" s="20">
        <v>45024</v>
      </c>
      <c r="F332" s="18">
        <v>172</v>
      </c>
      <c r="G332" s="22">
        <v>2.9</v>
      </c>
      <c r="H332">
        <f>IF(MONTH(Call_Center[[#This Row],[Date of Call]])&lt;=6,2023,2024)</f>
        <v>2023</v>
      </c>
      <c r="I332" t="str">
        <f>TEXT(Call_Center[[#This Row],[Date of Call]],"DDDD")</f>
        <v>Saturday</v>
      </c>
      <c r="J332" t="str" cm="1">
        <f t="array" ref="J332">_xlfn.IFS(Call_Center[[#This Row],[Duration]]&lt;=10,"Under 10 mins",Call_Center[[#This Row],[Duration]]&lt;=30,"10 to 30 min",Call_Center[[#This Row],[Duration]]&lt;=60,"30 to 60 min",Call_Center[[#This Row],[Duration]]&lt;=120,"1 to 2 hours",TRUE,"More than 2 hours")</f>
        <v>30 to 60 min</v>
      </c>
      <c r="K332">
        <f>ROUND(Call_Center[[#This Row],[Satisfaction Rating]],0)</f>
        <v>3</v>
      </c>
    </row>
    <row r="333" spans="1:11" x14ac:dyDescent="0.35">
      <c r="A333" s="21" t="s">
        <v>1316</v>
      </c>
      <c r="B333" s="18" t="s">
        <v>1008</v>
      </c>
      <c r="C333" s="18">
        <v>8</v>
      </c>
      <c r="D333" s="19" t="s">
        <v>986</v>
      </c>
      <c r="E333" s="20">
        <v>45024</v>
      </c>
      <c r="F333" s="18">
        <v>20</v>
      </c>
      <c r="G333" s="22">
        <v>4.8</v>
      </c>
      <c r="H333">
        <f>IF(MONTH(Call_Center[[#This Row],[Date of Call]])&lt;=6,2023,2024)</f>
        <v>2023</v>
      </c>
      <c r="I333" t="str">
        <f>TEXT(Call_Center[[#This Row],[Date of Call]],"DDDD")</f>
        <v>Saturday</v>
      </c>
      <c r="J333" t="str" cm="1">
        <f t="array" ref="J333">_xlfn.IFS(Call_Center[[#This Row],[Duration]]&lt;=10,"Under 10 mins",Call_Center[[#This Row],[Duration]]&lt;=30,"10 to 30 min",Call_Center[[#This Row],[Duration]]&lt;=60,"30 to 60 min",Call_Center[[#This Row],[Duration]]&lt;=120,"1 to 2 hours",TRUE,"More than 2 hours")</f>
        <v>Under 10 mins</v>
      </c>
      <c r="K333">
        <f>ROUND(Call_Center[[#This Row],[Satisfaction Rating]],0)</f>
        <v>5</v>
      </c>
    </row>
    <row r="334" spans="1:11" x14ac:dyDescent="0.35">
      <c r="A334" s="21" t="s">
        <v>1317</v>
      </c>
      <c r="B334" s="18" t="s">
        <v>1018</v>
      </c>
      <c r="C334" s="18">
        <v>157</v>
      </c>
      <c r="D334" s="19" t="s">
        <v>967</v>
      </c>
      <c r="E334" s="20">
        <v>45024</v>
      </c>
      <c r="F334" s="18">
        <v>72</v>
      </c>
      <c r="G334" s="22">
        <v>3.7</v>
      </c>
      <c r="H334">
        <f>IF(MONTH(Call_Center[[#This Row],[Date of Call]])&lt;=6,2023,2024)</f>
        <v>2023</v>
      </c>
      <c r="I334" t="str">
        <f>TEXT(Call_Center[[#This Row],[Date of Call]],"DDDD")</f>
        <v>Saturday</v>
      </c>
      <c r="J334" t="str" cm="1">
        <f t="array" ref="J334">_xlfn.IFS(Call_Center[[#This Row],[Duration]]&lt;=10,"Under 10 mins",Call_Center[[#This Row],[Duration]]&lt;=30,"10 to 30 min",Call_Center[[#This Row],[Duration]]&lt;=60,"30 to 60 min",Call_Center[[#This Row],[Duration]]&lt;=120,"1 to 2 hours",TRUE,"More than 2 hours")</f>
        <v>More than 2 hours</v>
      </c>
      <c r="K334">
        <f>ROUND(Call_Center[[#This Row],[Satisfaction Rating]],0)</f>
        <v>4</v>
      </c>
    </row>
    <row r="335" spans="1:11" x14ac:dyDescent="0.35">
      <c r="A335" s="21" t="s">
        <v>1318</v>
      </c>
      <c r="B335" s="18" t="s">
        <v>971</v>
      </c>
      <c r="C335" s="18">
        <v>74</v>
      </c>
      <c r="D335" s="19" t="s">
        <v>972</v>
      </c>
      <c r="E335" s="20">
        <v>45024</v>
      </c>
      <c r="F335" s="18">
        <v>32</v>
      </c>
      <c r="G335" s="22">
        <v>4.8</v>
      </c>
      <c r="H335">
        <f>IF(MONTH(Call_Center[[#This Row],[Date of Call]])&lt;=6,2023,2024)</f>
        <v>2023</v>
      </c>
      <c r="I335" t="str">
        <f>TEXT(Call_Center[[#This Row],[Date of Call]],"DDDD")</f>
        <v>Saturday</v>
      </c>
      <c r="J335" t="str" cm="1">
        <f t="array" ref="J335">_xlfn.IFS(Call_Center[[#This Row],[Duration]]&lt;=10,"Under 10 mins",Call_Center[[#This Row],[Duration]]&lt;=30,"10 to 30 min",Call_Center[[#This Row],[Duration]]&lt;=60,"30 to 60 min",Call_Center[[#This Row],[Duration]]&lt;=120,"1 to 2 hours",TRUE,"More than 2 hours")</f>
        <v>1 to 2 hours</v>
      </c>
      <c r="K335">
        <f>ROUND(Call_Center[[#This Row],[Satisfaction Rating]],0)</f>
        <v>5</v>
      </c>
    </row>
    <row r="336" spans="1:11" x14ac:dyDescent="0.35">
      <c r="A336" s="21" t="s">
        <v>1319</v>
      </c>
      <c r="B336" s="18" t="s">
        <v>997</v>
      </c>
      <c r="C336" s="18">
        <v>72</v>
      </c>
      <c r="D336" s="19" t="s">
        <v>982</v>
      </c>
      <c r="E336" s="20">
        <v>45024</v>
      </c>
      <c r="F336" s="18">
        <v>140</v>
      </c>
      <c r="G336" s="22">
        <v>3.2</v>
      </c>
      <c r="H336">
        <f>IF(MONTH(Call_Center[[#This Row],[Date of Call]])&lt;=6,2023,2024)</f>
        <v>2023</v>
      </c>
      <c r="I336" t="str">
        <f>TEXT(Call_Center[[#This Row],[Date of Call]],"DDDD")</f>
        <v>Saturday</v>
      </c>
      <c r="J336" t="str" cm="1">
        <f t="array" ref="J336">_xlfn.IFS(Call_Center[[#This Row],[Duration]]&lt;=10,"Under 10 mins",Call_Center[[#This Row],[Duration]]&lt;=30,"10 to 30 min",Call_Center[[#This Row],[Duration]]&lt;=60,"30 to 60 min",Call_Center[[#This Row],[Duration]]&lt;=120,"1 to 2 hours",TRUE,"More than 2 hours")</f>
        <v>1 to 2 hours</v>
      </c>
      <c r="K336">
        <f>ROUND(Call_Center[[#This Row],[Satisfaction Rating]],0)</f>
        <v>3</v>
      </c>
    </row>
    <row r="337" spans="1:11" x14ac:dyDescent="0.35">
      <c r="A337" s="21" t="s">
        <v>1320</v>
      </c>
      <c r="B337" s="18" t="s">
        <v>971</v>
      </c>
      <c r="C337" s="18">
        <v>79</v>
      </c>
      <c r="D337" s="19" t="s">
        <v>972</v>
      </c>
      <c r="E337" s="20">
        <v>45025</v>
      </c>
      <c r="F337" s="18">
        <v>120</v>
      </c>
      <c r="G337" s="22">
        <v>4.9000000000000004</v>
      </c>
      <c r="H337">
        <f>IF(MONTH(Call_Center[[#This Row],[Date of Call]])&lt;=6,2023,2024)</f>
        <v>2023</v>
      </c>
      <c r="I337" t="str">
        <f>TEXT(Call_Center[[#This Row],[Date of Call]],"DDDD")</f>
        <v>Sunday</v>
      </c>
      <c r="J337" t="str" cm="1">
        <f t="array" ref="J337">_xlfn.IFS(Call_Center[[#This Row],[Duration]]&lt;=10,"Under 10 mins",Call_Center[[#This Row],[Duration]]&lt;=30,"10 to 30 min",Call_Center[[#This Row],[Duration]]&lt;=60,"30 to 60 min",Call_Center[[#This Row],[Duration]]&lt;=120,"1 to 2 hours",TRUE,"More than 2 hours")</f>
        <v>1 to 2 hours</v>
      </c>
      <c r="K337">
        <f>ROUND(Call_Center[[#This Row],[Satisfaction Rating]],0)</f>
        <v>5</v>
      </c>
    </row>
    <row r="338" spans="1:11" x14ac:dyDescent="0.35">
      <c r="A338" s="21" t="s">
        <v>1321</v>
      </c>
      <c r="B338" s="18" t="s">
        <v>1005</v>
      </c>
      <c r="C338" s="18">
        <v>23</v>
      </c>
      <c r="D338" s="19" t="s">
        <v>972</v>
      </c>
      <c r="E338" s="20">
        <v>45025</v>
      </c>
      <c r="F338" s="18">
        <v>86</v>
      </c>
      <c r="G338" s="22">
        <v>2.2000000000000002</v>
      </c>
      <c r="H338">
        <f>IF(MONTH(Call_Center[[#This Row],[Date of Call]])&lt;=6,2023,2024)</f>
        <v>2023</v>
      </c>
      <c r="I338" t="str">
        <f>TEXT(Call_Center[[#This Row],[Date of Call]],"DDDD")</f>
        <v>Sunday</v>
      </c>
      <c r="J338" t="str" cm="1">
        <f t="array" ref="J338">_xlfn.IFS(Call_Center[[#This Row],[Duration]]&lt;=10,"Under 10 mins",Call_Center[[#This Row],[Duration]]&lt;=30,"10 to 30 min",Call_Center[[#This Row],[Duration]]&lt;=60,"30 to 60 min",Call_Center[[#This Row],[Duration]]&lt;=120,"1 to 2 hours",TRUE,"More than 2 hours")</f>
        <v>10 to 30 min</v>
      </c>
      <c r="K338">
        <f>ROUND(Call_Center[[#This Row],[Satisfaction Rating]],0)</f>
        <v>2</v>
      </c>
    </row>
    <row r="339" spans="1:11" x14ac:dyDescent="0.35">
      <c r="A339" s="21" t="s">
        <v>1322</v>
      </c>
      <c r="B339" s="18" t="s">
        <v>969</v>
      </c>
      <c r="C339" s="18">
        <v>69</v>
      </c>
      <c r="D339" s="19" t="s">
        <v>972</v>
      </c>
      <c r="E339" s="20">
        <v>45025</v>
      </c>
      <c r="F339" s="18">
        <v>132</v>
      </c>
      <c r="G339" s="22">
        <v>5</v>
      </c>
      <c r="H339">
        <f>IF(MONTH(Call_Center[[#This Row],[Date of Call]])&lt;=6,2023,2024)</f>
        <v>2023</v>
      </c>
      <c r="I339" t="str">
        <f>TEXT(Call_Center[[#This Row],[Date of Call]],"DDDD")</f>
        <v>Sunday</v>
      </c>
      <c r="J339" t="str" cm="1">
        <f t="array" ref="J339">_xlfn.IFS(Call_Center[[#This Row],[Duration]]&lt;=10,"Under 10 mins",Call_Center[[#This Row],[Duration]]&lt;=30,"10 to 30 min",Call_Center[[#This Row],[Duration]]&lt;=60,"30 to 60 min",Call_Center[[#This Row],[Duration]]&lt;=120,"1 to 2 hours",TRUE,"More than 2 hours")</f>
        <v>1 to 2 hours</v>
      </c>
      <c r="K339">
        <f>ROUND(Call_Center[[#This Row],[Satisfaction Rating]],0)</f>
        <v>5</v>
      </c>
    </row>
    <row r="340" spans="1:11" x14ac:dyDescent="0.35">
      <c r="A340" s="21" t="s">
        <v>1323</v>
      </c>
      <c r="B340" s="18" t="s">
        <v>1000</v>
      </c>
      <c r="C340" s="18">
        <v>64</v>
      </c>
      <c r="D340" s="19" t="s">
        <v>972</v>
      </c>
      <c r="E340" s="20">
        <v>45025</v>
      </c>
      <c r="F340" s="18">
        <v>80</v>
      </c>
      <c r="G340" s="22">
        <v>3.3</v>
      </c>
      <c r="H340">
        <f>IF(MONTH(Call_Center[[#This Row],[Date of Call]])&lt;=6,2023,2024)</f>
        <v>2023</v>
      </c>
      <c r="I340" t="str">
        <f>TEXT(Call_Center[[#This Row],[Date of Call]],"DDDD")</f>
        <v>Sunday</v>
      </c>
      <c r="J340" t="str" cm="1">
        <f t="array" ref="J340">_xlfn.IFS(Call_Center[[#This Row],[Duration]]&lt;=10,"Under 10 mins",Call_Center[[#This Row],[Duration]]&lt;=30,"10 to 30 min",Call_Center[[#This Row],[Duration]]&lt;=60,"30 to 60 min",Call_Center[[#This Row],[Duration]]&lt;=120,"1 to 2 hours",TRUE,"More than 2 hours")</f>
        <v>1 to 2 hours</v>
      </c>
      <c r="K340">
        <f>ROUND(Call_Center[[#This Row],[Satisfaction Rating]],0)</f>
        <v>3</v>
      </c>
    </row>
    <row r="341" spans="1:11" x14ac:dyDescent="0.35">
      <c r="A341" s="21" t="s">
        <v>1324</v>
      </c>
      <c r="B341" s="18" t="s">
        <v>991</v>
      </c>
      <c r="C341" s="18">
        <v>47</v>
      </c>
      <c r="D341" s="19" t="s">
        <v>967</v>
      </c>
      <c r="E341" s="20">
        <v>45025</v>
      </c>
      <c r="F341" s="18">
        <v>132</v>
      </c>
      <c r="G341" s="22">
        <v>3.7</v>
      </c>
      <c r="H341">
        <f>IF(MONTH(Call_Center[[#This Row],[Date of Call]])&lt;=6,2023,2024)</f>
        <v>2023</v>
      </c>
      <c r="I341" t="str">
        <f>TEXT(Call_Center[[#This Row],[Date of Call]],"DDDD")</f>
        <v>Sunday</v>
      </c>
      <c r="J341" t="str" cm="1">
        <f t="array" ref="J341">_xlfn.IFS(Call_Center[[#This Row],[Duration]]&lt;=10,"Under 10 mins",Call_Center[[#This Row],[Duration]]&lt;=30,"10 to 30 min",Call_Center[[#This Row],[Duration]]&lt;=60,"30 to 60 min",Call_Center[[#This Row],[Duration]]&lt;=120,"1 to 2 hours",TRUE,"More than 2 hours")</f>
        <v>30 to 60 min</v>
      </c>
      <c r="K341">
        <f>ROUND(Call_Center[[#This Row],[Satisfaction Rating]],0)</f>
        <v>4</v>
      </c>
    </row>
    <row r="342" spans="1:11" x14ac:dyDescent="0.35">
      <c r="A342" s="21" t="s">
        <v>1325</v>
      </c>
      <c r="B342" s="18" t="s">
        <v>971</v>
      </c>
      <c r="C342" s="18">
        <v>55</v>
      </c>
      <c r="D342" s="19" t="s">
        <v>982</v>
      </c>
      <c r="E342" s="20">
        <v>45025</v>
      </c>
      <c r="F342" s="18">
        <v>27</v>
      </c>
      <c r="G342" s="22">
        <v>3.7</v>
      </c>
      <c r="H342">
        <f>IF(MONTH(Call_Center[[#This Row],[Date of Call]])&lt;=6,2023,2024)</f>
        <v>2023</v>
      </c>
      <c r="I342" t="str">
        <f>TEXT(Call_Center[[#This Row],[Date of Call]],"DDDD")</f>
        <v>Sunday</v>
      </c>
      <c r="J342" t="str" cm="1">
        <f t="array" ref="J342">_xlfn.IFS(Call_Center[[#This Row],[Duration]]&lt;=10,"Under 10 mins",Call_Center[[#This Row],[Duration]]&lt;=30,"10 to 30 min",Call_Center[[#This Row],[Duration]]&lt;=60,"30 to 60 min",Call_Center[[#This Row],[Duration]]&lt;=120,"1 to 2 hours",TRUE,"More than 2 hours")</f>
        <v>30 to 60 min</v>
      </c>
      <c r="K342">
        <f>ROUND(Call_Center[[#This Row],[Satisfaction Rating]],0)</f>
        <v>4</v>
      </c>
    </row>
    <row r="343" spans="1:11" x14ac:dyDescent="0.35">
      <c r="A343" s="21" t="s">
        <v>1326</v>
      </c>
      <c r="B343" s="18" t="s">
        <v>985</v>
      </c>
      <c r="C343" s="18">
        <v>104</v>
      </c>
      <c r="D343" s="19" t="s">
        <v>982</v>
      </c>
      <c r="E343" s="20">
        <v>45026</v>
      </c>
      <c r="F343" s="18">
        <v>68</v>
      </c>
      <c r="G343" s="22">
        <v>3.6</v>
      </c>
      <c r="H343">
        <f>IF(MONTH(Call_Center[[#This Row],[Date of Call]])&lt;=6,2023,2024)</f>
        <v>2023</v>
      </c>
      <c r="I343" t="str">
        <f>TEXT(Call_Center[[#This Row],[Date of Call]],"DDDD")</f>
        <v>Monday</v>
      </c>
      <c r="J343" t="str" cm="1">
        <f t="array" ref="J343">_xlfn.IFS(Call_Center[[#This Row],[Duration]]&lt;=10,"Under 10 mins",Call_Center[[#This Row],[Duration]]&lt;=30,"10 to 30 min",Call_Center[[#This Row],[Duration]]&lt;=60,"30 to 60 min",Call_Center[[#This Row],[Duration]]&lt;=120,"1 to 2 hours",TRUE,"More than 2 hours")</f>
        <v>1 to 2 hours</v>
      </c>
      <c r="K343">
        <f>ROUND(Call_Center[[#This Row],[Satisfaction Rating]],0)</f>
        <v>4</v>
      </c>
    </row>
    <row r="344" spans="1:11" x14ac:dyDescent="0.35">
      <c r="A344" s="21" t="s">
        <v>1327</v>
      </c>
      <c r="B344" s="18" t="s">
        <v>991</v>
      </c>
      <c r="C344" s="18">
        <v>116</v>
      </c>
      <c r="D344" s="19" t="s">
        <v>972</v>
      </c>
      <c r="E344" s="20">
        <v>45026</v>
      </c>
      <c r="F344" s="18">
        <v>22</v>
      </c>
      <c r="G344" s="22">
        <v>4.7</v>
      </c>
      <c r="H344">
        <f>IF(MONTH(Call_Center[[#This Row],[Date of Call]])&lt;=6,2023,2024)</f>
        <v>2023</v>
      </c>
      <c r="I344" t="str">
        <f>TEXT(Call_Center[[#This Row],[Date of Call]],"DDDD")</f>
        <v>Monday</v>
      </c>
      <c r="J344" t="str" cm="1">
        <f t="array" ref="J344">_xlfn.IFS(Call_Center[[#This Row],[Duration]]&lt;=10,"Under 10 mins",Call_Center[[#This Row],[Duration]]&lt;=30,"10 to 30 min",Call_Center[[#This Row],[Duration]]&lt;=60,"30 to 60 min",Call_Center[[#This Row],[Duration]]&lt;=120,"1 to 2 hours",TRUE,"More than 2 hours")</f>
        <v>1 to 2 hours</v>
      </c>
      <c r="K344">
        <f>ROUND(Call_Center[[#This Row],[Satisfaction Rating]],0)</f>
        <v>5</v>
      </c>
    </row>
    <row r="345" spans="1:11" x14ac:dyDescent="0.35">
      <c r="A345" s="21" t="s">
        <v>1328</v>
      </c>
      <c r="B345" s="18" t="s">
        <v>1005</v>
      </c>
      <c r="C345" s="18">
        <v>99</v>
      </c>
      <c r="D345" s="19" t="s">
        <v>982</v>
      </c>
      <c r="E345" s="20">
        <v>45026</v>
      </c>
      <c r="F345" s="18">
        <v>42</v>
      </c>
      <c r="G345" s="22">
        <v>3.1</v>
      </c>
      <c r="H345">
        <f>IF(MONTH(Call_Center[[#This Row],[Date of Call]])&lt;=6,2023,2024)</f>
        <v>2023</v>
      </c>
      <c r="I345" t="str">
        <f>TEXT(Call_Center[[#This Row],[Date of Call]],"DDDD")</f>
        <v>Monday</v>
      </c>
      <c r="J345" t="str" cm="1">
        <f t="array" ref="J345">_xlfn.IFS(Call_Center[[#This Row],[Duration]]&lt;=10,"Under 10 mins",Call_Center[[#This Row],[Duration]]&lt;=30,"10 to 30 min",Call_Center[[#This Row],[Duration]]&lt;=60,"30 to 60 min",Call_Center[[#This Row],[Duration]]&lt;=120,"1 to 2 hours",TRUE,"More than 2 hours")</f>
        <v>1 to 2 hours</v>
      </c>
      <c r="K345">
        <f>ROUND(Call_Center[[#This Row],[Satisfaction Rating]],0)</f>
        <v>3</v>
      </c>
    </row>
    <row r="346" spans="1:11" x14ac:dyDescent="0.35">
      <c r="A346" s="21" t="s">
        <v>1329</v>
      </c>
      <c r="B346" s="18" t="s">
        <v>985</v>
      </c>
      <c r="C346" s="18">
        <v>84</v>
      </c>
      <c r="D346" s="19" t="s">
        <v>982</v>
      </c>
      <c r="E346" s="20">
        <v>45027</v>
      </c>
      <c r="F346" s="18">
        <v>38</v>
      </c>
      <c r="G346" s="22">
        <v>3.3</v>
      </c>
      <c r="H346">
        <f>IF(MONTH(Call_Center[[#This Row],[Date of Call]])&lt;=6,2023,2024)</f>
        <v>2023</v>
      </c>
      <c r="I346" t="str">
        <f>TEXT(Call_Center[[#This Row],[Date of Call]],"DDDD")</f>
        <v>Tuesday</v>
      </c>
      <c r="J346" t="str" cm="1">
        <f t="array" ref="J346">_xlfn.IFS(Call_Center[[#This Row],[Duration]]&lt;=10,"Under 10 mins",Call_Center[[#This Row],[Duration]]&lt;=30,"10 to 30 min",Call_Center[[#This Row],[Duration]]&lt;=60,"30 to 60 min",Call_Center[[#This Row],[Duration]]&lt;=120,"1 to 2 hours",TRUE,"More than 2 hours")</f>
        <v>1 to 2 hours</v>
      </c>
      <c r="K346">
        <f>ROUND(Call_Center[[#This Row],[Satisfaction Rating]],0)</f>
        <v>3</v>
      </c>
    </row>
    <row r="347" spans="1:11" x14ac:dyDescent="0.35">
      <c r="A347" s="21" t="s">
        <v>1330</v>
      </c>
      <c r="B347" s="18" t="s">
        <v>1008</v>
      </c>
      <c r="C347" s="18">
        <v>159</v>
      </c>
      <c r="D347" s="19" t="s">
        <v>982</v>
      </c>
      <c r="E347" s="20">
        <v>45027</v>
      </c>
      <c r="F347" s="18">
        <v>42</v>
      </c>
      <c r="G347" s="22">
        <v>4.5</v>
      </c>
      <c r="H347">
        <f>IF(MONTH(Call_Center[[#This Row],[Date of Call]])&lt;=6,2023,2024)</f>
        <v>2023</v>
      </c>
      <c r="I347" t="str">
        <f>TEXT(Call_Center[[#This Row],[Date of Call]],"DDDD")</f>
        <v>Tuesday</v>
      </c>
      <c r="J347" t="str" cm="1">
        <f t="array" ref="J347">_xlfn.IFS(Call_Center[[#This Row],[Duration]]&lt;=10,"Under 10 mins",Call_Center[[#This Row],[Duration]]&lt;=30,"10 to 30 min",Call_Center[[#This Row],[Duration]]&lt;=60,"30 to 60 min",Call_Center[[#This Row],[Duration]]&lt;=120,"1 to 2 hours",TRUE,"More than 2 hours")</f>
        <v>More than 2 hours</v>
      </c>
      <c r="K347">
        <f>ROUND(Call_Center[[#This Row],[Satisfaction Rating]],0)</f>
        <v>5</v>
      </c>
    </row>
    <row r="348" spans="1:11" x14ac:dyDescent="0.35">
      <c r="A348" s="21" t="s">
        <v>1331</v>
      </c>
      <c r="B348" s="18" t="s">
        <v>980</v>
      </c>
      <c r="C348" s="18">
        <v>25</v>
      </c>
      <c r="D348" s="19" t="s">
        <v>967</v>
      </c>
      <c r="E348" s="20">
        <v>45027</v>
      </c>
      <c r="F348" s="18">
        <v>75</v>
      </c>
      <c r="G348" s="22">
        <v>3.9</v>
      </c>
      <c r="H348">
        <f>IF(MONTH(Call_Center[[#This Row],[Date of Call]])&lt;=6,2023,2024)</f>
        <v>2023</v>
      </c>
      <c r="I348" t="str">
        <f>TEXT(Call_Center[[#This Row],[Date of Call]],"DDDD")</f>
        <v>Tuesday</v>
      </c>
      <c r="J348" t="str" cm="1">
        <f t="array" ref="J348">_xlfn.IFS(Call_Center[[#This Row],[Duration]]&lt;=10,"Under 10 mins",Call_Center[[#This Row],[Duration]]&lt;=30,"10 to 30 min",Call_Center[[#This Row],[Duration]]&lt;=60,"30 to 60 min",Call_Center[[#This Row],[Duration]]&lt;=120,"1 to 2 hours",TRUE,"More than 2 hours")</f>
        <v>10 to 30 min</v>
      </c>
      <c r="K348">
        <f>ROUND(Call_Center[[#This Row],[Satisfaction Rating]],0)</f>
        <v>4</v>
      </c>
    </row>
    <row r="349" spans="1:11" x14ac:dyDescent="0.35">
      <c r="A349" s="21" t="s">
        <v>1332</v>
      </c>
      <c r="B349" s="18" t="s">
        <v>1008</v>
      </c>
      <c r="C349" s="18">
        <v>53</v>
      </c>
      <c r="D349" s="19" t="s">
        <v>986</v>
      </c>
      <c r="E349" s="20">
        <v>45028</v>
      </c>
      <c r="F349" s="18">
        <v>23</v>
      </c>
      <c r="G349" s="22">
        <v>4.9000000000000004</v>
      </c>
      <c r="H349">
        <f>IF(MONTH(Call_Center[[#This Row],[Date of Call]])&lt;=6,2023,2024)</f>
        <v>2023</v>
      </c>
      <c r="I349" t="str">
        <f>TEXT(Call_Center[[#This Row],[Date of Call]],"DDDD")</f>
        <v>Wednesday</v>
      </c>
      <c r="J349" t="str" cm="1">
        <f t="array" ref="J349">_xlfn.IFS(Call_Center[[#This Row],[Duration]]&lt;=10,"Under 10 mins",Call_Center[[#This Row],[Duration]]&lt;=30,"10 to 30 min",Call_Center[[#This Row],[Duration]]&lt;=60,"30 to 60 min",Call_Center[[#This Row],[Duration]]&lt;=120,"1 to 2 hours",TRUE,"More than 2 hours")</f>
        <v>30 to 60 min</v>
      </c>
      <c r="K349">
        <f>ROUND(Call_Center[[#This Row],[Satisfaction Rating]],0)</f>
        <v>5</v>
      </c>
    </row>
    <row r="350" spans="1:11" x14ac:dyDescent="0.35">
      <c r="A350" s="21" t="s">
        <v>1333</v>
      </c>
      <c r="B350" s="18" t="s">
        <v>1008</v>
      </c>
      <c r="C350" s="18">
        <v>89</v>
      </c>
      <c r="D350" s="19" t="s">
        <v>967</v>
      </c>
      <c r="E350" s="20">
        <v>45028</v>
      </c>
      <c r="F350" s="18">
        <v>200</v>
      </c>
      <c r="G350" s="22">
        <v>4.8</v>
      </c>
      <c r="H350">
        <f>IF(MONTH(Call_Center[[#This Row],[Date of Call]])&lt;=6,2023,2024)</f>
        <v>2023</v>
      </c>
      <c r="I350" t="str">
        <f>TEXT(Call_Center[[#This Row],[Date of Call]],"DDDD")</f>
        <v>Wednesday</v>
      </c>
      <c r="J350" t="str" cm="1">
        <f t="array" ref="J350">_xlfn.IFS(Call_Center[[#This Row],[Duration]]&lt;=10,"Under 10 mins",Call_Center[[#This Row],[Duration]]&lt;=30,"10 to 30 min",Call_Center[[#This Row],[Duration]]&lt;=60,"30 to 60 min",Call_Center[[#This Row],[Duration]]&lt;=120,"1 to 2 hours",TRUE,"More than 2 hours")</f>
        <v>1 to 2 hours</v>
      </c>
      <c r="K350">
        <f>ROUND(Call_Center[[#This Row],[Satisfaction Rating]],0)</f>
        <v>5</v>
      </c>
    </row>
    <row r="351" spans="1:11" x14ac:dyDescent="0.35">
      <c r="A351" s="21" t="s">
        <v>1334</v>
      </c>
      <c r="B351" s="18" t="s">
        <v>974</v>
      </c>
      <c r="C351" s="18">
        <v>73</v>
      </c>
      <c r="D351" s="19" t="s">
        <v>972</v>
      </c>
      <c r="E351" s="20">
        <v>45029</v>
      </c>
      <c r="F351" s="18">
        <v>45</v>
      </c>
      <c r="G351" s="22">
        <v>3.6</v>
      </c>
      <c r="H351">
        <f>IF(MONTH(Call_Center[[#This Row],[Date of Call]])&lt;=6,2023,2024)</f>
        <v>2023</v>
      </c>
      <c r="I351" t="str">
        <f>TEXT(Call_Center[[#This Row],[Date of Call]],"DDDD")</f>
        <v>Thursday</v>
      </c>
      <c r="J351" t="str" cm="1">
        <f t="array" ref="J351">_xlfn.IFS(Call_Center[[#This Row],[Duration]]&lt;=10,"Under 10 mins",Call_Center[[#This Row],[Duration]]&lt;=30,"10 to 30 min",Call_Center[[#This Row],[Duration]]&lt;=60,"30 to 60 min",Call_Center[[#This Row],[Duration]]&lt;=120,"1 to 2 hours",TRUE,"More than 2 hours")</f>
        <v>1 to 2 hours</v>
      </c>
      <c r="K351">
        <f>ROUND(Call_Center[[#This Row],[Satisfaction Rating]],0)</f>
        <v>4</v>
      </c>
    </row>
    <row r="352" spans="1:11" x14ac:dyDescent="0.35">
      <c r="A352" s="21" t="s">
        <v>1335</v>
      </c>
      <c r="B352" s="18" t="s">
        <v>1005</v>
      </c>
      <c r="C352" s="18">
        <v>50</v>
      </c>
      <c r="D352" s="19" t="s">
        <v>972</v>
      </c>
      <c r="E352" s="20">
        <v>45029</v>
      </c>
      <c r="F352" s="18">
        <v>105</v>
      </c>
      <c r="G352" s="22">
        <v>3.5</v>
      </c>
      <c r="H352">
        <f>IF(MONTH(Call_Center[[#This Row],[Date of Call]])&lt;=6,2023,2024)</f>
        <v>2023</v>
      </c>
      <c r="I352" t="str">
        <f>TEXT(Call_Center[[#This Row],[Date of Call]],"DDDD")</f>
        <v>Thursday</v>
      </c>
      <c r="J352" t="str" cm="1">
        <f t="array" ref="J352">_xlfn.IFS(Call_Center[[#This Row],[Duration]]&lt;=10,"Under 10 mins",Call_Center[[#This Row],[Duration]]&lt;=30,"10 to 30 min",Call_Center[[#This Row],[Duration]]&lt;=60,"30 to 60 min",Call_Center[[#This Row],[Duration]]&lt;=120,"1 to 2 hours",TRUE,"More than 2 hours")</f>
        <v>30 to 60 min</v>
      </c>
      <c r="K352">
        <f>ROUND(Call_Center[[#This Row],[Satisfaction Rating]],0)</f>
        <v>4</v>
      </c>
    </row>
    <row r="353" spans="1:11" x14ac:dyDescent="0.35">
      <c r="A353" s="21" t="s">
        <v>1336</v>
      </c>
      <c r="B353" s="18" t="s">
        <v>976</v>
      </c>
      <c r="C353" s="18">
        <v>98</v>
      </c>
      <c r="D353" s="19" t="s">
        <v>972</v>
      </c>
      <c r="E353" s="20">
        <v>45029</v>
      </c>
      <c r="F353" s="18">
        <v>22</v>
      </c>
      <c r="G353" s="22">
        <v>3.8</v>
      </c>
      <c r="H353">
        <f>IF(MONTH(Call_Center[[#This Row],[Date of Call]])&lt;=6,2023,2024)</f>
        <v>2023</v>
      </c>
      <c r="I353" t="str">
        <f>TEXT(Call_Center[[#This Row],[Date of Call]],"DDDD")</f>
        <v>Thursday</v>
      </c>
      <c r="J353" t="str" cm="1">
        <f t="array" ref="J353">_xlfn.IFS(Call_Center[[#This Row],[Duration]]&lt;=10,"Under 10 mins",Call_Center[[#This Row],[Duration]]&lt;=30,"10 to 30 min",Call_Center[[#This Row],[Duration]]&lt;=60,"30 to 60 min",Call_Center[[#This Row],[Duration]]&lt;=120,"1 to 2 hours",TRUE,"More than 2 hours")</f>
        <v>1 to 2 hours</v>
      </c>
      <c r="K353">
        <f>ROUND(Call_Center[[#This Row],[Satisfaction Rating]],0)</f>
        <v>4</v>
      </c>
    </row>
    <row r="354" spans="1:11" x14ac:dyDescent="0.35">
      <c r="A354" s="21" t="s">
        <v>1337</v>
      </c>
      <c r="B354" s="18" t="s">
        <v>989</v>
      </c>
      <c r="C354" s="18">
        <v>114</v>
      </c>
      <c r="D354" s="19" t="s">
        <v>982</v>
      </c>
      <c r="E354" s="20">
        <v>45030</v>
      </c>
      <c r="F354" s="18">
        <v>126</v>
      </c>
      <c r="G354" s="22">
        <v>4.4000000000000004</v>
      </c>
      <c r="H354">
        <f>IF(MONTH(Call_Center[[#This Row],[Date of Call]])&lt;=6,2023,2024)</f>
        <v>2023</v>
      </c>
      <c r="I354" t="str">
        <f>TEXT(Call_Center[[#This Row],[Date of Call]],"DDDD")</f>
        <v>Friday</v>
      </c>
      <c r="J354" t="str" cm="1">
        <f t="array" ref="J354">_xlfn.IFS(Call_Center[[#This Row],[Duration]]&lt;=10,"Under 10 mins",Call_Center[[#This Row],[Duration]]&lt;=30,"10 to 30 min",Call_Center[[#This Row],[Duration]]&lt;=60,"30 to 60 min",Call_Center[[#This Row],[Duration]]&lt;=120,"1 to 2 hours",TRUE,"More than 2 hours")</f>
        <v>1 to 2 hours</v>
      </c>
      <c r="K354">
        <f>ROUND(Call_Center[[#This Row],[Satisfaction Rating]],0)</f>
        <v>4</v>
      </c>
    </row>
    <row r="355" spans="1:11" x14ac:dyDescent="0.35">
      <c r="A355" s="21" t="s">
        <v>1338</v>
      </c>
      <c r="B355" s="18" t="s">
        <v>1000</v>
      </c>
      <c r="C355" s="18">
        <v>67</v>
      </c>
      <c r="D355" s="19" t="s">
        <v>982</v>
      </c>
      <c r="E355" s="20">
        <v>45030</v>
      </c>
      <c r="F355" s="18">
        <v>35</v>
      </c>
      <c r="G355" s="22">
        <v>3</v>
      </c>
      <c r="H355">
        <f>IF(MONTH(Call_Center[[#This Row],[Date of Call]])&lt;=6,2023,2024)</f>
        <v>2023</v>
      </c>
      <c r="I355" t="str">
        <f>TEXT(Call_Center[[#This Row],[Date of Call]],"DDDD")</f>
        <v>Friday</v>
      </c>
      <c r="J355" t="str" cm="1">
        <f t="array" ref="J355">_xlfn.IFS(Call_Center[[#This Row],[Duration]]&lt;=10,"Under 10 mins",Call_Center[[#This Row],[Duration]]&lt;=30,"10 to 30 min",Call_Center[[#This Row],[Duration]]&lt;=60,"30 to 60 min",Call_Center[[#This Row],[Duration]]&lt;=120,"1 to 2 hours",TRUE,"More than 2 hours")</f>
        <v>1 to 2 hours</v>
      </c>
      <c r="K355">
        <f>ROUND(Call_Center[[#This Row],[Satisfaction Rating]],0)</f>
        <v>3</v>
      </c>
    </row>
    <row r="356" spans="1:11" x14ac:dyDescent="0.35">
      <c r="A356" s="21" t="s">
        <v>1339</v>
      </c>
      <c r="B356" s="18" t="s">
        <v>971</v>
      </c>
      <c r="C356" s="18">
        <v>91</v>
      </c>
      <c r="D356" s="19" t="s">
        <v>972</v>
      </c>
      <c r="E356" s="20">
        <v>45030</v>
      </c>
      <c r="F356" s="18">
        <v>84</v>
      </c>
      <c r="G356" s="22">
        <v>4.5</v>
      </c>
      <c r="H356">
        <f>IF(MONTH(Call_Center[[#This Row],[Date of Call]])&lt;=6,2023,2024)</f>
        <v>2023</v>
      </c>
      <c r="I356" t="str">
        <f>TEXT(Call_Center[[#This Row],[Date of Call]],"DDDD")</f>
        <v>Friday</v>
      </c>
      <c r="J356" t="str" cm="1">
        <f t="array" ref="J356">_xlfn.IFS(Call_Center[[#This Row],[Duration]]&lt;=10,"Under 10 mins",Call_Center[[#This Row],[Duration]]&lt;=30,"10 to 30 min",Call_Center[[#This Row],[Duration]]&lt;=60,"30 to 60 min",Call_Center[[#This Row],[Duration]]&lt;=120,"1 to 2 hours",TRUE,"More than 2 hours")</f>
        <v>1 to 2 hours</v>
      </c>
      <c r="K356">
        <f>ROUND(Call_Center[[#This Row],[Satisfaction Rating]],0)</f>
        <v>5</v>
      </c>
    </row>
    <row r="357" spans="1:11" x14ac:dyDescent="0.35">
      <c r="A357" s="21" t="s">
        <v>1340</v>
      </c>
      <c r="B357" s="18" t="s">
        <v>1038</v>
      </c>
      <c r="C357" s="18">
        <v>67</v>
      </c>
      <c r="D357" s="19" t="s">
        <v>972</v>
      </c>
      <c r="E357" s="20">
        <v>45031</v>
      </c>
      <c r="F357" s="18">
        <v>172</v>
      </c>
      <c r="G357" s="22">
        <v>4.5</v>
      </c>
      <c r="H357">
        <f>IF(MONTH(Call_Center[[#This Row],[Date of Call]])&lt;=6,2023,2024)</f>
        <v>2023</v>
      </c>
      <c r="I357" t="str">
        <f>TEXT(Call_Center[[#This Row],[Date of Call]],"DDDD")</f>
        <v>Saturday</v>
      </c>
      <c r="J357" t="str" cm="1">
        <f t="array" ref="J357">_xlfn.IFS(Call_Center[[#This Row],[Duration]]&lt;=10,"Under 10 mins",Call_Center[[#This Row],[Duration]]&lt;=30,"10 to 30 min",Call_Center[[#This Row],[Duration]]&lt;=60,"30 to 60 min",Call_Center[[#This Row],[Duration]]&lt;=120,"1 to 2 hours",TRUE,"More than 2 hours")</f>
        <v>1 to 2 hours</v>
      </c>
      <c r="K357">
        <f>ROUND(Call_Center[[#This Row],[Satisfaction Rating]],0)</f>
        <v>5</v>
      </c>
    </row>
    <row r="358" spans="1:11" x14ac:dyDescent="0.35">
      <c r="A358" s="21" t="s">
        <v>1341</v>
      </c>
      <c r="B358" s="18" t="s">
        <v>989</v>
      </c>
      <c r="C358" s="18">
        <v>139</v>
      </c>
      <c r="D358" s="19" t="s">
        <v>967</v>
      </c>
      <c r="E358" s="20">
        <v>45031</v>
      </c>
      <c r="F358" s="18">
        <v>114</v>
      </c>
      <c r="G358" s="22">
        <v>4</v>
      </c>
      <c r="H358">
        <f>IF(MONTH(Call_Center[[#This Row],[Date of Call]])&lt;=6,2023,2024)</f>
        <v>2023</v>
      </c>
      <c r="I358" t="str">
        <f>TEXT(Call_Center[[#This Row],[Date of Call]],"DDDD")</f>
        <v>Saturday</v>
      </c>
      <c r="J358" t="str" cm="1">
        <f t="array" ref="J358">_xlfn.IFS(Call_Center[[#This Row],[Duration]]&lt;=10,"Under 10 mins",Call_Center[[#This Row],[Duration]]&lt;=30,"10 to 30 min",Call_Center[[#This Row],[Duration]]&lt;=60,"30 to 60 min",Call_Center[[#This Row],[Duration]]&lt;=120,"1 to 2 hours",TRUE,"More than 2 hours")</f>
        <v>More than 2 hours</v>
      </c>
      <c r="K358">
        <f>ROUND(Call_Center[[#This Row],[Satisfaction Rating]],0)</f>
        <v>4</v>
      </c>
    </row>
    <row r="359" spans="1:11" x14ac:dyDescent="0.35">
      <c r="A359" s="21" t="s">
        <v>1342</v>
      </c>
      <c r="B359" s="18" t="s">
        <v>1038</v>
      </c>
      <c r="C359" s="18">
        <v>102</v>
      </c>
      <c r="D359" s="19" t="s">
        <v>967</v>
      </c>
      <c r="E359" s="20">
        <v>45031</v>
      </c>
      <c r="F359" s="18">
        <v>60</v>
      </c>
      <c r="G359" s="22">
        <v>3.8</v>
      </c>
      <c r="H359">
        <f>IF(MONTH(Call_Center[[#This Row],[Date of Call]])&lt;=6,2023,2024)</f>
        <v>2023</v>
      </c>
      <c r="I359" t="str">
        <f>TEXT(Call_Center[[#This Row],[Date of Call]],"DDDD")</f>
        <v>Saturday</v>
      </c>
      <c r="J359" t="str" cm="1">
        <f t="array" ref="J359">_xlfn.IFS(Call_Center[[#This Row],[Duration]]&lt;=10,"Under 10 mins",Call_Center[[#This Row],[Duration]]&lt;=30,"10 to 30 min",Call_Center[[#This Row],[Duration]]&lt;=60,"30 to 60 min",Call_Center[[#This Row],[Duration]]&lt;=120,"1 to 2 hours",TRUE,"More than 2 hours")</f>
        <v>1 to 2 hours</v>
      </c>
      <c r="K359">
        <f>ROUND(Call_Center[[#This Row],[Satisfaction Rating]],0)</f>
        <v>4</v>
      </c>
    </row>
    <row r="360" spans="1:11" x14ac:dyDescent="0.35">
      <c r="A360" s="21" t="s">
        <v>1343</v>
      </c>
      <c r="B360" s="18" t="s">
        <v>1018</v>
      </c>
      <c r="C360" s="18">
        <v>108</v>
      </c>
      <c r="D360" s="19" t="s">
        <v>977</v>
      </c>
      <c r="E360" s="20">
        <v>45031</v>
      </c>
      <c r="F360" s="18">
        <v>26</v>
      </c>
      <c r="G360" s="22">
        <v>3.3</v>
      </c>
      <c r="H360">
        <f>IF(MONTH(Call_Center[[#This Row],[Date of Call]])&lt;=6,2023,2024)</f>
        <v>2023</v>
      </c>
      <c r="I360" t="str">
        <f>TEXT(Call_Center[[#This Row],[Date of Call]],"DDDD")</f>
        <v>Saturday</v>
      </c>
      <c r="J360" t="str" cm="1">
        <f t="array" ref="J360">_xlfn.IFS(Call_Center[[#This Row],[Duration]]&lt;=10,"Under 10 mins",Call_Center[[#This Row],[Duration]]&lt;=30,"10 to 30 min",Call_Center[[#This Row],[Duration]]&lt;=60,"30 to 60 min",Call_Center[[#This Row],[Duration]]&lt;=120,"1 to 2 hours",TRUE,"More than 2 hours")</f>
        <v>1 to 2 hours</v>
      </c>
      <c r="K360">
        <f>ROUND(Call_Center[[#This Row],[Satisfaction Rating]],0)</f>
        <v>3</v>
      </c>
    </row>
    <row r="361" spans="1:11" x14ac:dyDescent="0.35">
      <c r="A361" s="21" t="s">
        <v>1344</v>
      </c>
      <c r="B361" s="18" t="s">
        <v>980</v>
      </c>
      <c r="C361" s="18">
        <v>66</v>
      </c>
      <c r="D361" s="19" t="s">
        <v>972</v>
      </c>
      <c r="E361" s="20">
        <v>45031</v>
      </c>
      <c r="F361" s="18">
        <v>210</v>
      </c>
      <c r="G361" s="22">
        <v>4.3</v>
      </c>
      <c r="H361">
        <f>IF(MONTH(Call_Center[[#This Row],[Date of Call]])&lt;=6,2023,2024)</f>
        <v>2023</v>
      </c>
      <c r="I361" t="str">
        <f>TEXT(Call_Center[[#This Row],[Date of Call]],"DDDD")</f>
        <v>Saturday</v>
      </c>
      <c r="J361" t="str" cm="1">
        <f t="array" ref="J361">_xlfn.IFS(Call_Center[[#This Row],[Duration]]&lt;=10,"Under 10 mins",Call_Center[[#This Row],[Duration]]&lt;=30,"10 to 30 min",Call_Center[[#This Row],[Duration]]&lt;=60,"30 to 60 min",Call_Center[[#This Row],[Duration]]&lt;=120,"1 to 2 hours",TRUE,"More than 2 hours")</f>
        <v>1 to 2 hours</v>
      </c>
      <c r="K361">
        <f>ROUND(Call_Center[[#This Row],[Satisfaction Rating]],0)</f>
        <v>4</v>
      </c>
    </row>
    <row r="362" spans="1:11" x14ac:dyDescent="0.35">
      <c r="A362" s="21" t="s">
        <v>1345</v>
      </c>
      <c r="B362" s="18" t="s">
        <v>997</v>
      </c>
      <c r="C362" s="18">
        <v>85</v>
      </c>
      <c r="D362" s="19" t="s">
        <v>967</v>
      </c>
      <c r="E362" s="20">
        <v>45031</v>
      </c>
      <c r="F362" s="18">
        <v>129</v>
      </c>
      <c r="G362" s="22">
        <v>4.2</v>
      </c>
      <c r="H362">
        <f>IF(MONTH(Call_Center[[#This Row],[Date of Call]])&lt;=6,2023,2024)</f>
        <v>2023</v>
      </c>
      <c r="I362" t="str">
        <f>TEXT(Call_Center[[#This Row],[Date of Call]],"DDDD")</f>
        <v>Saturday</v>
      </c>
      <c r="J362" t="str" cm="1">
        <f t="array" ref="J362">_xlfn.IFS(Call_Center[[#This Row],[Duration]]&lt;=10,"Under 10 mins",Call_Center[[#This Row],[Duration]]&lt;=30,"10 to 30 min",Call_Center[[#This Row],[Duration]]&lt;=60,"30 to 60 min",Call_Center[[#This Row],[Duration]]&lt;=120,"1 to 2 hours",TRUE,"More than 2 hours")</f>
        <v>1 to 2 hours</v>
      </c>
      <c r="K362">
        <f>ROUND(Call_Center[[#This Row],[Satisfaction Rating]],0)</f>
        <v>4</v>
      </c>
    </row>
    <row r="363" spans="1:11" x14ac:dyDescent="0.35">
      <c r="A363" s="21" t="s">
        <v>1346</v>
      </c>
      <c r="B363" s="18" t="s">
        <v>1000</v>
      </c>
      <c r="C363" s="18">
        <v>55</v>
      </c>
      <c r="D363" s="19" t="s">
        <v>977</v>
      </c>
      <c r="E363" s="20">
        <v>45031</v>
      </c>
      <c r="F363" s="18">
        <v>215</v>
      </c>
      <c r="G363" s="22">
        <v>4.3</v>
      </c>
      <c r="H363">
        <f>IF(MONTH(Call_Center[[#This Row],[Date of Call]])&lt;=6,2023,2024)</f>
        <v>2023</v>
      </c>
      <c r="I363" t="str">
        <f>TEXT(Call_Center[[#This Row],[Date of Call]],"DDDD")</f>
        <v>Saturday</v>
      </c>
      <c r="J363" t="str" cm="1">
        <f t="array" ref="J363">_xlfn.IFS(Call_Center[[#This Row],[Duration]]&lt;=10,"Under 10 mins",Call_Center[[#This Row],[Duration]]&lt;=30,"10 to 30 min",Call_Center[[#This Row],[Duration]]&lt;=60,"30 to 60 min",Call_Center[[#This Row],[Duration]]&lt;=120,"1 to 2 hours",TRUE,"More than 2 hours")</f>
        <v>30 to 60 min</v>
      </c>
      <c r="K363">
        <f>ROUND(Call_Center[[#This Row],[Satisfaction Rating]],0)</f>
        <v>4</v>
      </c>
    </row>
    <row r="364" spans="1:11" x14ac:dyDescent="0.35">
      <c r="A364" s="21" t="s">
        <v>1347</v>
      </c>
      <c r="B364" s="18" t="s">
        <v>1018</v>
      </c>
      <c r="C364" s="18">
        <v>17</v>
      </c>
      <c r="D364" s="19" t="s">
        <v>986</v>
      </c>
      <c r="E364" s="20">
        <v>45031</v>
      </c>
      <c r="F364" s="18">
        <v>69</v>
      </c>
      <c r="G364" s="22">
        <v>4.5999999999999996</v>
      </c>
      <c r="H364">
        <f>IF(MONTH(Call_Center[[#This Row],[Date of Call]])&lt;=6,2023,2024)</f>
        <v>2023</v>
      </c>
      <c r="I364" t="str">
        <f>TEXT(Call_Center[[#This Row],[Date of Call]],"DDDD")</f>
        <v>Saturday</v>
      </c>
      <c r="J364" t="str" cm="1">
        <f t="array" ref="J364">_xlfn.IFS(Call_Center[[#This Row],[Duration]]&lt;=10,"Under 10 mins",Call_Center[[#This Row],[Duration]]&lt;=30,"10 to 30 min",Call_Center[[#This Row],[Duration]]&lt;=60,"30 to 60 min",Call_Center[[#This Row],[Duration]]&lt;=120,"1 to 2 hours",TRUE,"More than 2 hours")</f>
        <v>10 to 30 min</v>
      </c>
      <c r="K364">
        <f>ROUND(Call_Center[[#This Row],[Satisfaction Rating]],0)</f>
        <v>5</v>
      </c>
    </row>
    <row r="365" spans="1:11" x14ac:dyDescent="0.35">
      <c r="A365" s="21" t="s">
        <v>1348</v>
      </c>
      <c r="B365" s="18" t="s">
        <v>1000</v>
      </c>
      <c r="C365" s="18">
        <v>128</v>
      </c>
      <c r="D365" s="19" t="s">
        <v>986</v>
      </c>
      <c r="E365" s="20">
        <v>45031</v>
      </c>
      <c r="F365" s="18">
        <v>140</v>
      </c>
      <c r="G365" s="22">
        <v>3</v>
      </c>
      <c r="H365">
        <f>IF(MONTH(Call_Center[[#This Row],[Date of Call]])&lt;=6,2023,2024)</f>
        <v>2023</v>
      </c>
      <c r="I365" t="str">
        <f>TEXT(Call_Center[[#This Row],[Date of Call]],"DDDD")</f>
        <v>Saturday</v>
      </c>
      <c r="J365" t="str" cm="1">
        <f t="array" ref="J365">_xlfn.IFS(Call_Center[[#This Row],[Duration]]&lt;=10,"Under 10 mins",Call_Center[[#This Row],[Duration]]&lt;=30,"10 to 30 min",Call_Center[[#This Row],[Duration]]&lt;=60,"30 to 60 min",Call_Center[[#This Row],[Duration]]&lt;=120,"1 to 2 hours",TRUE,"More than 2 hours")</f>
        <v>More than 2 hours</v>
      </c>
      <c r="K365">
        <f>ROUND(Call_Center[[#This Row],[Satisfaction Rating]],0)</f>
        <v>3</v>
      </c>
    </row>
    <row r="366" spans="1:11" x14ac:dyDescent="0.35">
      <c r="A366" s="21" t="s">
        <v>1349</v>
      </c>
      <c r="B366" s="18" t="s">
        <v>1005</v>
      </c>
      <c r="C366" s="18">
        <v>45</v>
      </c>
      <c r="D366" s="19" t="s">
        <v>977</v>
      </c>
      <c r="E366" s="20">
        <v>45032</v>
      </c>
      <c r="F366" s="18">
        <v>156</v>
      </c>
      <c r="G366" s="22">
        <v>2.7</v>
      </c>
      <c r="H366">
        <f>IF(MONTH(Call_Center[[#This Row],[Date of Call]])&lt;=6,2023,2024)</f>
        <v>2023</v>
      </c>
      <c r="I366" t="str">
        <f>TEXT(Call_Center[[#This Row],[Date of Call]],"DDDD")</f>
        <v>Sunday</v>
      </c>
      <c r="J366" t="str" cm="1">
        <f t="array" ref="J366">_xlfn.IFS(Call_Center[[#This Row],[Duration]]&lt;=10,"Under 10 mins",Call_Center[[#This Row],[Duration]]&lt;=30,"10 to 30 min",Call_Center[[#This Row],[Duration]]&lt;=60,"30 to 60 min",Call_Center[[#This Row],[Duration]]&lt;=120,"1 to 2 hours",TRUE,"More than 2 hours")</f>
        <v>30 to 60 min</v>
      </c>
      <c r="K366">
        <f>ROUND(Call_Center[[#This Row],[Satisfaction Rating]],0)</f>
        <v>3</v>
      </c>
    </row>
    <row r="367" spans="1:11" x14ac:dyDescent="0.35">
      <c r="A367" s="21" t="s">
        <v>1350</v>
      </c>
      <c r="B367" s="18" t="s">
        <v>1018</v>
      </c>
      <c r="C367" s="18">
        <v>41</v>
      </c>
      <c r="D367" s="19" t="s">
        <v>986</v>
      </c>
      <c r="E367" s="20">
        <v>45032</v>
      </c>
      <c r="F367" s="18">
        <v>164</v>
      </c>
      <c r="G367" s="22">
        <v>3.1</v>
      </c>
      <c r="H367">
        <f>IF(MONTH(Call_Center[[#This Row],[Date of Call]])&lt;=6,2023,2024)</f>
        <v>2023</v>
      </c>
      <c r="I367" t="str">
        <f>TEXT(Call_Center[[#This Row],[Date of Call]],"DDDD")</f>
        <v>Sunday</v>
      </c>
      <c r="J367" t="str" cm="1">
        <f t="array" ref="J367">_xlfn.IFS(Call_Center[[#This Row],[Duration]]&lt;=10,"Under 10 mins",Call_Center[[#This Row],[Duration]]&lt;=30,"10 to 30 min",Call_Center[[#This Row],[Duration]]&lt;=60,"30 to 60 min",Call_Center[[#This Row],[Duration]]&lt;=120,"1 to 2 hours",TRUE,"More than 2 hours")</f>
        <v>30 to 60 min</v>
      </c>
      <c r="K367">
        <f>ROUND(Call_Center[[#This Row],[Satisfaction Rating]],0)</f>
        <v>3</v>
      </c>
    </row>
    <row r="368" spans="1:11" x14ac:dyDescent="0.35">
      <c r="A368" s="21" t="s">
        <v>1351</v>
      </c>
      <c r="B368" s="18" t="s">
        <v>991</v>
      </c>
      <c r="C368" s="18">
        <v>49</v>
      </c>
      <c r="D368" s="19" t="s">
        <v>986</v>
      </c>
      <c r="E368" s="20">
        <v>45032</v>
      </c>
      <c r="F368" s="18">
        <v>195</v>
      </c>
      <c r="G368" s="22">
        <v>2.6</v>
      </c>
      <c r="H368">
        <f>IF(MONTH(Call_Center[[#This Row],[Date of Call]])&lt;=6,2023,2024)</f>
        <v>2023</v>
      </c>
      <c r="I368" t="str">
        <f>TEXT(Call_Center[[#This Row],[Date of Call]],"DDDD")</f>
        <v>Sunday</v>
      </c>
      <c r="J368" t="str" cm="1">
        <f t="array" ref="J368">_xlfn.IFS(Call_Center[[#This Row],[Duration]]&lt;=10,"Under 10 mins",Call_Center[[#This Row],[Duration]]&lt;=30,"10 to 30 min",Call_Center[[#This Row],[Duration]]&lt;=60,"30 to 60 min",Call_Center[[#This Row],[Duration]]&lt;=120,"1 to 2 hours",TRUE,"More than 2 hours")</f>
        <v>30 to 60 min</v>
      </c>
      <c r="K368">
        <f>ROUND(Call_Center[[#This Row],[Satisfaction Rating]],0)</f>
        <v>3</v>
      </c>
    </row>
    <row r="369" spans="1:11" x14ac:dyDescent="0.35">
      <c r="A369" s="21" t="s">
        <v>1352</v>
      </c>
      <c r="B369" s="18" t="s">
        <v>969</v>
      </c>
      <c r="C369" s="18">
        <v>21</v>
      </c>
      <c r="D369" s="19" t="s">
        <v>982</v>
      </c>
      <c r="E369" s="20">
        <v>45032</v>
      </c>
      <c r="F369" s="18">
        <v>74</v>
      </c>
      <c r="G369" s="22">
        <v>4.5999999999999996</v>
      </c>
      <c r="H369">
        <f>IF(MONTH(Call_Center[[#This Row],[Date of Call]])&lt;=6,2023,2024)</f>
        <v>2023</v>
      </c>
      <c r="I369" t="str">
        <f>TEXT(Call_Center[[#This Row],[Date of Call]],"DDDD")</f>
        <v>Sunday</v>
      </c>
      <c r="J369" t="str" cm="1">
        <f t="array" ref="J369">_xlfn.IFS(Call_Center[[#This Row],[Duration]]&lt;=10,"Under 10 mins",Call_Center[[#This Row],[Duration]]&lt;=30,"10 to 30 min",Call_Center[[#This Row],[Duration]]&lt;=60,"30 to 60 min",Call_Center[[#This Row],[Duration]]&lt;=120,"1 to 2 hours",TRUE,"More than 2 hours")</f>
        <v>10 to 30 min</v>
      </c>
      <c r="K369">
        <f>ROUND(Call_Center[[#This Row],[Satisfaction Rating]],0)</f>
        <v>5</v>
      </c>
    </row>
    <row r="370" spans="1:11" x14ac:dyDescent="0.35">
      <c r="A370" s="21" t="s">
        <v>1353</v>
      </c>
      <c r="B370" s="18" t="s">
        <v>1008</v>
      </c>
      <c r="C370" s="18">
        <v>133</v>
      </c>
      <c r="D370" s="19" t="s">
        <v>977</v>
      </c>
      <c r="E370" s="20">
        <v>45032</v>
      </c>
      <c r="F370" s="18">
        <v>100</v>
      </c>
      <c r="G370" s="22">
        <v>4</v>
      </c>
      <c r="H370">
        <f>IF(MONTH(Call_Center[[#This Row],[Date of Call]])&lt;=6,2023,2024)</f>
        <v>2023</v>
      </c>
      <c r="I370" t="str">
        <f>TEXT(Call_Center[[#This Row],[Date of Call]],"DDDD")</f>
        <v>Sunday</v>
      </c>
      <c r="J370" t="str" cm="1">
        <f t="array" ref="J370">_xlfn.IFS(Call_Center[[#This Row],[Duration]]&lt;=10,"Under 10 mins",Call_Center[[#This Row],[Duration]]&lt;=30,"10 to 30 min",Call_Center[[#This Row],[Duration]]&lt;=60,"30 to 60 min",Call_Center[[#This Row],[Duration]]&lt;=120,"1 to 2 hours",TRUE,"More than 2 hours")</f>
        <v>More than 2 hours</v>
      </c>
      <c r="K370">
        <f>ROUND(Call_Center[[#This Row],[Satisfaction Rating]],0)</f>
        <v>4</v>
      </c>
    </row>
    <row r="371" spans="1:11" x14ac:dyDescent="0.35">
      <c r="A371" s="21" t="s">
        <v>1354</v>
      </c>
      <c r="B371" s="18" t="s">
        <v>966</v>
      </c>
      <c r="C371" s="18">
        <v>135</v>
      </c>
      <c r="D371" s="19" t="s">
        <v>972</v>
      </c>
      <c r="E371" s="20">
        <v>45032</v>
      </c>
      <c r="F371" s="18">
        <v>185</v>
      </c>
      <c r="G371" s="22">
        <v>4.5</v>
      </c>
      <c r="H371">
        <f>IF(MONTH(Call_Center[[#This Row],[Date of Call]])&lt;=6,2023,2024)</f>
        <v>2023</v>
      </c>
      <c r="I371" t="str">
        <f>TEXT(Call_Center[[#This Row],[Date of Call]],"DDDD")</f>
        <v>Sunday</v>
      </c>
      <c r="J371" t="str" cm="1">
        <f t="array" ref="J371">_xlfn.IFS(Call_Center[[#This Row],[Duration]]&lt;=10,"Under 10 mins",Call_Center[[#This Row],[Duration]]&lt;=30,"10 to 30 min",Call_Center[[#This Row],[Duration]]&lt;=60,"30 to 60 min",Call_Center[[#This Row],[Duration]]&lt;=120,"1 to 2 hours",TRUE,"More than 2 hours")</f>
        <v>More than 2 hours</v>
      </c>
      <c r="K371">
        <f>ROUND(Call_Center[[#This Row],[Satisfaction Rating]],0)</f>
        <v>5</v>
      </c>
    </row>
    <row r="372" spans="1:11" x14ac:dyDescent="0.35">
      <c r="A372" s="21" t="s">
        <v>1355</v>
      </c>
      <c r="B372" s="18" t="s">
        <v>989</v>
      </c>
      <c r="C372" s="18">
        <v>69</v>
      </c>
      <c r="D372" s="19" t="s">
        <v>977</v>
      </c>
      <c r="E372" s="20">
        <v>45032</v>
      </c>
      <c r="F372" s="18">
        <v>130</v>
      </c>
      <c r="G372" s="22">
        <v>1.9</v>
      </c>
      <c r="H372">
        <f>IF(MONTH(Call_Center[[#This Row],[Date of Call]])&lt;=6,2023,2024)</f>
        <v>2023</v>
      </c>
      <c r="I372" t="str">
        <f>TEXT(Call_Center[[#This Row],[Date of Call]],"DDDD")</f>
        <v>Sunday</v>
      </c>
      <c r="J372" t="str" cm="1">
        <f t="array" ref="J372">_xlfn.IFS(Call_Center[[#This Row],[Duration]]&lt;=10,"Under 10 mins",Call_Center[[#This Row],[Duration]]&lt;=30,"10 to 30 min",Call_Center[[#This Row],[Duration]]&lt;=60,"30 to 60 min",Call_Center[[#This Row],[Duration]]&lt;=120,"1 to 2 hours",TRUE,"More than 2 hours")</f>
        <v>1 to 2 hours</v>
      </c>
      <c r="K372">
        <f>ROUND(Call_Center[[#This Row],[Satisfaction Rating]],0)</f>
        <v>2</v>
      </c>
    </row>
    <row r="373" spans="1:11" x14ac:dyDescent="0.35">
      <c r="A373" s="21" t="s">
        <v>1356</v>
      </c>
      <c r="B373" s="18" t="s">
        <v>985</v>
      </c>
      <c r="C373" s="18">
        <v>110</v>
      </c>
      <c r="D373" s="19" t="s">
        <v>982</v>
      </c>
      <c r="E373" s="20">
        <v>45033</v>
      </c>
      <c r="F373" s="18">
        <v>21</v>
      </c>
      <c r="G373" s="22">
        <v>2.6</v>
      </c>
      <c r="H373">
        <f>IF(MONTH(Call_Center[[#This Row],[Date of Call]])&lt;=6,2023,2024)</f>
        <v>2023</v>
      </c>
      <c r="I373" t="str">
        <f>TEXT(Call_Center[[#This Row],[Date of Call]],"DDDD")</f>
        <v>Monday</v>
      </c>
      <c r="J373" t="str" cm="1">
        <f t="array" ref="J373">_xlfn.IFS(Call_Center[[#This Row],[Duration]]&lt;=10,"Under 10 mins",Call_Center[[#This Row],[Duration]]&lt;=30,"10 to 30 min",Call_Center[[#This Row],[Duration]]&lt;=60,"30 to 60 min",Call_Center[[#This Row],[Duration]]&lt;=120,"1 to 2 hours",TRUE,"More than 2 hours")</f>
        <v>1 to 2 hours</v>
      </c>
      <c r="K373">
        <f>ROUND(Call_Center[[#This Row],[Satisfaction Rating]],0)</f>
        <v>3</v>
      </c>
    </row>
    <row r="374" spans="1:11" x14ac:dyDescent="0.35">
      <c r="A374" s="21" t="s">
        <v>1357</v>
      </c>
      <c r="B374" s="18" t="s">
        <v>1038</v>
      </c>
      <c r="C374" s="18">
        <v>64</v>
      </c>
      <c r="D374" s="19" t="s">
        <v>967</v>
      </c>
      <c r="E374" s="20">
        <v>45033</v>
      </c>
      <c r="F374" s="18">
        <v>88</v>
      </c>
      <c r="G374" s="22">
        <v>4.3</v>
      </c>
      <c r="H374">
        <f>IF(MONTH(Call_Center[[#This Row],[Date of Call]])&lt;=6,2023,2024)</f>
        <v>2023</v>
      </c>
      <c r="I374" t="str">
        <f>TEXT(Call_Center[[#This Row],[Date of Call]],"DDDD")</f>
        <v>Monday</v>
      </c>
      <c r="J374" t="str" cm="1">
        <f t="array" ref="J374">_xlfn.IFS(Call_Center[[#This Row],[Duration]]&lt;=10,"Under 10 mins",Call_Center[[#This Row],[Duration]]&lt;=30,"10 to 30 min",Call_Center[[#This Row],[Duration]]&lt;=60,"30 to 60 min",Call_Center[[#This Row],[Duration]]&lt;=120,"1 to 2 hours",TRUE,"More than 2 hours")</f>
        <v>1 to 2 hours</v>
      </c>
      <c r="K374">
        <f>ROUND(Call_Center[[#This Row],[Satisfaction Rating]],0)</f>
        <v>4</v>
      </c>
    </row>
    <row r="375" spans="1:11" x14ac:dyDescent="0.35">
      <c r="A375" s="21" t="s">
        <v>1358</v>
      </c>
      <c r="B375" s="18" t="s">
        <v>971</v>
      </c>
      <c r="C375" s="18">
        <v>105</v>
      </c>
      <c r="D375" s="19" t="s">
        <v>986</v>
      </c>
      <c r="E375" s="20">
        <v>45033</v>
      </c>
      <c r="F375" s="18">
        <v>35</v>
      </c>
      <c r="G375" s="22">
        <v>4.4000000000000004</v>
      </c>
      <c r="H375">
        <f>IF(MONTH(Call_Center[[#This Row],[Date of Call]])&lt;=6,2023,2024)</f>
        <v>2023</v>
      </c>
      <c r="I375" t="str">
        <f>TEXT(Call_Center[[#This Row],[Date of Call]],"DDDD")</f>
        <v>Monday</v>
      </c>
      <c r="J375" t="str" cm="1">
        <f t="array" ref="J375">_xlfn.IFS(Call_Center[[#This Row],[Duration]]&lt;=10,"Under 10 mins",Call_Center[[#This Row],[Duration]]&lt;=30,"10 to 30 min",Call_Center[[#This Row],[Duration]]&lt;=60,"30 to 60 min",Call_Center[[#This Row],[Duration]]&lt;=120,"1 to 2 hours",TRUE,"More than 2 hours")</f>
        <v>1 to 2 hours</v>
      </c>
      <c r="K375">
        <f>ROUND(Call_Center[[#This Row],[Satisfaction Rating]],0)</f>
        <v>4</v>
      </c>
    </row>
    <row r="376" spans="1:11" x14ac:dyDescent="0.35">
      <c r="A376" s="21" t="s">
        <v>1359</v>
      </c>
      <c r="B376" s="18" t="s">
        <v>1038</v>
      </c>
      <c r="C376" s="18">
        <v>165</v>
      </c>
      <c r="D376" s="19" t="s">
        <v>972</v>
      </c>
      <c r="E376" s="20">
        <v>45033</v>
      </c>
      <c r="F376" s="18">
        <v>68</v>
      </c>
      <c r="G376" s="22">
        <v>4.3</v>
      </c>
      <c r="H376">
        <f>IF(MONTH(Call_Center[[#This Row],[Date of Call]])&lt;=6,2023,2024)</f>
        <v>2023</v>
      </c>
      <c r="I376" t="str">
        <f>TEXT(Call_Center[[#This Row],[Date of Call]],"DDDD")</f>
        <v>Monday</v>
      </c>
      <c r="J376" t="str" cm="1">
        <f t="array" ref="J376">_xlfn.IFS(Call_Center[[#This Row],[Duration]]&lt;=10,"Under 10 mins",Call_Center[[#This Row],[Duration]]&lt;=30,"10 to 30 min",Call_Center[[#This Row],[Duration]]&lt;=60,"30 to 60 min",Call_Center[[#This Row],[Duration]]&lt;=120,"1 to 2 hours",TRUE,"More than 2 hours")</f>
        <v>More than 2 hours</v>
      </c>
      <c r="K376">
        <f>ROUND(Call_Center[[#This Row],[Satisfaction Rating]],0)</f>
        <v>4</v>
      </c>
    </row>
    <row r="377" spans="1:11" x14ac:dyDescent="0.35">
      <c r="A377" s="21" t="s">
        <v>1360</v>
      </c>
      <c r="B377" s="18" t="s">
        <v>1005</v>
      </c>
      <c r="C377" s="18">
        <v>125</v>
      </c>
      <c r="D377" s="19" t="s">
        <v>972</v>
      </c>
      <c r="E377" s="20">
        <v>45033</v>
      </c>
      <c r="F377" s="18">
        <v>148</v>
      </c>
      <c r="G377" s="22">
        <v>4.5</v>
      </c>
      <c r="H377">
        <f>IF(MONTH(Call_Center[[#This Row],[Date of Call]])&lt;=6,2023,2024)</f>
        <v>2023</v>
      </c>
      <c r="I377" t="str">
        <f>TEXT(Call_Center[[#This Row],[Date of Call]],"DDDD")</f>
        <v>Monday</v>
      </c>
      <c r="J377" t="str" cm="1">
        <f t="array" ref="J377">_xlfn.IFS(Call_Center[[#This Row],[Duration]]&lt;=10,"Under 10 mins",Call_Center[[#This Row],[Duration]]&lt;=30,"10 to 30 min",Call_Center[[#This Row],[Duration]]&lt;=60,"30 to 60 min",Call_Center[[#This Row],[Duration]]&lt;=120,"1 to 2 hours",TRUE,"More than 2 hours")</f>
        <v>More than 2 hours</v>
      </c>
      <c r="K377">
        <f>ROUND(Call_Center[[#This Row],[Satisfaction Rating]],0)</f>
        <v>5</v>
      </c>
    </row>
    <row r="378" spans="1:11" x14ac:dyDescent="0.35">
      <c r="A378" s="21" t="s">
        <v>1361</v>
      </c>
      <c r="B378" s="18" t="s">
        <v>971</v>
      </c>
      <c r="C378" s="18">
        <v>88</v>
      </c>
      <c r="D378" s="19" t="s">
        <v>967</v>
      </c>
      <c r="E378" s="20">
        <v>45034</v>
      </c>
      <c r="F378" s="18">
        <v>81</v>
      </c>
      <c r="G378" s="22">
        <v>4.2</v>
      </c>
      <c r="H378">
        <f>IF(MONTH(Call_Center[[#This Row],[Date of Call]])&lt;=6,2023,2024)</f>
        <v>2023</v>
      </c>
      <c r="I378" t="str">
        <f>TEXT(Call_Center[[#This Row],[Date of Call]],"DDDD")</f>
        <v>Tuesday</v>
      </c>
      <c r="J378" t="str" cm="1">
        <f t="array" ref="J378">_xlfn.IFS(Call_Center[[#This Row],[Duration]]&lt;=10,"Under 10 mins",Call_Center[[#This Row],[Duration]]&lt;=30,"10 to 30 min",Call_Center[[#This Row],[Duration]]&lt;=60,"30 to 60 min",Call_Center[[#This Row],[Duration]]&lt;=120,"1 to 2 hours",TRUE,"More than 2 hours")</f>
        <v>1 to 2 hours</v>
      </c>
      <c r="K378">
        <f>ROUND(Call_Center[[#This Row],[Satisfaction Rating]],0)</f>
        <v>4</v>
      </c>
    </row>
    <row r="379" spans="1:11" x14ac:dyDescent="0.35">
      <c r="A379" s="21" t="s">
        <v>1362</v>
      </c>
      <c r="B379" s="18" t="s">
        <v>989</v>
      </c>
      <c r="C379" s="18">
        <v>6</v>
      </c>
      <c r="D379" s="19" t="s">
        <v>967</v>
      </c>
      <c r="E379" s="20">
        <v>45034</v>
      </c>
      <c r="F379" s="18">
        <v>75</v>
      </c>
      <c r="G379" s="22">
        <v>3.9</v>
      </c>
      <c r="H379">
        <f>IF(MONTH(Call_Center[[#This Row],[Date of Call]])&lt;=6,2023,2024)</f>
        <v>2023</v>
      </c>
      <c r="I379" t="str">
        <f>TEXT(Call_Center[[#This Row],[Date of Call]],"DDDD")</f>
        <v>Tuesday</v>
      </c>
      <c r="J379" t="str" cm="1">
        <f t="array" ref="J379">_xlfn.IFS(Call_Center[[#This Row],[Duration]]&lt;=10,"Under 10 mins",Call_Center[[#This Row],[Duration]]&lt;=30,"10 to 30 min",Call_Center[[#This Row],[Duration]]&lt;=60,"30 to 60 min",Call_Center[[#This Row],[Duration]]&lt;=120,"1 to 2 hours",TRUE,"More than 2 hours")</f>
        <v>Under 10 mins</v>
      </c>
      <c r="K379">
        <f>ROUND(Call_Center[[#This Row],[Satisfaction Rating]],0)</f>
        <v>4</v>
      </c>
    </row>
    <row r="380" spans="1:11" x14ac:dyDescent="0.35">
      <c r="A380" s="21" t="s">
        <v>1363</v>
      </c>
      <c r="B380" s="18" t="s">
        <v>997</v>
      </c>
      <c r="C380" s="18">
        <v>69</v>
      </c>
      <c r="D380" s="19" t="s">
        <v>977</v>
      </c>
      <c r="E380" s="20">
        <v>45035</v>
      </c>
      <c r="F380" s="18">
        <v>32</v>
      </c>
      <c r="G380" s="22">
        <v>3.6</v>
      </c>
      <c r="H380">
        <f>IF(MONTH(Call_Center[[#This Row],[Date of Call]])&lt;=6,2023,2024)</f>
        <v>2023</v>
      </c>
      <c r="I380" t="str">
        <f>TEXT(Call_Center[[#This Row],[Date of Call]],"DDDD")</f>
        <v>Wednesday</v>
      </c>
      <c r="J380" t="str" cm="1">
        <f t="array" ref="J380">_xlfn.IFS(Call_Center[[#This Row],[Duration]]&lt;=10,"Under 10 mins",Call_Center[[#This Row],[Duration]]&lt;=30,"10 to 30 min",Call_Center[[#This Row],[Duration]]&lt;=60,"30 to 60 min",Call_Center[[#This Row],[Duration]]&lt;=120,"1 to 2 hours",TRUE,"More than 2 hours")</f>
        <v>1 to 2 hours</v>
      </c>
      <c r="K380">
        <f>ROUND(Call_Center[[#This Row],[Satisfaction Rating]],0)</f>
        <v>4</v>
      </c>
    </row>
    <row r="381" spans="1:11" x14ac:dyDescent="0.35">
      <c r="A381" s="21" t="s">
        <v>1364</v>
      </c>
      <c r="B381" s="18" t="s">
        <v>1018</v>
      </c>
      <c r="C381" s="18">
        <v>107</v>
      </c>
      <c r="D381" s="19" t="s">
        <v>977</v>
      </c>
      <c r="E381" s="20">
        <v>45035</v>
      </c>
      <c r="F381" s="18">
        <v>156</v>
      </c>
      <c r="G381" s="22">
        <v>3.8</v>
      </c>
      <c r="H381">
        <f>IF(MONTH(Call_Center[[#This Row],[Date of Call]])&lt;=6,2023,2024)</f>
        <v>2023</v>
      </c>
      <c r="I381" t="str">
        <f>TEXT(Call_Center[[#This Row],[Date of Call]],"DDDD")</f>
        <v>Wednesday</v>
      </c>
      <c r="J381" t="str" cm="1">
        <f t="array" ref="J381">_xlfn.IFS(Call_Center[[#This Row],[Duration]]&lt;=10,"Under 10 mins",Call_Center[[#This Row],[Duration]]&lt;=30,"10 to 30 min",Call_Center[[#This Row],[Duration]]&lt;=60,"30 to 60 min",Call_Center[[#This Row],[Duration]]&lt;=120,"1 to 2 hours",TRUE,"More than 2 hours")</f>
        <v>1 to 2 hours</v>
      </c>
      <c r="K381">
        <f>ROUND(Call_Center[[#This Row],[Satisfaction Rating]],0)</f>
        <v>4</v>
      </c>
    </row>
    <row r="382" spans="1:11" x14ac:dyDescent="0.35">
      <c r="A382" s="21" t="s">
        <v>1365</v>
      </c>
      <c r="B382" s="18" t="s">
        <v>969</v>
      </c>
      <c r="C382" s="18">
        <v>90</v>
      </c>
      <c r="D382" s="19" t="s">
        <v>972</v>
      </c>
      <c r="E382" s="20">
        <v>45035</v>
      </c>
      <c r="F382" s="18">
        <v>99</v>
      </c>
      <c r="G382" s="22">
        <v>4.9000000000000004</v>
      </c>
      <c r="H382">
        <f>IF(MONTH(Call_Center[[#This Row],[Date of Call]])&lt;=6,2023,2024)</f>
        <v>2023</v>
      </c>
      <c r="I382" t="str">
        <f>TEXT(Call_Center[[#This Row],[Date of Call]],"DDDD")</f>
        <v>Wednesday</v>
      </c>
      <c r="J382" t="str" cm="1">
        <f t="array" ref="J382">_xlfn.IFS(Call_Center[[#This Row],[Duration]]&lt;=10,"Under 10 mins",Call_Center[[#This Row],[Duration]]&lt;=30,"10 to 30 min",Call_Center[[#This Row],[Duration]]&lt;=60,"30 to 60 min",Call_Center[[#This Row],[Duration]]&lt;=120,"1 to 2 hours",TRUE,"More than 2 hours")</f>
        <v>1 to 2 hours</v>
      </c>
      <c r="K382">
        <f>ROUND(Call_Center[[#This Row],[Satisfaction Rating]],0)</f>
        <v>5</v>
      </c>
    </row>
    <row r="383" spans="1:11" x14ac:dyDescent="0.35">
      <c r="A383" s="21" t="s">
        <v>1366</v>
      </c>
      <c r="B383" s="18" t="s">
        <v>966</v>
      </c>
      <c r="C383" s="18">
        <v>120</v>
      </c>
      <c r="D383" s="19" t="s">
        <v>986</v>
      </c>
      <c r="E383" s="20">
        <v>45035</v>
      </c>
      <c r="F383" s="18">
        <v>26</v>
      </c>
      <c r="G383" s="22">
        <v>4</v>
      </c>
      <c r="H383">
        <f>IF(MONTH(Call_Center[[#This Row],[Date of Call]])&lt;=6,2023,2024)</f>
        <v>2023</v>
      </c>
      <c r="I383" t="str">
        <f>TEXT(Call_Center[[#This Row],[Date of Call]],"DDDD")</f>
        <v>Wednesday</v>
      </c>
      <c r="J383" t="str" cm="1">
        <f t="array" ref="J383">_xlfn.IFS(Call_Center[[#This Row],[Duration]]&lt;=10,"Under 10 mins",Call_Center[[#This Row],[Duration]]&lt;=30,"10 to 30 min",Call_Center[[#This Row],[Duration]]&lt;=60,"30 to 60 min",Call_Center[[#This Row],[Duration]]&lt;=120,"1 to 2 hours",TRUE,"More than 2 hours")</f>
        <v>1 to 2 hours</v>
      </c>
      <c r="K383">
        <f>ROUND(Call_Center[[#This Row],[Satisfaction Rating]],0)</f>
        <v>4</v>
      </c>
    </row>
    <row r="384" spans="1:11" x14ac:dyDescent="0.35">
      <c r="A384" s="21" t="s">
        <v>1367</v>
      </c>
      <c r="B384" s="18" t="s">
        <v>976</v>
      </c>
      <c r="C384" s="18">
        <v>47</v>
      </c>
      <c r="D384" s="19" t="s">
        <v>977</v>
      </c>
      <c r="E384" s="20">
        <v>45035</v>
      </c>
      <c r="F384" s="18">
        <v>84</v>
      </c>
      <c r="G384" s="22">
        <v>4.0999999999999996</v>
      </c>
      <c r="H384">
        <f>IF(MONTH(Call_Center[[#This Row],[Date of Call]])&lt;=6,2023,2024)</f>
        <v>2023</v>
      </c>
      <c r="I384" t="str">
        <f>TEXT(Call_Center[[#This Row],[Date of Call]],"DDDD")</f>
        <v>Wednesday</v>
      </c>
      <c r="J384" t="str" cm="1">
        <f t="array" ref="J384">_xlfn.IFS(Call_Center[[#This Row],[Duration]]&lt;=10,"Under 10 mins",Call_Center[[#This Row],[Duration]]&lt;=30,"10 to 30 min",Call_Center[[#This Row],[Duration]]&lt;=60,"30 to 60 min",Call_Center[[#This Row],[Duration]]&lt;=120,"1 to 2 hours",TRUE,"More than 2 hours")</f>
        <v>30 to 60 min</v>
      </c>
      <c r="K384">
        <f>ROUND(Call_Center[[#This Row],[Satisfaction Rating]],0)</f>
        <v>4</v>
      </c>
    </row>
    <row r="385" spans="1:11" x14ac:dyDescent="0.35">
      <c r="A385" s="21" t="s">
        <v>1368</v>
      </c>
      <c r="B385" s="18" t="s">
        <v>974</v>
      </c>
      <c r="C385" s="18">
        <v>60</v>
      </c>
      <c r="D385" s="19" t="s">
        <v>986</v>
      </c>
      <c r="E385" s="20">
        <v>45035</v>
      </c>
      <c r="F385" s="18">
        <v>84</v>
      </c>
      <c r="G385" s="22">
        <v>4.8</v>
      </c>
      <c r="H385">
        <f>IF(MONTH(Call_Center[[#This Row],[Date of Call]])&lt;=6,2023,2024)</f>
        <v>2023</v>
      </c>
      <c r="I385" t="str">
        <f>TEXT(Call_Center[[#This Row],[Date of Call]],"DDDD")</f>
        <v>Wednesday</v>
      </c>
      <c r="J385" t="str" cm="1">
        <f t="array" ref="J385">_xlfn.IFS(Call_Center[[#This Row],[Duration]]&lt;=10,"Under 10 mins",Call_Center[[#This Row],[Duration]]&lt;=30,"10 to 30 min",Call_Center[[#This Row],[Duration]]&lt;=60,"30 to 60 min",Call_Center[[#This Row],[Duration]]&lt;=120,"1 to 2 hours",TRUE,"More than 2 hours")</f>
        <v>30 to 60 min</v>
      </c>
      <c r="K385">
        <f>ROUND(Call_Center[[#This Row],[Satisfaction Rating]],0)</f>
        <v>5</v>
      </c>
    </row>
    <row r="386" spans="1:11" x14ac:dyDescent="0.35">
      <c r="A386" s="21" t="s">
        <v>1369</v>
      </c>
      <c r="B386" s="18" t="s">
        <v>1000</v>
      </c>
      <c r="C386" s="18">
        <v>64</v>
      </c>
      <c r="D386" s="19" t="s">
        <v>972</v>
      </c>
      <c r="E386" s="20">
        <v>45035</v>
      </c>
      <c r="F386" s="18">
        <v>170</v>
      </c>
      <c r="G386" s="22">
        <v>2.2999999999999998</v>
      </c>
      <c r="H386">
        <f>IF(MONTH(Call_Center[[#This Row],[Date of Call]])&lt;=6,2023,2024)</f>
        <v>2023</v>
      </c>
      <c r="I386" t="str">
        <f>TEXT(Call_Center[[#This Row],[Date of Call]],"DDDD")</f>
        <v>Wednesday</v>
      </c>
      <c r="J386" t="str" cm="1">
        <f t="array" ref="J386">_xlfn.IFS(Call_Center[[#This Row],[Duration]]&lt;=10,"Under 10 mins",Call_Center[[#This Row],[Duration]]&lt;=30,"10 to 30 min",Call_Center[[#This Row],[Duration]]&lt;=60,"30 to 60 min",Call_Center[[#This Row],[Duration]]&lt;=120,"1 to 2 hours",TRUE,"More than 2 hours")</f>
        <v>1 to 2 hours</v>
      </c>
      <c r="K386">
        <f>ROUND(Call_Center[[#This Row],[Satisfaction Rating]],0)</f>
        <v>2</v>
      </c>
    </row>
    <row r="387" spans="1:11" x14ac:dyDescent="0.35">
      <c r="A387" s="21" t="s">
        <v>1370</v>
      </c>
      <c r="B387" s="18" t="s">
        <v>1038</v>
      </c>
      <c r="C387" s="18">
        <v>62</v>
      </c>
      <c r="D387" s="19" t="s">
        <v>977</v>
      </c>
      <c r="E387" s="20">
        <v>45035</v>
      </c>
      <c r="F387" s="18">
        <v>35</v>
      </c>
      <c r="G387" s="22">
        <v>4.4000000000000004</v>
      </c>
      <c r="H387">
        <f>IF(MONTH(Call_Center[[#This Row],[Date of Call]])&lt;=6,2023,2024)</f>
        <v>2023</v>
      </c>
      <c r="I387" t="str">
        <f>TEXT(Call_Center[[#This Row],[Date of Call]],"DDDD")</f>
        <v>Wednesday</v>
      </c>
      <c r="J387" t="str" cm="1">
        <f t="array" ref="J387">_xlfn.IFS(Call_Center[[#This Row],[Duration]]&lt;=10,"Under 10 mins",Call_Center[[#This Row],[Duration]]&lt;=30,"10 to 30 min",Call_Center[[#This Row],[Duration]]&lt;=60,"30 to 60 min",Call_Center[[#This Row],[Duration]]&lt;=120,"1 to 2 hours",TRUE,"More than 2 hours")</f>
        <v>1 to 2 hours</v>
      </c>
      <c r="K387">
        <f>ROUND(Call_Center[[#This Row],[Satisfaction Rating]],0)</f>
        <v>4</v>
      </c>
    </row>
    <row r="388" spans="1:11" x14ac:dyDescent="0.35">
      <c r="A388" s="21" t="s">
        <v>1371</v>
      </c>
      <c r="B388" s="18" t="s">
        <v>985</v>
      </c>
      <c r="C388" s="18">
        <v>88</v>
      </c>
      <c r="D388" s="19" t="s">
        <v>977</v>
      </c>
      <c r="E388" s="20">
        <v>45036</v>
      </c>
      <c r="F388" s="18">
        <v>35</v>
      </c>
      <c r="G388" s="22">
        <v>3.8</v>
      </c>
      <c r="H388">
        <f>IF(MONTH(Call_Center[[#This Row],[Date of Call]])&lt;=6,2023,2024)</f>
        <v>2023</v>
      </c>
      <c r="I388" t="str">
        <f>TEXT(Call_Center[[#This Row],[Date of Call]],"DDDD")</f>
        <v>Thursday</v>
      </c>
      <c r="J388" t="str" cm="1">
        <f t="array" ref="J388">_xlfn.IFS(Call_Center[[#This Row],[Duration]]&lt;=10,"Under 10 mins",Call_Center[[#This Row],[Duration]]&lt;=30,"10 to 30 min",Call_Center[[#This Row],[Duration]]&lt;=60,"30 to 60 min",Call_Center[[#This Row],[Duration]]&lt;=120,"1 to 2 hours",TRUE,"More than 2 hours")</f>
        <v>1 to 2 hours</v>
      </c>
      <c r="K388">
        <f>ROUND(Call_Center[[#This Row],[Satisfaction Rating]],0)</f>
        <v>4</v>
      </c>
    </row>
    <row r="389" spans="1:11" x14ac:dyDescent="0.35">
      <c r="A389" s="21" t="s">
        <v>1372</v>
      </c>
      <c r="B389" s="18" t="s">
        <v>1005</v>
      </c>
      <c r="C389" s="18">
        <v>116</v>
      </c>
      <c r="D389" s="19" t="s">
        <v>977</v>
      </c>
      <c r="E389" s="20">
        <v>45036</v>
      </c>
      <c r="F389" s="18">
        <v>132</v>
      </c>
      <c r="G389" s="22">
        <v>5</v>
      </c>
      <c r="H389">
        <f>IF(MONTH(Call_Center[[#This Row],[Date of Call]])&lt;=6,2023,2024)</f>
        <v>2023</v>
      </c>
      <c r="I389" t="str">
        <f>TEXT(Call_Center[[#This Row],[Date of Call]],"DDDD")</f>
        <v>Thursday</v>
      </c>
      <c r="J389" t="str" cm="1">
        <f t="array" ref="J389">_xlfn.IFS(Call_Center[[#This Row],[Duration]]&lt;=10,"Under 10 mins",Call_Center[[#This Row],[Duration]]&lt;=30,"10 to 30 min",Call_Center[[#This Row],[Duration]]&lt;=60,"30 to 60 min",Call_Center[[#This Row],[Duration]]&lt;=120,"1 to 2 hours",TRUE,"More than 2 hours")</f>
        <v>1 to 2 hours</v>
      </c>
      <c r="K389">
        <f>ROUND(Call_Center[[#This Row],[Satisfaction Rating]],0)</f>
        <v>5</v>
      </c>
    </row>
    <row r="390" spans="1:11" x14ac:dyDescent="0.35">
      <c r="A390" s="21" t="s">
        <v>1373</v>
      </c>
      <c r="B390" s="18" t="s">
        <v>969</v>
      </c>
      <c r="C390" s="18">
        <v>82</v>
      </c>
      <c r="D390" s="19" t="s">
        <v>967</v>
      </c>
      <c r="E390" s="20">
        <v>45037</v>
      </c>
      <c r="F390" s="18">
        <v>144</v>
      </c>
      <c r="G390" s="22">
        <v>3.3</v>
      </c>
      <c r="H390">
        <f>IF(MONTH(Call_Center[[#This Row],[Date of Call]])&lt;=6,2023,2024)</f>
        <v>2023</v>
      </c>
      <c r="I390" t="str">
        <f>TEXT(Call_Center[[#This Row],[Date of Call]],"DDDD")</f>
        <v>Friday</v>
      </c>
      <c r="J390" t="str" cm="1">
        <f t="array" ref="J390">_xlfn.IFS(Call_Center[[#This Row],[Duration]]&lt;=10,"Under 10 mins",Call_Center[[#This Row],[Duration]]&lt;=30,"10 to 30 min",Call_Center[[#This Row],[Duration]]&lt;=60,"30 to 60 min",Call_Center[[#This Row],[Duration]]&lt;=120,"1 to 2 hours",TRUE,"More than 2 hours")</f>
        <v>1 to 2 hours</v>
      </c>
      <c r="K390">
        <f>ROUND(Call_Center[[#This Row],[Satisfaction Rating]],0)</f>
        <v>3</v>
      </c>
    </row>
    <row r="391" spans="1:11" x14ac:dyDescent="0.35">
      <c r="A391" s="21" t="s">
        <v>1374</v>
      </c>
      <c r="B391" s="18" t="s">
        <v>1038</v>
      </c>
      <c r="C391" s="18">
        <v>99</v>
      </c>
      <c r="D391" s="19" t="s">
        <v>972</v>
      </c>
      <c r="E391" s="20">
        <v>45037</v>
      </c>
      <c r="F391" s="18">
        <v>48</v>
      </c>
      <c r="G391" s="22">
        <v>5</v>
      </c>
      <c r="H391">
        <f>IF(MONTH(Call_Center[[#This Row],[Date of Call]])&lt;=6,2023,2024)</f>
        <v>2023</v>
      </c>
      <c r="I391" t="str">
        <f>TEXT(Call_Center[[#This Row],[Date of Call]],"DDDD")</f>
        <v>Friday</v>
      </c>
      <c r="J391" t="str" cm="1">
        <f t="array" ref="J391">_xlfn.IFS(Call_Center[[#This Row],[Duration]]&lt;=10,"Under 10 mins",Call_Center[[#This Row],[Duration]]&lt;=30,"10 to 30 min",Call_Center[[#This Row],[Duration]]&lt;=60,"30 to 60 min",Call_Center[[#This Row],[Duration]]&lt;=120,"1 to 2 hours",TRUE,"More than 2 hours")</f>
        <v>1 to 2 hours</v>
      </c>
      <c r="K391">
        <f>ROUND(Call_Center[[#This Row],[Satisfaction Rating]],0)</f>
        <v>5</v>
      </c>
    </row>
    <row r="392" spans="1:11" x14ac:dyDescent="0.35">
      <c r="A392" s="21" t="s">
        <v>1375</v>
      </c>
      <c r="B392" s="18" t="s">
        <v>1038</v>
      </c>
      <c r="C392" s="18">
        <v>55</v>
      </c>
      <c r="D392" s="19" t="s">
        <v>967</v>
      </c>
      <c r="E392" s="20">
        <v>45037</v>
      </c>
      <c r="F392" s="18">
        <v>200</v>
      </c>
      <c r="G392" s="22">
        <v>2.2999999999999998</v>
      </c>
      <c r="H392">
        <f>IF(MONTH(Call_Center[[#This Row],[Date of Call]])&lt;=6,2023,2024)</f>
        <v>2023</v>
      </c>
      <c r="I392" t="str">
        <f>TEXT(Call_Center[[#This Row],[Date of Call]],"DDDD")</f>
        <v>Friday</v>
      </c>
      <c r="J392" t="str" cm="1">
        <f t="array" ref="J392">_xlfn.IFS(Call_Center[[#This Row],[Duration]]&lt;=10,"Under 10 mins",Call_Center[[#This Row],[Duration]]&lt;=30,"10 to 30 min",Call_Center[[#This Row],[Duration]]&lt;=60,"30 to 60 min",Call_Center[[#This Row],[Duration]]&lt;=120,"1 to 2 hours",TRUE,"More than 2 hours")</f>
        <v>30 to 60 min</v>
      </c>
      <c r="K392">
        <f>ROUND(Call_Center[[#This Row],[Satisfaction Rating]],0)</f>
        <v>2</v>
      </c>
    </row>
    <row r="393" spans="1:11" x14ac:dyDescent="0.35">
      <c r="A393" s="21" t="s">
        <v>1376</v>
      </c>
      <c r="B393" s="18" t="s">
        <v>1000</v>
      </c>
      <c r="C393" s="18">
        <v>61</v>
      </c>
      <c r="D393" s="19" t="s">
        <v>986</v>
      </c>
      <c r="E393" s="20">
        <v>45037</v>
      </c>
      <c r="F393" s="18">
        <v>38</v>
      </c>
      <c r="G393" s="22">
        <v>4.8</v>
      </c>
      <c r="H393">
        <f>IF(MONTH(Call_Center[[#This Row],[Date of Call]])&lt;=6,2023,2024)</f>
        <v>2023</v>
      </c>
      <c r="I393" t="str">
        <f>TEXT(Call_Center[[#This Row],[Date of Call]],"DDDD")</f>
        <v>Friday</v>
      </c>
      <c r="J393" t="str" cm="1">
        <f t="array" ref="J393">_xlfn.IFS(Call_Center[[#This Row],[Duration]]&lt;=10,"Under 10 mins",Call_Center[[#This Row],[Duration]]&lt;=30,"10 to 30 min",Call_Center[[#This Row],[Duration]]&lt;=60,"30 to 60 min",Call_Center[[#This Row],[Duration]]&lt;=120,"1 to 2 hours",TRUE,"More than 2 hours")</f>
        <v>1 to 2 hours</v>
      </c>
      <c r="K393">
        <f>ROUND(Call_Center[[#This Row],[Satisfaction Rating]],0)</f>
        <v>5</v>
      </c>
    </row>
    <row r="394" spans="1:11" x14ac:dyDescent="0.35">
      <c r="A394" s="21" t="s">
        <v>1377</v>
      </c>
      <c r="B394" s="18" t="s">
        <v>1005</v>
      </c>
      <c r="C394" s="18">
        <v>36</v>
      </c>
      <c r="D394" s="19" t="s">
        <v>982</v>
      </c>
      <c r="E394" s="20">
        <v>45037</v>
      </c>
      <c r="F394" s="18">
        <v>81</v>
      </c>
      <c r="G394" s="22">
        <v>3.7</v>
      </c>
      <c r="H394">
        <f>IF(MONTH(Call_Center[[#This Row],[Date of Call]])&lt;=6,2023,2024)</f>
        <v>2023</v>
      </c>
      <c r="I394" t="str">
        <f>TEXT(Call_Center[[#This Row],[Date of Call]],"DDDD")</f>
        <v>Friday</v>
      </c>
      <c r="J394" t="str" cm="1">
        <f t="array" ref="J394">_xlfn.IFS(Call_Center[[#This Row],[Duration]]&lt;=10,"Under 10 mins",Call_Center[[#This Row],[Duration]]&lt;=30,"10 to 30 min",Call_Center[[#This Row],[Duration]]&lt;=60,"30 to 60 min",Call_Center[[#This Row],[Duration]]&lt;=120,"1 to 2 hours",TRUE,"More than 2 hours")</f>
        <v>30 to 60 min</v>
      </c>
      <c r="K394">
        <f>ROUND(Call_Center[[#This Row],[Satisfaction Rating]],0)</f>
        <v>4</v>
      </c>
    </row>
    <row r="395" spans="1:11" x14ac:dyDescent="0.35">
      <c r="A395" s="21" t="s">
        <v>1378</v>
      </c>
      <c r="B395" s="18" t="s">
        <v>969</v>
      </c>
      <c r="C395" s="18">
        <v>123</v>
      </c>
      <c r="D395" s="19" t="s">
        <v>977</v>
      </c>
      <c r="E395" s="20">
        <v>45037</v>
      </c>
      <c r="F395" s="18">
        <v>120</v>
      </c>
      <c r="G395" s="22">
        <v>4.2</v>
      </c>
      <c r="H395">
        <f>IF(MONTH(Call_Center[[#This Row],[Date of Call]])&lt;=6,2023,2024)</f>
        <v>2023</v>
      </c>
      <c r="I395" t="str">
        <f>TEXT(Call_Center[[#This Row],[Date of Call]],"DDDD")</f>
        <v>Friday</v>
      </c>
      <c r="J395" t="str" cm="1">
        <f t="array" ref="J395">_xlfn.IFS(Call_Center[[#This Row],[Duration]]&lt;=10,"Under 10 mins",Call_Center[[#This Row],[Duration]]&lt;=30,"10 to 30 min",Call_Center[[#This Row],[Duration]]&lt;=60,"30 to 60 min",Call_Center[[#This Row],[Duration]]&lt;=120,"1 to 2 hours",TRUE,"More than 2 hours")</f>
        <v>More than 2 hours</v>
      </c>
      <c r="K395">
        <f>ROUND(Call_Center[[#This Row],[Satisfaction Rating]],0)</f>
        <v>4</v>
      </c>
    </row>
    <row r="396" spans="1:11" x14ac:dyDescent="0.35">
      <c r="A396" s="21" t="s">
        <v>1379</v>
      </c>
      <c r="B396" s="18" t="s">
        <v>991</v>
      </c>
      <c r="C396" s="18">
        <v>24</v>
      </c>
      <c r="D396" s="19" t="s">
        <v>986</v>
      </c>
      <c r="E396" s="20">
        <v>45037</v>
      </c>
      <c r="F396" s="18">
        <v>74</v>
      </c>
      <c r="G396" s="22">
        <v>4.8</v>
      </c>
      <c r="H396">
        <f>IF(MONTH(Call_Center[[#This Row],[Date of Call]])&lt;=6,2023,2024)</f>
        <v>2023</v>
      </c>
      <c r="I396" t="str">
        <f>TEXT(Call_Center[[#This Row],[Date of Call]],"DDDD")</f>
        <v>Friday</v>
      </c>
      <c r="J396" t="str" cm="1">
        <f t="array" ref="J396">_xlfn.IFS(Call_Center[[#This Row],[Duration]]&lt;=10,"Under 10 mins",Call_Center[[#This Row],[Duration]]&lt;=30,"10 to 30 min",Call_Center[[#This Row],[Duration]]&lt;=60,"30 to 60 min",Call_Center[[#This Row],[Duration]]&lt;=120,"1 to 2 hours",TRUE,"More than 2 hours")</f>
        <v>10 to 30 min</v>
      </c>
      <c r="K396">
        <f>ROUND(Call_Center[[#This Row],[Satisfaction Rating]],0)</f>
        <v>5</v>
      </c>
    </row>
    <row r="397" spans="1:11" x14ac:dyDescent="0.35">
      <c r="A397" s="21" t="s">
        <v>1380</v>
      </c>
      <c r="B397" s="18" t="s">
        <v>969</v>
      </c>
      <c r="C397" s="18">
        <v>43</v>
      </c>
      <c r="D397" s="19" t="s">
        <v>977</v>
      </c>
      <c r="E397" s="20">
        <v>45038</v>
      </c>
      <c r="F397" s="18">
        <v>128</v>
      </c>
      <c r="G397" s="22">
        <v>4.7</v>
      </c>
      <c r="H397">
        <f>IF(MONTH(Call_Center[[#This Row],[Date of Call]])&lt;=6,2023,2024)</f>
        <v>2023</v>
      </c>
      <c r="I397" t="str">
        <f>TEXT(Call_Center[[#This Row],[Date of Call]],"DDDD")</f>
        <v>Saturday</v>
      </c>
      <c r="J397" t="str" cm="1">
        <f t="array" ref="J397">_xlfn.IFS(Call_Center[[#This Row],[Duration]]&lt;=10,"Under 10 mins",Call_Center[[#This Row],[Duration]]&lt;=30,"10 to 30 min",Call_Center[[#This Row],[Duration]]&lt;=60,"30 to 60 min",Call_Center[[#This Row],[Duration]]&lt;=120,"1 to 2 hours",TRUE,"More than 2 hours")</f>
        <v>30 to 60 min</v>
      </c>
      <c r="K397">
        <f>ROUND(Call_Center[[#This Row],[Satisfaction Rating]],0)</f>
        <v>5</v>
      </c>
    </row>
    <row r="398" spans="1:11" x14ac:dyDescent="0.35">
      <c r="A398" s="21" t="s">
        <v>1381</v>
      </c>
      <c r="B398" s="18" t="s">
        <v>974</v>
      </c>
      <c r="C398" s="18">
        <v>95</v>
      </c>
      <c r="D398" s="19" t="s">
        <v>972</v>
      </c>
      <c r="E398" s="20">
        <v>45038</v>
      </c>
      <c r="F398" s="18">
        <v>21</v>
      </c>
      <c r="G398" s="22">
        <v>3.9</v>
      </c>
      <c r="H398">
        <f>IF(MONTH(Call_Center[[#This Row],[Date of Call]])&lt;=6,2023,2024)</f>
        <v>2023</v>
      </c>
      <c r="I398" t="str">
        <f>TEXT(Call_Center[[#This Row],[Date of Call]],"DDDD")</f>
        <v>Saturday</v>
      </c>
      <c r="J398" t="str" cm="1">
        <f t="array" ref="J398">_xlfn.IFS(Call_Center[[#This Row],[Duration]]&lt;=10,"Under 10 mins",Call_Center[[#This Row],[Duration]]&lt;=30,"10 to 30 min",Call_Center[[#This Row],[Duration]]&lt;=60,"30 to 60 min",Call_Center[[#This Row],[Duration]]&lt;=120,"1 to 2 hours",TRUE,"More than 2 hours")</f>
        <v>1 to 2 hours</v>
      </c>
      <c r="K398">
        <f>ROUND(Call_Center[[#This Row],[Satisfaction Rating]],0)</f>
        <v>4</v>
      </c>
    </row>
    <row r="399" spans="1:11" x14ac:dyDescent="0.35">
      <c r="A399" s="21" t="s">
        <v>1382</v>
      </c>
      <c r="B399" s="18" t="s">
        <v>1038</v>
      </c>
      <c r="C399" s="18">
        <v>53</v>
      </c>
      <c r="D399" s="19" t="s">
        <v>977</v>
      </c>
      <c r="E399" s="20">
        <v>45038</v>
      </c>
      <c r="F399" s="18">
        <v>110</v>
      </c>
      <c r="G399" s="22">
        <v>4.3</v>
      </c>
      <c r="H399">
        <f>IF(MONTH(Call_Center[[#This Row],[Date of Call]])&lt;=6,2023,2024)</f>
        <v>2023</v>
      </c>
      <c r="I399" t="str">
        <f>TEXT(Call_Center[[#This Row],[Date of Call]],"DDDD")</f>
        <v>Saturday</v>
      </c>
      <c r="J399" t="str" cm="1">
        <f t="array" ref="J399">_xlfn.IFS(Call_Center[[#This Row],[Duration]]&lt;=10,"Under 10 mins",Call_Center[[#This Row],[Duration]]&lt;=30,"10 to 30 min",Call_Center[[#This Row],[Duration]]&lt;=60,"30 to 60 min",Call_Center[[#This Row],[Duration]]&lt;=120,"1 to 2 hours",TRUE,"More than 2 hours")</f>
        <v>30 to 60 min</v>
      </c>
      <c r="K399">
        <f>ROUND(Call_Center[[#This Row],[Satisfaction Rating]],0)</f>
        <v>4</v>
      </c>
    </row>
    <row r="400" spans="1:11" x14ac:dyDescent="0.35">
      <c r="A400" s="21" t="s">
        <v>1383</v>
      </c>
      <c r="B400" s="18" t="s">
        <v>969</v>
      </c>
      <c r="C400" s="18">
        <v>113</v>
      </c>
      <c r="D400" s="19" t="s">
        <v>977</v>
      </c>
      <c r="E400" s="20">
        <v>45038</v>
      </c>
      <c r="F400" s="18">
        <v>145</v>
      </c>
      <c r="G400" s="22">
        <v>4</v>
      </c>
      <c r="H400">
        <f>IF(MONTH(Call_Center[[#This Row],[Date of Call]])&lt;=6,2023,2024)</f>
        <v>2023</v>
      </c>
      <c r="I400" t="str">
        <f>TEXT(Call_Center[[#This Row],[Date of Call]],"DDDD")</f>
        <v>Saturday</v>
      </c>
      <c r="J400" t="str" cm="1">
        <f t="array" ref="J400">_xlfn.IFS(Call_Center[[#This Row],[Duration]]&lt;=10,"Under 10 mins",Call_Center[[#This Row],[Duration]]&lt;=30,"10 to 30 min",Call_Center[[#This Row],[Duration]]&lt;=60,"30 to 60 min",Call_Center[[#This Row],[Duration]]&lt;=120,"1 to 2 hours",TRUE,"More than 2 hours")</f>
        <v>1 to 2 hours</v>
      </c>
      <c r="K400">
        <f>ROUND(Call_Center[[#This Row],[Satisfaction Rating]],0)</f>
        <v>4</v>
      </c>
    </row>
    <row r="401" spans="1:11" x14ac:dyDescent="0.35">
      <c r="A401" s="21" t="s">
        <v>1384</v>
      </c>
      <c r="B401" s="18" t="s">
        <v>1038</v>
      </c>
      <c r="C401" s="18">
        <v>89</v>
      </c>
      <c r="D401" s="19" t="s">
        <v>982</v>
      </c>
      <c r="E401" s="20">
        <v>45038</v>
      </c>
      <c r="F401" s="18">
        <v>129</v>
      </c>
      <c r="G401" s="22">
        <v>4</v>
      </c>
      <c r="H401">
        <f>IF(MONTH(Call_Center[[#This Row],[Date of Call]])&lt;=6,2023,2024)</f>
        <v>2023</v>
      </c>
      <c r="I401" t="str">
        <f>TEXT(Call_Center[[#This Row],[Date of Call]],"DDDD")</f>
        <v>Saturday</v>
      </c>
      <c r="J401" t="str" cm="1">
        <f t="array" ref="J401">_xlfn.IFS(Call_Center[[#This Row],[Duration]]&lt;=10,"Under 10 mins",Call_Center[[#This Row],[Duration]]&lt;=30,"10 to 30 min",Call_Center[[#This Row],[Duration]]&lt;=60,"30 to 60 min",Call_Center[[#This Row],[Duration]]&lt;=120,"1 to 2 hours",TRUE,"More than 2 hours")</f>
        <v>1 to 2 hours</v>
      </c>
      <c r="K401">
        <f>ROUND(Call_Center[[#This Row],[Satisfaction Rating]],0)</f>
        <v>4</v>
      </c>
    </row>
    <row r="402" spans="1:11" x14ac:dyDescent="0.35">
      <c r="A402" s="21" t="s">
        <v>1385</v>
      </c>
      <c r="B402" s="18" t="s">
        <v>985</v>
      </c>
      <c r="C402" s="18">
        <v>84</v>
      </c>
      <c r="D402" s="19" t="s">
        <v>967</v>
      </c>
      <c r="E402" s="20">
        <v>45038</v>
      </c>
      <c r="F402" s="18">
        <v>156</v>
      </c>
      <c r="G402" s="22">
        <v>3.2</v>
      </c>
      <c r="H402">
        <f>IF(MONTH(Call_Center[[#This Row],[Date of Call]])&lt;=6,2023,2024)</f>
        <v>2023</v>
      </c>
      <c r="I402" t="str">
        <f>TEXT(Call_Center[[#This Row],[Date of Call]],"DDDD")</f>
        <v>Saturday</v>
      </c>
      <c r="J402" t="str" cm="1">
        <f t="array" ref="J402">_xlfn.IFS(Call_Center[[#This Row],[Duration]]&lt;=10,"Under 10 mins",Call_Center[[#This Row],[Duration]]&lt;=30,"10 to 30 min",Call_Center[[#This Row],[Duration]]&lt;=60,"30 to 60 min",Call_Center[[#This Row],[Duration]]&lt;=120,"1 to 2 hours",TRUE,"More than 2 hours")</f>
        <v>1 to 2 hours</v>
      </c>
      <c r="K402">
        <f>ROUND(Call_Center[[#This Row],[Satisfaction Rating]],0)</f>
        <v>3</v>
      </c>
    </row>
    <row r="403" spans="1:11" x14ac:dyDescent="0.35">
      <c r="A403" s="21" t="s">
        <v>1386</v>
      </c>
      <c r="B403" s="18" t="s">
        <v>991</v>
      </c>
      <c r="C403" s="18">
        <v>130</v>
      </c>
      <c r="D403" s="19" t="s">
        <v>977</v>
      </c>
      <c r="E403" s="20">
        <v>45039</v>
      </c>
      <c r="F403" s="18">
        <v>120</v>
      </c>
      <c r="G403" s="22">
        <v>3.8</v>
      </c>
      <c r="H403">
        <f>IF(MONTH(Call_Center[[#This Row],[Date of Call]])&lt;=6,2023,2024)</f>
        <v>2023</v>
      </c>
      <c r="I403" t="str">
        <f>TEXT(Call_Center[[#This Row],[Date of Call]],"DDDD")</f>
        <v>Sunday</v>
      </c>
      <c r="J403" t="str" cm="1">
        <f t="array" ref="J403">_xlfn.IFS(Call_Center[[#This Row],[Duration]]&lt;=10,"Under 10 mins",Call_Center[[#This Row],[Duration]]&lt;=30,"10 to 30 min",Call_Center[[#This Row],[Duration]]&lt;=60,"30 to 60 min",Call_Center[[#This Row],[Duration]]&lt;=120,"1 to 2 hours",TRUE,"More than 2 hours")</f>
        <v>More than 2 hours</v>
      </c>
      <c r="K403">
        <f>ROUND(Call_Center[[#This Row],[Satisfaction Rating]],0)</f>
        <v>4</v>
      </c>
    </row>
    <row r="404" spans="1:11" x14ac:dyDescent="0.35">
      <c r="A404" s="21" t="s">
        <v>1387</v>
      </c>
      <c r="B404" s="18" t="s">
        <v>974</v>
      </c>
      <c r="C404" s="18">
        <v>163</v>
      </c>
      <c r="D404" s="19" t="s">
        <v>982</v>
      </c>
      <c r="E404" s="20">
        <v>45039</v>
      </c>
      <c r="F404" s="18">
        <v>62</v>
      </c>
      <c r="G404" s="22">
        <v>3.4</v>
      </c>
      <c r="H404">
        <f>IF(MONTH(Call_Center[[#This Row],[Date of Call]])&lt;=6,2023,2024)</f>
        <v>2023</v>
      </c>
      <c r="I404" t="str">
        <f>TEXT(Call_Center[[#This Row],[Date of Call]],"DDDD")</f>
        <v>Sunday</v>
      </c>
      <c r="J404" t="str" cm="1">
        <f t="array" ref="J404">_xlfn.IFS(Call_Center[[#This Row],[Duration]]&lt;=10,"Under 10 mins",Call_Center[[#This Row],[Duration]]&lt;=30,"10 to 30 min",Call_Center[[#This Row],[Duration]]&lt;=60,"30 to 60 min",Call_Center[[#This Row],[Duration]]&lt;=120,"1 to 2 hours",TRUE,"More than 2 hours")</f>
        <v>More than 2 hours</v>
      </c>
      <c r="K404">
        <f>ROUND(Call_Center[[#This Row],[Satisfaction Rating]],0)</f>
        <v>3</v>
      </c>
    </row>
    <row r="405" spans="1:11" x14ac:dyDescent="0.35">
      <c r="A405" s="21" t="s">
        <v>1388</v>
      </c>
      <c r="B405" s="18" t="s">
        <v>997</v>
      </c>
      <c r="C405" s="18">
        <v>127</v>
      </c>
      <c r="D405" s="19" t="s">
        <v>977</v>
      </c>
      <c r="E405" s="20">
        <v>45039</v>
      </c>
      <c r="F405" s="18">
        <v>160</v>
      </c>
      <c r="G405" s="22">
        <v>3.2</v>
      </c>
      <c r="H405">
        <f>IF(MONTH(Call_Center[[#This Row],[Date of Call]])&lt;=6,2023,2024)</f>
        <v>2023</v>
      </c>
      <c r="I405" t="str">
        <f>TEXT(Call_Center[[#This Row],[Date of Call]],"DDDD")</f>
        <v>Sunday</v>
      </c>
      <c r="J405" t="str" cm="1">
        <f t="array" ref="J405">_xlfn.IFS(Call_Center[[#This Row],[Duration]]&lt;=10,"Under 10 mins",Call_Center[[#This Row],[Duration]]&lt;=30,"10 to 30 min",Call_Center[[#This Row],[Duration]]&lt;=60,"30 to 60 min",Call_Center[[#This Row],[Duration]]&lt;=120,"1 to 2 hours",TRUE,"More than 2 hours")</f>
        <v>More than 2 hours</v>
      </c>
      <c r="K405">
        <f>ROUND(Call_Center[[#This Row],[Satisfaction Rating]],0)</f>
        <v>3</v>
      </c>
    </row>
    <row r="406" spans="1:11" x14ac:dyDescent="0.35">
      <c r="A406" s="21" t="s">
        <v>1389</v>
      </c>
      <c r="B406" s="18" t="s">
        <v>969</v>
      </c>
      <c r="C406" s="18">
        <v>50</v>
      </c>
      <c r="D406" s="19" t="s">
        <v>977</v>
      </c>
      <c r="E406" s="20">
        <v>45039</v>
      </c>
      <c r="F406" s="18">
        <v>56</v>
      </c>
      <c r="G406" s="22">
        <v>4.7</v>
      </c>
      <c r="H406">
        <f>IF(MONTH(Call_Center[[#This Row],[Date of Call]])&lt;=6,2023,2024)</f>
        <v>2023</v>
      </c>
      <c r="I406" t="str">
        <f>TEXT(Call_Center[[#This Row],[Date of Call]],"DDDD")</f>
        <v>Sunday</v>
      </c>
      <c r="J406" t="str" cm="1">
        <f t="array" ref="J406">_xlfn.IFS(Call_Center[[#This Row],[Duration]]&lt;=10,"Under 10 mins",Call_Center[[#This Row],[Duration]]&lt;=30,"10 to 30 min",Call_Center[[#This Row],[Duration]]&lt;=60,"30 to 60 min",Call_Center[[#This Row],[Duration]]&lt;=120,"1 to 2 hours",TRUE,"More than 2 hours")</f>
        <v>30 to 60 min</v>
      </c>
      <c r="K406">
        <f>ROUND(Call_Center[[#This Row],[Satisfaction Rating]],0)</f>
        <v>5</v>
      </c>
    </row>
    <row r="407" spans="1:11" x14ac:dyDescent="0.35">
      <c r="A407" s="21" t="s">
        <v>1390</v>
      </c>
      <c r="B407" s="18" t="s">
        <v>980</v>
      </c>
      <c r="C407" s="18">
        <v>88</v>
      </c>
      <c r="D407" s="19" t="s">
        <v>986</v>
      </c>
      <c r="E407" s="20">
        <v>45039</v>
      </c>
      <c r="F407" s="18">
        <v>72</v>
      </c>
      <c r="G407" s="22">
        <v>4</v>
      </c>
      <c r="H407">
        <f>IF(MONTH(Call_Center[[#This Row],[Date of Call]])&lt;=6,2023,2024)</f>
        <v>2023</v>
      </c>
      <c r="I407" t="str">
        <f>TEXT(Call_Center[[#This Row],[Date of Call]],"DDDD")</f>
        <v>Sunday</v>
      </c>
      <c r="J407" t="str" cm="1">
        <f t="array" ref="J407">_xlfn.IFS(Call_Center[[#This Row],[Duration]]&lt;=10,"Under 10 mins",Call_Center[[#This Row],[Duration]]&lt;=30,"10 to 30 min",Call_Center[[#This Row],[Duration]]&lt;=60,"30 to 60 min",Call_Center[[#This Row],[Duration]]&lt;=120,"1 to 2 hours",TRUE,"More than 2 hours")</f>
        <v>1 to 2 hours</v>
      </c>
      <c r="K407">
        <f>ROUND(Call_Center[[#This Row],[Satisfaction Rating]],0)</f>
        <v>4</v>
      </c>
    </row>
    <row r="408" spans="1:11" x14ac:dyDescent="0.35">
      <c r="A408" s="21" t="s">
        <v>1391</v>
      </c>
      <c r="B408" s="18" t="s">
        <v>969</v>
      </c>
      <c r="C408" s="18">
        <v>139</v>
      </c>
      <c r="D408" s="19" t="s">
        <v>972</v>
      </c>
      <c r="E408" s="20">
        <v>45040</v>
      </c>
      <c r="F408" s="18">
        <v>81</v>
      </c>
      <c r="G408" s="22">
        <v>4.8</v>
      </c>
      <c r="H408">
        <f>IF(MONTH(Call_Center[[#This Row],[Date of Call]])&lt;=6,2023,2024)</f>
        <v>2023</v>
      </c>
      <c r="I408" t="str">
        <f>TEXT(Call_Center[[#This Row],[Date of Call]],"DDDD")</f>
        <v>Monday</v>
      </c>
      <c r="J408" t="str" cm="1">
        <f t="array" ref="J408">_xlfn.IFS(Call_Center[[#This Row],[Duration]]&lt;=10,"Under 10 mins",Call_Center[[#This Row],[Duration]]&lt;=30,"10 to 30 min",Call_Center[[#This Row],[Duration]]&lt;=60,"30 to 60 min",Call_Center[[#This Row],[Duration]]&lt;=120,"1 to 2 hours",TRUE,"More than 2 hours")</f>
        <v>More than 2 hours</v>
      </c>
      <c r="K408">
        <f>ROUND(Call_Center[[#This Row],[Satisfaction Rating]],0)</f>
        <v>5</v>
      </c>
    </row>
    <row r="409" spans="1:11" x14ac:dyDescent="0.35">
      <c r="A409" s="21" t="s">
        <v>1392</v>
      </c>
      <c r="B409" s="18" t="s">
        <v>974</v>
      </c>
      <c r="C409" s="18">
        <v>111</v>
      </c>
      <c r="D409" s="19" t="s">
        <v>977</v>
      </c>
      <c r="E409" s="20">
        <v>45040</v>
      </c>
      <c r="F409" s="18">
        <v>144</v>
      </c>
      <c r="G409" s="22">
        <v>3.9</v>
      </c>
      <c r="H409">
        <f>IF(MONTH(Call_Center[[#This Row],[Date of Call]])&lt;=6,2023,2024)</f>
        <v>2023</v>
      </c>
      <c r="I409" t="str">
        <f>TEXT(Call_Center[[#This Row],[Date of Call]],"DDDD")</f>
        <v>Monday</v>
      </c>
      <c r="J409" t="str" cm="1">
        <f t="array" ref="J409">_xlfn.IFS(Call_Center[[#This Row],[Duration]]&lt;=10,"Under 10 mins",Call_Center[[#This Row],[Duration]]&lt;=30,"10 to 30 min",Call_Center[[#This Row],[Duration]]&lt;=60,"30 to 60 min",Call_Center[[#This Row],[Duration]]&lt;=120,"1 to 2 hours",TRUE,"More than 2 hours")</f>
        <v>1 to 2 hours</v>
      </c>
      <c r="K409">
        <f>ROUND(Call_Center[[#This Row],[Satisfaction Rating]],0)</f>
        <v>4</v>
      </c>
    </row>
    <row r="410" spans="1:11" x14ac:dyDescent="0.35">
      <c r="A410" s="21" t="s">
        <v>1393</v>
      </c>
      <c r="B410" s="18" t="s">
        <v>971</v>
      </c>
      <c r="C410" s="18">
        <v>115</v>
      </c>
      <c r="D410" s="19" t="s">
        <v>972</v>
      </c>
      <c r="E410" s="20">
        <v>45040</v>
      </c>
      <c r="F410" s="18">
        <v>111</v>
      </c>
      <c r="G410" s="22">
        <v>4.3</v>
      </c>
      <c r="H410">
        <f>IF(MONTH(Call_Center[[#This Row],[Date of Call]])&lt;=6,2023,2024)</f>
        <v>2023</v>
      </c>
      <c r="I410" t="str">
        <f>TEXT(Call_Center[[#This Row],[Date of Call]],"DDDD")</f>
        <v>Monday</v>
      </c>
      <c r="J410" t="str" cm="1">
        <f t="array" ref="J410">_xlfn.IFS(Call_Center[[#This Row],[Duration]]&lt;=10,"Under 10 mins",Call_Center[[#This Row],[Duration]]&lt;=30,"10 to 30 min",Call_Center[[#This Row],[Duration]]&lt;=60,"30 to 60 min",Call_Center[[#This Row],[Duration]]&lt;=120,"1 to 2 hours",TRUE,"More than 2 hours")</f>
        <v>1 to 2 hours</v>
      </c>
      <c r="K410">
        <f>ROUND(Call_Center[[#This Row],[Satisfaction Rating]],0)</f>
        <v>4</v>
      </c>
    </row>
    <row r="411" spans="1:11" x14ac:dyDescent="0.35">
      <c r="A411" s="21" t="s">
        <v>1394</v>
      </c>
      <c r="B411" s="18" t="s">
        <v>1038</v>
      </c>
      <c r="C411" s="18">
        <v>26</v>
      </c>
      <c r="D411" s="19" t="s">
        <v>982</v>
      </c>
      <c r="E411" s="20">
        <v>45040</v>
      </c>
      <c r="F411" s="18">
        <v>43</v>
      </c>
      <c r="G411" s="22">
        <v>4.2</v>
      </c>
      <c r="H411">
        <f>IF(MONTH(Call_Center[[#This Row],[Date of Call]])&lt;=6,2023,2024)</f>
        <v>2023</v>
      </c>
      <c r="I411" t="str">
        <f>TEXT(Call_Center[[#This Row],[Date of Call]],"DDDD")</f>
        <v>Monday</v>
      </c>
      <c r="J411" t="str" cm="1">
        <f t="array" ref="J411">_xlfn.IFS(Call_Center[[#This Row],[Duration]]&lt;=10,"Under 10 mins",Call_Center[[#This Row],[Duration]]&lt;=30,"10 to 30 min",Call_Center[[#This Row],[Duration]]&lt;=60,"30 to 60 min",Call_Center[[#This Row],[Duration]]&lt;=120,"1 to 2 hours",TRUE,"More than 2 hours")</f>
        <v>10 to 30 min</v>
      </c>
      <c r="K411">
        <f>ROUND(Call_Center[[#This Row],[Satisfaction Rating]],0)</f>
        <v>4</v>
      </c>
    </row>
    <row r="412" spans="1:11" x14ac:dyDescent="0.35">
      <c r="A412" s="21" t="s">
        <v>1395</v>
      </c>
      <c r="B412" s="18" t="s">
        <v>985</v>
      </c>
      <c r="C412" s="18">
        <v>131</v>
      </c>
      <c r="D412" s="19" t="s">
        <v>986</v>
      </c>
      <c r="E412" s="20">
        <v>45040</v>
      </c>
      <c r="F412" s="18">
        <v>41</v>
      </c>
      <c r="G412" s="22">
        <v>4.9000000000000004</v>
      </c>
      <c r="H412">
        <f>IF(MONTH(Call_Center[[#This Row],[Date of Call]])&lt;=6,2023,2024)</f>
        <v>2023</v>
      </c>
      <c r="I412" t="str">
        <f>TEXT(Call_Center[[#This Row],[Date of Call]],"DDDD")</f>
        <v>Monday</v>
      </c>
      <c r="J412" t="str" cm="1">
        <f t="array" ref="J412">_xlfn.IFS(Call_Center[[#This Row],[Duration]]&lt;=10,"Under 10 mins",Call_Center[[#This Row],[Duration]]&lt;=30,"10 to 30 min",Call_Center[[#This Row],[Duration]]&lt;=60,"30 to 60 min",Call_Center[[#This Row],[Duration]]&lt;=120,"1 to 2 hours",TRUE,"More than 2 hours")</f>
        <v>More than 2 hours</v>
      </c>
      <c r="K412">
        <f>ROUND(Call_Center[[#This Row],[Satisfaction Rating]],0)</f>
        <v>5</v>
      </c>
    </row>
    <row r="413" spans="1:11" x14ac:dyDescent="0.35">
      <c r="A413" s="21" t="s">
        <v>1396</v>
      </c>
      <c r="B413" s="18" t="s">
        <v>971</v>
      </c>
      <c r="C413" s="18">
        <v>27</v>
      </c>
      <c r="D413" s="19" t="s">
        <v>986</v>
      </c>
      <c r="E413" s="20">
        <v>45040</v>
      </c>
      <c r="F413" s="18">
        <v>74</v>
      </c>
      <c r="G413" s="22">
        <v>4</v>
      </c>
      <c r="H413">
        <f>IF(MONTH(Call_Center[[#This Row],[Date of Call]])&lt;=6,2023,2024)</f>
        <v>2023</v>
      </c>
      <c r="I413" t="str">
        <f>TEXT(Call_Center[[#This Row],[Date of Call]],"DDDD")</f>
        <v>Monday</v>
      </c>
      <c r="J413" t="str" cm="1">
        <f t="array" ref="J413">_xlfn.IFS(Call_Center[[#This Row],[Duration]]&lt;=10,"Under 10 mins",Call_Center[[#This Row],[Duration]]&lt;=30,"10 to 30 min",Call_Center[[#This Row],[Duration]]&lt;=60,"30 to 60 min",Call_Center[[#This Row],[Duration]]&lt;=120,"1 to 2 hours",TRUE,"More than 2 hours")</f>
        <v>10 to 30 min</v>
      </c>
      <c r="K413">
        <f>ROUND(Call_Center[[#This Row],[Satisfaction Rating]],0)</f>
        <v>4</v>
      </c>
    </row>
    <row r="414" spans="1:11" x14ac:dyDescent="0.35">
      <c r="A414" s="21" t="s">
        <v>1397</v>
      </c>
      <c r="B414" s="18" t="s">
        <v>1008</v>
      </c>
      <c r="C414" s="18">
        <v>75</v>
      </c>
      <c r="D414" s="19" t="s">
        <v>977</v>
      </c>
      <c r="E414" s="20">
        <v>45040</v>
      </c>
      <c r="F414" s="18">
        <v>43</v>
      </c>
      <c r="G414" s="22">
        <v>4.9000000000000004</v>
      </c>
      <c r="H414">
        <f>IF(MONTH(Call_Center[[#This Row],[Date of Call]])&lt;=6,2023,2024)</f>
        <v>2023</v>
      </c>
      <c r="I414" t="str">
        <f>TEXT(Call_Center[[#This Row],[Date of Call]],"DDDD")</f>
        <v>Monday</v>
      </c>
      <c r="J414" t="str" cm="1">
        <f t="array" ref="J414">_xlfn.IFS(Call_Center[[#This Row],[Duration]]&lt;=10,"Under 10 mins",Call_Center[[#This Row],[Duration]]&lt;=30,"10 to 30 min",Call_Center[[#This Row],[Duration]]&lt;=60,"30 to 60 min",Call_Center[[#This Row],[Duration]]&lt;=120,"1 to 2 hours",TRUE,"More than 2 hours")</f>
        <v>1 to 2 hours</v>
      </c>
      <c r="K414">
        <f>ROUND(Call_Center[[#This Row],[Satisfaction Rating]],0)</f>
        <v>5</v>
      </c>
    </row>
    <row r="415" spans="1:11" x14ac:dyDescent="0.35">
      <c r="A415" s="21" t="s">
        <v>1398</v>
      </c>
      <c r="B415" s="18" t="s">
        <v>1000</v>
      </c>
      <c r="C415" s="18">
        <v>123</v>
      </c>
      <c r="D415" s="19" t="s">
        <v>986</v>
      </c>
      <c r="E415" s="20">
        <v>45040</v>
      </c>
      <c r="F415" s="18">
        <v>128</v>
      </c>
      <c r="G415" s="22">
        <v>3.6</v>
      </c>
      <c r="H415">
        <f>IF(MONTH(Call_Center[[#This Row],[Date of Call]])&lt;=6,2023,2024)</f>
        <v>2023</v>
      </c>
      <c r="I415" t="str">
        <f>TEXT(Call_Center[[#This Row],[Date of Call]],"DDDD")</f>
        <v>Monday</v>
      </c>
      <c r="J415" t="str" cm="1">
        <f t="array" ref="J415">_xlfn.IFS(Call_Center[[#This Row],[Duration]]&lt;=10,"Under 10 mins",Call_Center[[#This Row],[Duration]]&lt;=30,"10 to 30 min",Call_Center[[#This Row],[Duration]]&lt;=60,"30 to 60 min",Call_Center[[#This Row],[Duration]]&lt;=120,"1 to 2 hours",TRUE,"More than 2 hours")</f>
        <v>More than 2 hours</v>
      </c>
      <c r="K415">
        <f>ROUND(Call_Center[[#This Row],[Satisfaction Rating]],0)</f>
        <v>4</v>
      </c>
    </row>
    <row r="416" spans="1:11" x14ac:dyDescent="0.35">
      <c r="A416" s="21" t="s">
        <v>1399</v>
      </c>
      <c r="B416" s="18" t="s">
        <v>966</v>
      </c>
      <c r="C416" s="18">
        <v>129</v>
      </c>
      <c r="D416" s="19" t="s">
        <v>986</v>
      </c>
      <c r="E416" s="20">
        <v>45041</v>
      </c>
      <c r="F416" s="18">
        <v>144</v>
      </c>
      <c r="G416" s="22">
        <v>4.0999999999999996</v>
      </c>
      <c r="H416">
        <f>IF(MONTH(Call_Center[[#This Row],[Date of Call]])&lt;=6,2023,2024)</f>
        <v>2023</v>
      </c>
      <c r="I416" t="str">
        <f>TEXT(Call_Center[[#This Row],[Date of Call]],"DDDD")</f>
        <v>Tuesday</v>
      </c>
      <c r="J416" t="str" cm="1">
        <f t="array" ref="J416">_xlfn.IFS(Call_Center[[#This Row],[Duration]]&lt;=10,"Under 10 mins",Call_Center[[#This Row],[Duration]]&lt;=30,"10 to 30 min",Call_Center[[#This Row],[Duration]]&lt;=60,"30 to 60 min",Call_Center[[#This Row],[Duration]]&lt;=120,"1 to 2 hours",TRUE,"More than 2 hours")</f>
        <v>More than 2 hours</v>
      </c>
      <c r="K416">
        <f>ROUND(Call_Center[[#This Row],[Satisfaction Rating]],0)</f>
        <v>4</v>
      </c>
    </row>
    <row r="417" spans="1:11" x14ac:dyDescent="0.35">
      <c r="A417" s="21" t="s">
        <v>1400</v>
      </c>
      <c r="B417" s="18" t="s">
        <v>1008</v>
      </c>
      <c r="C417" s="18">
        <v>124</v>
      </c>
      <c r="D417" s="19" t="s">
        <v>972</v>
      </c>
      <c r="E417" s="20">
        <v>45041</v>
      </c>
      <c r="F417" s="18">
        <v>132</v>
      </c>
      <c r="G417" s="22">
        <v>4.9000000000000004</v>
      </c>
      <c r="H417">
        <f>IF(MONTH(Call_Center[[#This Row],[Date of Call]])&lt;=6,2023,2024)</f>
        <v>2023</v>
      </c>
      <c r="I417" t="str">
        <f>TEXT(Call_Center[[#This Row],[Date of Call]],"DDDD")</f>
        <v>Tuesday</v>
      </c>
      <c r="J417" t="str" cm="1">
        <f t="array" ref="J417">_xlfn.IFS(Call_Center[[#This Row],[Duration]]&lt;=10,"Under 10 mins",Call_Center[[#This Row],[Duration]]&lt;=30,"10 to 30 min",Call_Center[[#This Row],[Duration]]&lt;=60,"30 to 60 min",Call_Center[[#This Row],[Duration]]&lt;=120,"1 to 2 hours",TRUE,"More than 2 hours")</f>
        <v>More than 2 hours</v>
      </c>
      <c r="K417">
        <f>ROUND(Call_Center[[#This Row],[Satisfaction Rating]],0)</f>
        <v>5</v>
      </c>
    </row>
    <row r="418" spans="1:11" x14ac:dyDescent="0.35">
      <c r="A418" s="21" t="s">
        <v>1401</v>
      </c>
      <c r="B418" s="18" t="s">
        <v>971</v>
      </c>
      <c r="C418" s="18">
        <v>108</v>
      </c>
      <c r="D418" s="19" t="s">
        <v>972</v>
      </c>
      <c r="E418" s="20">
        <v>45041</v>
      </c>
      <c r="F418" s="18">
        <v>180</v>
      </c>
      <c r="G418" s="22">
        <v>3.9</v>
      </c>
      <c r="H418">
        <f>IF(MONTH(Call_Center[[#This Row],[Date of Call]])&lt;=6,2023,2024)</f>
        <v>2023</v>
      </c>
      <c r="I418" t="str">
        <f>TEXT(Call_Center[[#This Row],[Date of Call]],"DDDD")</f>
        <v>Tuesday</v>
      </c>
      <c r="J418" t="str" cm="1">
        <f t="array" ref="J418">_xlfn.IFS(Call_Center[[#This Row],[Duration]]&lt;=10,"Under 10 mins",Call_Center[[#This Row],[Duration]]&lt;=30,"10 to 30 min",Call_Center[[#This Row],[Duration]]&lt;=60,"30 to 60 min",Call_Center[[#This Row],[Duration]]&lt;=120,"1 to 2 hours",TRUE,"More than 2 hours")</f>
        <v>1 to 2 hours</v>
      </c>
      <c r="K418">
        <f>ROUND(Call_Center[[#This Row],[Satisfaction Rating]],0)</f>
        <v>4</v>
      </c>
    </row>
    <row r="419" spans="1:11" x14ac:dyDescent="0.35">
      <c r="A419" s="21" t="s">
        <v>1402</v>
      </c>
      <c r="B419" s="18" t="s">
        <v>976</v>
      </c>
      <c r="C419" s="18">
        <v>15</v>
      </c>
      <c r="D419" s="19" t="s">
        <v>972</v>
      </c>
      <c r="E419" s="20">
        <v>45041</v>
      </c>
      <c r="F419" s="18">
        <v>31</v>
      </c>
      <c r="G419" s="22">
        <v>4.0999999999999996</v>
      </c>
      <c r="H419">
        <f>IF(MONTH(Call_Center[[#This Row],[Date of Call]])&lt;=6,2023,2024)</f>
        <v>2023</v>
      </c>
      <c r="I419" t="str">
        <f>TEXT(Call_Center[[#This Row],[Date of Call]],"DDDD")</f>
        <v>Tuesday</v>
      </c>
      <c r="J419" t="str" cm="1">
        <f t="array" ref="J419">_xlfn.IFS(Call_Center[[#This Row],[Duration]]&lt;=10,"Under 10 mins",Call_Center[[#This Row],[Duration]]&lt;=30,"10 to 30 min",Call_Center[[#This Row],[Duration]]&lt;=60,"30 to 60 min",Call_Center[[#This Row],[Duration]]&lt;=120,"1 to 2 hours",TRUE,"More than 2 hours")</f>
        <v>10 to 30 min</v>
      </c>
      <c r="K419">
        <f>ROUND(Call_Center[[#This Row],[Satisfaction Rating]],0)</f>
        <v>4</v>
      </c>
    </row>
    <row r="420" spans="1:11" x14ac:dyDescent="0.35">
      <c r="A420" s="21" t="s">
        <v>1403</v>
      </c>
      <c r="B420" s="18" t="s">
        <v>971</v>
      </c>
      <c r="C420" s="18">
        <v>66</v>
      </c>
      <c r="D420" s="19" t="s">
        <v>972</v>
      </c>
      <c r="E420" s="20">
        <v>45041</v>
      </c>
      <c r="F420" s="18">
        <v>102</v>
      </c>
      <c r="G420" s="22">
        <v>3.8</v>
      </c>
      <c r="H420">
        <f>IF(MONTH(Call_Center[[#This Row],[Date of Call]])&lt;=6,2023,2024)</f>
        <v>2023</v>
      </c>
      <c r="I420" t="str">
        <f>TEXT(Call_Center[[#This Row],[Date of Call]],"DDDD")</f>
        <v>Tuesday</v>
      </c>
      <c r="J420" t="str" cm="1">
        <f t="array" ref="J420">_xlfn.IFS(Call_Center[[#This Row],[Duration]]&lt;=10,"Under 10 mins",Call_Center[[#This Row],[Duration]]&lt;=30,"10 to 30 min",Call_Center[[#This Row],[Duration]]&lt;=60,"30 to 60 min",Call_Center[[#This Row],[Duration]]&lt;=120,"1 to 2 hours",TRUE,"More than 2 hours")</f>
        <v>1 to 2 hours</v>
      </c>
      <c r="K420">
        <f>ROUND(Call_Center[[#This Row],[Satisfaction Rating]],0)</f>
        <v>4</v>
      </c>
    </row>
    <row r="421" spans="1:11" x14ac:dyDescent="0.35">
      <c r="A421" s="21" t="s">
        <v>1404</v>
      </c>
      <c r="B421" s="18" t="s">
        <v>980</v>
      </c>
      <c r="C421" s="18">
        <v>126</v>
      </c>
      <c r="D421" s="19" t="s">
        <v>977</v>
      </c>
      <c r="E421" s="20">
        <v>45042</v>
      </c>
      <c r="F421" s="18">
        <v>175</v>
      </c>
      <c r="G421" s="22">
        <v>4.8</v>
      </c>
      <c r="H421">
        <f>IF(MONTH(Call_Center[[#This Row],[Date of Call]])&lt;=6,2023,2024)</f>
        <v>2023</v>
      </c>
      <c r="I421" t="str">
        <f>TEXT(Call_Center[[#This Row],[Date of Call]],"DDDD")</f>
        <v>Wednesday</v>
      </c>
      <c r="J421" t="str" cm="1">
        <f t="array" ref="J421">_xlfn.IFS(Call_Center[[#This Row],[Duration]]&lt;=10,"Under 10 mins",Call_Center[[#This Row],[Duration]]&lt;=30,"10 to 30 min",Call_Center[[#This Row],[Duration]]&lt;=60,"30 to 60 min",Call_Center[[#This Row],[Duration]]&lt;=120,"1 to 2 hours",TRUE,"More than 2 hours")</f>
        <v>More than 2 hours</v>
      </c>
      <c r="K421">
        <f>ROUND(Call_Center[[#This Row],[Satisfaction Rating]],0)</f>
        <v>5</v>
      </c>
    </row>
    <row r="422" spans="1:11" x14ac:dyDescent="0.35">
      <c r="A422" s="21" t="s">
        <v>1405</v>
      </c>
      <c r="B422" s="18" t="s">
        <v>1008</v>
      </c>
      <c r="C422" s="18">
        <v>26</v>
      </c>
      <c r="D422" s="19" t="s">
        <v>967</v>
      </c>
      <c r="E422" s="20">
        <v>45042</v>
      </c>
      <c r="F422" s="18">
        <v>87</v>
      </c>
      <c r="G422" s="22">
        <v>4.7</v>
      </c>
      <c r="H422">
        <f>IF(MONTH(Call_Center[[#This Row],[Date of Call]])&lt;=6,2023,2024)</f>
        <v>2023</v>
      </c>
      <c r="I422" t="str">
        <f>TEXT(Call_Center[[#This Row],[Date of Call]],"DDDD")</f>
        <v>Wednesday</v>
      </c>
      <c r="J422" t="str" cm="1">
        <f t="array" ref="J422">_xlfn.IFS(Call_Center[[#This Row],[Duration]]&lt;=10,"Under 10 mins",Call_Center[[#This Row],[Duration]]&lt;=30,"10 to 30 min",Call_Center[[#This Row],[Duration]]&lt;=60,"30 to 60 min",Call_Center[[#This Row],[Duration]]&lt;=120,"1 to 2 hours",TRUE,"More than 2 hours")</f>
        <v>10 to 30 min</v>
      </c>
      <c r="K422">
        <f>ROUND(Call_Center[[#This Row],[Satisfaction Rating]],0)</f>
        <v>5</v>
      </c>
    </row>
    <row r="423" spans="1:11" x14ac:dyDescent="0.35">
      <c r="A423" s="21" t="s">
        <v>1406</v>
      </c>
      <c r="B423" s="18" t="s">
        <v>991</v>
      </c>
      <c r="C423" s="18">
        <v>105</v>
      </c>
      <c r="D423" s="19" t="s">
        <v>977</v>
      </c>
      <c r="E423" s="20">
        <v>45042</v>
      </c>
      <c r="F423" s="18">
        <v>66</v>
      </c>
      <c r="G423" s="22">
        <v>4.2</v>
      </c>
      <c r="H423">
        <f>IF(MONTH(Call_Center[[#This Row],[Date of Call]])&lt;=6,2023,2024)</f>
        <v>2023</v>
      </c>
      <c r="I423" t="str">
        <f>TEXT(Call_Center[[#This Row],[Date of Call]],"DDDD")</f>
        <v>Wednesday</v>
      </c>
      <c r="J423" t="str" cm="1">
        <f t="array" ref="J423">_xlfn.IFS(Call_Center[[#This Row],[Duration]]&lt;=10,"Under 10 mins",Call_Center[[#This Row],[Duration]]&lt;=30,"10 to 30 min",Call_Center[[#This Row],[Duration]]&lt;=60,"30 to 60 min",Call_Center[[#This Row],[Duration]]&lt;=120,"1 to 2 hours",TRUE,"More than 2 hours")</f>
        <v>1 to 2 hours</v>
      </c>
      <c r="K423">
        <f>ROUND(Call_Center[[#This Row],[Satisfaction Rating]],0)</f>
        <v>4</v>
      </c>
    </row>
    <row r="424" spans="1:11" x14ac:dyDescent="0.35">
      <c r="A424" s="21" t="s">
        <v>1407</v>
      </c>
      <c r="B424" s="18" t="s">
        <v>991</v>
      </c>
      <c r="C424" s="18">
        <v>31</v>
      </c>
      <c r="D424" s="19" t="s">
        <v>977</v>
      </c>
      <c r="E424" s="20">
        <v>45042</v>
      </c>
      <c r="F424" s="18">
        <v>25</v>
      </c>
      <c r="G424" s="22">
        <v>3.2</v>
      </c>
      <c r="H424">
        <f>IF(MONTH(Call_Center[[#This Row],[Date of Call]])&lt;=6,2023,2024)</f>
        <v>2023</v>
      </c>
      <c r="I424" t="str">
        <f>TEXT(Call_Center[[#This Row],[Date of Call]],"DDDD")</f>
        <v>Wednesday</v>
      </c>
      <c r="J424" t="str" cm="1">
        <f t="array" ref="J424">_xlfn.IFS(Call_Center[[#This Row],[Duration]]&lt;=10,"Under 10 mins",Call_Center[[#This Row],[Duration]]&lt;=30,"10 to 30 min",Call_Center[[#This Row],[Duration]]&lt;=60,"30 to 60 min",Call_Center[[#This Row],[Duration]]&lt;=120,"1 to 2 hours",TRUE,"More than 2 hours")</f>
        <v>30 to 60 min</v>
      </c>
      <c r="K424">
        <f>ROUND(Call_Center[[#This Row],[Satisfaction Rating]],0)</f>
        <v>3</v>
      </c>
    </row>
    <row r="425" spans="1:11" x14ac:dyDescent="0.35">
      <c r="A425" s="21" t="s">
        <v>1408</v>
      </c>
      <c r="B425" s="18" t="s">
        <v>971</v>
      </c>
      <c r="C425" s="18">
        <v>109</v>
      </c>
      <c r="D425" s="19" t="s">
        <v>972</v>
      </c>
      <c r="E425" s="20">
        <v>45042</v>
      </c>
      <c r="F425" s="18">
        <v>126</v>
      </c>
      <c r="G425" s="22">
        <v>3.4</v>
      </c>
      <c r="H425">
        <f>IF(MONTH(Call_Center[[#This Row],[Date of Call]])&lt;=6,2023,2024)</f>
        <v>2023</v>
      </c>
      <c r="I425" t="str">
        <f>TEXT(Call_Center[[#This Row],[Date of Call]],"DDDD")</f>
        <v>Wednesday</v>
      </c>
      <c r="J425" t="str" cm="1">
        <f t="array" ref="J425">_xlfn.IFS(Call_Center[[#This Row],[Duration]]&lt;=10,"Under 10 mins",Call_Center[[#This Row],[Duration]]&lt;=30,"10 to 30 min",Call_Center[[#This Row],[Duration]]&lt;=60,"30 to 60 min",Call_Center[[#This Row],[Duration]]&lt;=120,"1 to 2 hours",TRUE,"More than 2 hours")</f>
        <v>1 to 2 hours</v>
      </c>
      <c r="K425">
        <f>ROUND(Call_Center[[#This Row],[Satisfaction Rating]],0)</f>
        <v>3</v>
      </c>
    </row>
    <row r="426" spans="1:11" x14ac:dyDescent="0.35">
      <c r="A426" s="21" t="s">
        <v>1409</v>
      </c>
      <c r="B426" s="18" t="s">
        <v>966</v>
      </c>
      <c r="C426" s="18">
        <v>113</v>
      </c>
      <c r="D426" s="19" t="s">
        <v>982</v>
      </c>
      <c r="E426" s="20">
        <v>45043</v>
      </c>
      <c r="F426" s="18">
        <v>42</v>
      </c>
      <c r="G426" s="22">
        <v>4.5999999999999996</v>
      </c>
      <c r="H426">
        <f>IF(MONTH(Call_Center[[#This Row],[Date of Call]])&lt;=6,2023,2024)</f>
        <v>2023</v>
      </c>
      <c r="I426" t="str">
        <f>TEXT(Call_Center[[#This Row],[Date of Call]],"DDDD")</f>
        <v>Thursday</v>
      </c>
      <c r="J426" t="str" cm="1">
        <f t="array" ref="J426">_xlfn.IFS(Call_Center[[#This Row],[Duration]]&lt;=10,"Under 10 mins",Call_Center[[#This Row],[Duration]]&lt;=30,"10 to 30 min",Call_Center[[#This Row],[Duration]]&lt;=60,"30 to 60 min",Call_Center[[#This Row],[Duration]]&lt;=120,"1 to 2 hours",TRUE,"More than 2 hours")</f>
        <v>1 to 2 hours</v>
      </c>
      <c r="K426">
        <f>ROUND(Call_Center[[#This Row],[Satisfaction Rating]],0)</f>
        <v>5</v>
      </c>
    </row>
    <row r="427" spans="1:11" x14ac:dyDescent="0.35">
      <c r="A427" s="21" t="s">
        <v>1410</v>
      </c>
      <c r="B427" s="18" t="s">
        <v>980</v>
      </c>
      <c r="C427" s="18">
        <v>101</v>
      </c>
      <c r="D427" s="19" t="s">
        <v>967</v>
      </c>
      <c r="E427" s="20">
        <v>45043</v>
      </c>
      <c r="F427" s="18">
        <v>225</v>
      </c>
      <c r="G427" s="22">
        <v>1.9</v>
      </c>
      <c r="H427">
        <f>IF(MONTH(Call_Center[[#This Row],[Date of Call]])&lt;=6,2023,2024)</f>
        <v>2023</v>
      </c>
      <c r="I427" t="str">
        <f>TEXT(Call_Center[[#This Row],[Date of Call]],"DDDD")</f>
        <v>Thursday</v>
      </c>
      <c r="J427" t="str" cm="1">
        <f t="array" ref="J427">_xlfn.IFS(Call_Center[[#This Row],[Duration]]&lt;=10,"Under 10 mins",Call_Center[[#This Row],[Duration]]&lt;=30,"10 to 30 min",Call_Center[[#This Row],[Duration]]&lt;=60,"30 to 60 min",Call_Center[[#This Row],[Duration]]&lt;=120,"1 to 2 hours",TRUE,"More than 2 hours")</f>
        <v>1 to 2 hours</v>
      </c>
      <c r="K427">
        <f>ROUND(Call_Center[[#This Row],[Satisfaction Rating]],0)</f>
        <v>2</v>
      </c>
    </row>
    <row r="428" spans="1:11" x14ac:dyDescent="0.35">
      <c r="A428" s="21" t="s">
        <v>1411</v>
      </c>
      <c r="B428" s="18" t="s">
        <v>974</v>
      </c>
      <c r="C428" s="18">
        <v>156</v>
      </c>
      <c r="D428" s="19" t="s">
        <v>967</v>
      </c>
      <c r="E428" s="20">
        <v>45043</v>
      </c>
      <c r="F428" s="18">
        <v>42</v>
      </c>
      <c r="G428" s="22">
        <v>3.3</v>
      </c>
      <c r="H428">
        <f>IF(MONTH(Call_Center[[#This Row],[Date of Call]])&lt;=6,2023,2024)</f>
        <v>2023</v>
      </c>
      <c r="I428" t="str">
        <f>TEXT(Call_Center[[#This Row],[Date of Call]],"DDDD")</f>
        <v>Thursday</v>
      </c>
      <c r="J428" t="str" cm="1">
        <f t="array" ref="J428">_xlfn.IFS(Call_Center[[#This Row],[Duration]]&lt;=10,"Under 10 mins",Call_Center[[#This Row],[Duration]]&lt;=30,"10 to 30 min",Call_Center[[#This Row],[Duration]]&lt;=60,"30 to 60 min",Call_Center[[#This Row],[Duration]]&lt;=120,"1 to 2 hours",TRUE,"More than 2 hours")</f>
        <v>More than 2 hours</v>
      </c>
      <c r="K428">
        <f>ROUND(Call_Center[[#This Row],[Satisfaction Rating]],0)</f>
        <v>3</v>
      </c>
    </row>
    <row r="429" spans="1:11" x14ac:dyDescent="0.35">
      <c r="A429" s="21" t="s">
        <v>1412</v>
      </c>
      <c r="B429" s="18" t="s">
        <v>971</v>
      </c>
      <c r="C429" s="18">
        <v>145</v>
      </c>
      <c r="D429" s="19" t="s">
        <v>982</v>
      </c>
      <c r="E429" s="20">
        <v>45044</v>
      </c>
      <c r="F429" s="18">
        <v>110</v>
      </c>
      <c r="G429" s="22">
        <v>3.1</v>
      </c>
      <c r="H429">
        <f>IF(MONTH(Call_Center[[#This Row],[Date of Call]])&lt;=6,2023,2024)</f>
        <v>2023</v>
      </c>
      <c r="I429" t="str">
        <f>TEXT(Call_Center[[#This Row],[Date of Call]],"DDDD")</f>
        <v>Friday</v>
      </c>
      <c r="J429" t="str" cm="1">
        <f t="array" ref="J429">_xlfn.IFS(Call_Center[[#This Row],[Duration]]&lt;=10,"Under 10 mins",Call_Center[[#This Row],[Duration]]&lt;=30,"10 to 30 min",Call_Center[[#This Row],[Duration]]&lt;=60,"30 to 60 min",Call_Center[[#This Row],[Duration]]&lt;=120,"1 to 2 hours",TRUE,"More than 2 hours")</f>
        <v>More than 2 hours</v>
      </c>
      <c r="K429">
        <f>ROUND(Call_Center[[#This Row],[Satisfaction Rating]],0)</f>
        <v>3</v>
      </c>
    </row>
    <row r="430" spans="1:11" x14ac:dyDescent="0.35">
      <c r="A430" s="21" t="s">
        <v>1413</v>
      </c>
      <c r="B430" s="18" t="s">
        <v>1000</v>
      </c>
      <c r="C430" s="18">
        <v>36</v>
      </c>
      <c r="D430" s="19" t="s">
        <v>972</v>
      </c>
      <c r="E430" s="20">
        <v>45044</v>
      </c>
      <c r="F430" s="18">
        <v>225</v>
      </c>
      <c r="G430" s="22">
        <v>4.8</v>
      </c>
      <c r="H430">
        <f>IF(MONTH(Call_Center[[#This Row],[Date of Call]])&lt;=6,2023,2024)</f>
        <v>2023</v>
      </c>
      <c r="I430" t="str">
        <f>TEXT(Call_Center[[#This Row],[Date of Call]],"DDDD")</f>
        <v>Friday</v>
      </c>
      <c r="J430" t="str" cm="1">
        <f t="array" ref="J430">_xlfn.IFS(Call_Center[[#This Row],[Duration]]&lt;=10,"Under 10 mins",Call_Center[[#This Row],[Duration]]&lt;=30,"10 to 30 min",Call_Center[[#This Row],[Duration]]&lt;=60,"30 to 60 min",Call_Center[[#This Row],[Duration]]&lt;=120,"1 to 2 hours",TRUE,"More than 2 hours")</f>
        <v>30 to 60 min</v>
      </c>
      <c r="K430">
        <f>ROUND(Call_Center[[#This Row],[Satisfaction Rating]],0)</f>
        <v>5</v>
      </c>
    </row>
    <row r="431" spans="1:11" x14ac:dyDescent="0.35">
      <c r="A431" s="21" t="s">
        <v>1414</v>
      </c>
      <c r="B431" s="18" t="s">
        <v>991</v>
      </c>
      <c r="C431" s="18">
        <v>135</v>
      </c>
      <c r="D431" s="19" t="s">
        <v>986</v>
      </c>
      <c r="E431" s="20">
        <v>45045</v>
      </c>
      <c r="F431" s="18">
        <v>125</v>
      </c>
      <c r="G431" s="22">
        <v>3.3</v>
      </c>
      <c r="H431">
        <f>IF(MONTH(Call_Center[[#This Row],[Date of Call]])&lt;=6,2023,2024)</f>
        <v>2023</v>
      </c>
      <c r="I431" t="str">
        <f>TEXT(Call_Center[[#This Row],[Date of Call]],"DDDD")</f>
        <v>Saturday</v>
      </c>
      <c r="J431" t="str" cm="1">
        <f t="array" ref="J431">_xlfn.IFS(Call_Center[[#This Row],[Duration]]&lt;=10,"Under 10 mins",Call_Center[[#This Row],[Duration]]&lt;=30,"10 to 30 min",Call_Center[[#This Row],[Duration]]&lt;=60,"30 to 60 min",Call_Center[[#This Row],[Duration]]&lt;=120,"1 to 2 hours",TRUE,"More than 2 hours")</f>
        <v>More than 2 hours</v>
      </c>
      <c r="K431">
        <f>ROUND(Call_Center[[#This Row],[Satisfaction Rating]],0)</f>
        <v>3</v>
      </c>
    </row>
    <row r="432" spans="1:11" x14ac:dyDescent="0.35">
      <c r="A432" s="21" t="s">
        <v>1415</v>
      </c>
      <c r="B432" s="18" t="s">
        <v>980</v>
      </c>
      <c r="C432" s="18">
        <v>81</v>
      </c>
      <c r="D432" s="19" t="s">
        <v>972</v>
      </c>
      <c r="E432" s="20">
        <v>45045</v>
      </c>
      <c r="F432" s="18">
        <v>78</v>
      </c>
      <c r="G432" s="22">
        <v>2.9</v>
      </c>
      <c r="H432">
        <f>IF(MONTH(Call_Center[[#This Row],[Date of Call]])&lt;=6,2023,2024)</f>
        <v>2023</v>
      </c>
      <c r="I432" t="str">
        <f>TEXT(Call_Center[[#This Row],[Date of Call]],"DDDD")</f>
        <v>Saturday</v>
      </c>
      <c r="J432" t="str" cm="1">
        <f t="array" ref="J432">_xlfn.IFS(Call_Center[[#This Row],[Duration]]&lt;=10,"Under 10 mins",Call_Center[[#This Row],[Duration]]&lt;=30,"10 to 30 min",Call_Center[[#This Row],[Duration]]&lt;=60,"30 to 60 min",Call_Center[[#This Row],[Duration]]&lt;=120,"1 to 2 hours",TRUE,"More than 2 hours")</f>
        <v>1 to 2 hours</v>
      </c>
      <c r="K432">
        <f>ROUND(Call_Center[[#This Row],[Satisfaction Rating]],0)</f>
        <v>3</v>
      </c>
    </row>
    <row r="433" spans="1:11" x14ac:dyDescent="0.35">
      <c r="A433" s="21" t="s">
        <v>1416</v>
      </c>
      <c r="B433" s="18" t="s">
        <v>980</v>
      </c>
      <c r="C433" s="18">
        <v>81</v>
      </c>
      <c r="D433" s="19" t="s">
        <v>982</v>
      </c>
      <c r="E433" s="20">
        <v>45045</v>
      </c>
      <c r="F433" s="18">
        <v>40</v>
      </c>
      <c r="G433" s="22">
        <v>2.4</v>
      </c>
      <c r="H433">
        <f>IF(MONTH(Call_Center[[#This Row],[Date of Call]])&lt;=6,2023,2024)</f>
        <v>2023</v>
      </c>
      <c r="I433" t="str">
        <f>TEXT(Call_Center[[#This Row],[Date of Call]],"DDDD")</f>
        <v>Saturday</v>
      </c>
      <c r="J433" t="str" cm="1">
        <f t="array" ref="J433">_xlfn.IFS(Call_Center[[#This Row],[Duration]]&lt;=10,"Under 10 mins",Call_Center[[#This Row],[Duration]]&lt;=30,"10 to 30 min",Call_Center[[#This Row],[Duration]]&lt;=60,"30 to 60 min",Call_Center[[#This Row],[Duration]]&lt;=120,"1 to 2 hours",TRUE,"More than 2 hours")</f>
        <v>1 to 2 hours</v>
      </c>
      <c r="K433">
        <f>ROUND(Call_Center[[#This Row],[Satisfaction Rating]],0)</f>
        <v>2</v>
      </c>
    </row>
    <row r="434" spans="1:11" x14ac:dyDescent="0.35">
      <c r="A434" s="21" t="s">
        <v>1417</v>
      </c>
      <c r="B434" s="18" t="s">
        <v>997</v>
      </c>
      <c r="C434" s="18">
        <v>93</v>
      </c>
      <c r="D434" s="19" t="s">
        <v>977</v>
      </c>
      <c r="E434" s="20">
        <v>45045</v>
      </c>
      <c r="F434" s="18">
        <v>150</v>
      </c>
      <c r="G434" s="22">
        <v>4.5999999999999996</v>
      </c>
      <c r="H434">
        <f>IF(MONTH(Call_Center[[#This Row],[Date of Call]])&lt;=6,2023,2024)</f>
        <v>2023</v>
      </c>
      <c r="I434" t="str">
        <f>TEXT(Call_Center[[#This Row],[Date of Call]],"DDDD")</f>
        <v>Saturday</v>
      </c>
      <c r="J434" t="str" cm="1">
        <f t="array" ref="J434">_xlfn.IFS(Call_Center[[#This Row],[Duration]]&lt;=10,"Under 10 mins",Call_Center[[#This Row],[Duration]]&lt;=30,"10 to 30 min",Call_Center[[#This Row],[Duration]]&lt;=60,"30 to 60 min",Call_Center[[#This Row],[Duration]]&lt;=120,"1 to 2 hours",TRUE,"More than 2 hours")</f>
        <v>1 to 2 hours</v>
      </c>
      <c r="K434">
        <f>ROUND(Call_Center[[#This Row],[Satisfaction Rating]],0)</f>
        <v>5</v>
      </c>
    </row>
    <row r="435" spans="1:11" x14ac:dyDescent="0.35">
      <c r="A435" s="21" t="s">
        <v>1418</v>
      </c>
      <c r="B435" s="18" t="s">
        <v>971</v>
      </c>
      <c r="C435" s="18">
        <v>14</v>
      </c>
      <c r="D435" s="19" t="s">
        <v>972</v>
      </c>
      <c r="E435" s="20">
        <v>45045</v>
      </c>
      <c r="F435" s="18">
        <v>96</v>
      </c>
      <c r="G435" s="22">
        <v>4.8</v>
      </c>
      <c r="H435">
        <f>IF(MONTH(Call_Center[[#This Row],[Date of Call]])&lt;=6,2023,2024)</f>
        <v>2023</v>
      </c>
      <c r="I435" t="str">
        <f>TEXT(Call_Center[[#This Row],[Date of Call]],"DDDD")</f>
        <v>Saturday</v>
      </c>
      <c r="J435" t="str" cm="1">
        <f t="array" ref="J435">_xlfn.IFS(Call_Center[[#This Row],[Duration]]&lt;=10,"Under 10 mins",Call_Center[[#This Row],[Duration]]&lt;=30,"10 to 30 min",Call_Center[[#This Row],[Duration]]&lt;=60,"30 to 60 min",Call_Center[[#This Row],[Duration]]&lt;=120,"1 to 2 hours",TRUE,"More than 2 hours")</f>
        <v>10 to 30 min</v>
      </c>
      <c r="K435">
        <f>ROUND(Call_Center[[#This Row],[Satisfaction Rating]],0)</f>
        <v>5</v>
      </c>
    </row>
    <row r="436" spans="1:11" x14ac:dyDescent="0.35">
      <c r="A436" s="21" t="s">
        <v>1419</v>
      </c>
      <c r="B436" s="18" t="s">
        <v>991</v>
      </c>
      <c r="C436" s="18">
        <v>95</v>
      </c>
      <c r="D436" s="19" t="s">
        <v>982</v>
      </c>
      <c r="E436" s="20">
        <v>45046</v>
      </c>
      <c r="F436" s="18">
        <v>75</v>
      </c>
      <c r="G436" s="22">
        <v>4.8</v>
      </c>
      <c r="H436">
        <f>IF(MONTH(Call_Center[[#This Row],[Date of Call]])&lt;=6,2023,2024)</f>
        <v>2023</v>
      </c>
      <c r="I436" t="str">
        <f>TEXT(Call_Center[[#This Row],[Date of Call]],"DDDD")</f>
        <v>Sunday</v>
      </c>
      <c r="J436" t="str" cm="1">
        <f t="array" ref="J436">_xlfn.IFS(Call_Center[[#This Row],[Duration]]&lt;=10,"Under 10 mins",Call_Center[[#This Row],[Duration]]&lt;=30,"10 to 30 min",Call_Center[[#This Row],[Duration]]&lt;=60,"30 to 60 min",Call_Center[[#This Row],[Duration]]&lt;=120,"1 to 2 hours",TRUE,"More than 2 hours")</f>
        <v>1 to 2 hours</v>
      </c>
      <c r="K436">
        <f>ROUND(Call_Center[[#This Row],[Satisfaction Rating]],0)</f>
        <v>5</v>
      </c>
    </row>
    <row r="437" spans="1:11" x14ac:dyDescent="0.35">
      <c r="A437" s="21" t="s">
        <v>1420</v>
      </c>
      <c r="B437" s="18" t="s">
        <v>997</v>
      </c>
      <c r="C437" s="18">
        <v>81</v>
      </c>
      <c r="D437" s="19" t="s">
        <v>982</v>
      </c>
      <c r="E437" s="20">
        <v>45046</v>
      </c>
      <c r="F437" s="18">
        <v>60</v>
      </c>
      <c r="G437" s="22">
        <v>3.6</v>
      </c>
      <c r="H437">
        <f>IF(MONTH(Call_Center[[#This Row],[Date of Call]])&lt;=6,2023,2024)</f>
        <v>2023</v>
      </c>
      <c r="I437" t="str">
        <f>TEXT(Call_Center[[#This Row],[Date of Call]],"DDDD")</f>
        <v>Sunday</v>
      </c>
      <c r="J437" t="str" cm="1">
        <f t="array" ref="J437">_xlfn.IFS(Call_Center[[#This Row],[Duration]]&lt;=10,"Under 10 mins",Call_Center[[#This Row],[Duration]]&lt;=30,"10 to 30 min",Call_Center[[#This Row],[Duration]]&lt;=60,"30 to 60 min",Call_Center[[#This Row],[Duration]]&lt;=120,"1 to 2 hours",TRUE,"More than 2 hours")</f>
        <v>1 to 2 hours</v>
      </c>
      <c r="K437">
        <f>ROUND(Call_Center[[#This Row],[Satisfaction Rating]],0)</f>
        <v>4</v>
      </c>
    </row>
    <row r="438" spans="1:11" x14ac:dyDescent="0.35">
      <c r="A438" s="21" t="s">
        <v>1421</v>
      </c>
      <c r="B438" s="18" t="s">
        <v>1038</v>
      </c>
      <c r="C438" s="18">
        <v>60</v>
      </c>
      <c r="D438" s="19" t="s">
        <v>972</v>
      </c>
      <c r="E438" s="20">
        <v>45047</v>
      </c>
      <c r="F438" s="18">
        <v>41</v>
      </c>
      <c r="G438" s="22">
        <v>4.8</v>
      </c>
      <c r="H438">
        <f>IF(MONTH(Call_Center[[#This Row],[Date of Call]])&lt;=6,2023,2024)</f>
        <v>2023</v>
      </c>
      <c r="I438" t="str">
        <f>TEXT(Call_Center[[#This Row],[Date of Call]],"DDDD")</f>
        <v>Monday</v>
      </c>
      <c r="J438" t="str" cm="1">
        <f t="array" ref="J438">_xlfn.IFS(Call_Center[[#This Row],[Duration]]&lt;=10,"Under 10 mins",Call_Center[[#This Row],[Duration]]&lt;=30,"10 to 30 min",Call_Center[[#This Row],[Duration]]&lt;=60,"30 to 60 min",Call_Center[[#This Row],[Duration]]&lt;=120,"1 to 2 hours",TRUE,"More than 2 hours")</f>
        <v>30 to 60 min</v>
      </c>
      <c r="K438">
        <f>ROUND(Call_Center[[#This Row],[Satisfaction Rating]],0)</f>
        <v>5</v>
      </c>
    </row>
    <row r="439" spans="1:11" x14ac:dyDescent="0.35">
      <c r="A439" s="21" t="s">
        <v>1422</v>
      </c>
      <c r="B439" s="18" t="s">
        <v>989</v>
      </c>
      <c r="C439" s="18">
        <v>137</v>
      </c>
      <c r="D439" s="19" t="s">
        <v>977</v>
      </c>
      <c r="E439" s="20">
        <v>45047</v>
      </c>
      <c r="F439" s="18">
        <v>20</v>
      </c>
      <c r="G439" s="22">
        <v>4.2</v>
      </c>
      <c r="H439">
        <f>IF(MONTH(Call_Center[[#This Row],[Date of Call]])&lt;=6,2023,2024)</f>
        <v>2023</v>
      </c>
      <c r="I439" t="str">
        <f>TEXT(Call_Center[[#This Row],[Date of Call]],"DDDD")</f>
        <v>Monday</v>
      </c>
      <c r="J439" t="str" cm="1">
        <f t="array" ref="J439">_xlfn.IFS(Call_Center[[#This Row],[Duration]]&lt;=10,"Under 10 mins",Call_Center[[#This Row],[Duration]]&lt;=30,"10 to 30 min",Call_Center[[#This Row],[Duration]]&lt;=60,"30 to 60 min",Call_Center[[#This Row],[Duration]]&lt;=120,"1 to 2 hours",TRUE,"More than 2 hours")</f>
        <v>More than 2 hours</v>
      </c>
      <c r="K439">
        <f>ROUND(Call_Center[[#This Row],[Satisfaction Rating]],0)</f>
        <v>4</v>
      </c>
    </row>
    <row r="440" spans="1:11" x14ac:dyDescent="0.35">
      <c r="A440" s="21" t="s">
        <v>1423</v>
      </c>
      <c r="B440" s="18" t="s">
        <v>969</v>
      </c>
      <c r="C440" s="18">
        <v>112</v>
      </c>
      <c r="D440" s="19" t="s">
        <v>986</v>
      </c>
      <c r="E440" s="20">
        <v>45047</v>
      </c>
      <c r="F440" s="18">
        <v>84</v>
      </c>
      <c r="G440" s="22">
        <v>2.6</v>
      </c>
      <c r="H440">
        <f>IF(MONTH(Call_Center[[#This Row],[Date of Call]])&lt;=6,2023,2024)</f>
        <v>2023</v>
      </c>
      <c r="I440" t="str">
        <f>TEXT(Call_Center[[#This Row],[Date of Call]],"DDDD")</f>
        <v>Monday</v>
      </c>
      <c r="J440" t="str" cm="1">
        <f t="array" ref="J440">_xlfn.IFS(Call_Center[[#This Row],[Duration]]&lt;=10,"Under 10 mins",Call_Center[[#This Row],[Duration]]&lt;=30,"10 to 30 min",Call_Center[[#This Row],[Duration]]&lt;=60,"30 to 60 min",Call_Center[[#This Row],[Duration]]&lt;=120,"1 to 2 hours",TRUE,"More than 2 hours")</f>
        <v>1 to 2 hours</v>
      </c>
      <c r="K440">
        <f>ROUND(Call_Center[[#This Row],[Satisfaction Rating]],0)</f>
        <v>3</v>
      </c>
    </row>
    <row r="441" spans="1:11" x14ac:dyDescent="0.35">
      <c r="A441" s="21" t="s">
        <v>1424</v>
      </c>
      <c r="B441" s="18" t="s">
        <v>991</v>
      </c>
      <c r="C441" s="18">
        <v>76</v>
      </c>
      <c r="D441" s="19" t="s">
        <v>967</v>
      </c>
      <c r="E441" s="20">
        <v>45047</v>
      </c>
      <c r="F441" s="18">
        <v>140</v>
      </c>
      <c r="G441" s="22">
        <v>3.7</v>
      </c>
      <c r="H441">
        <f>IF(MONTH(Call_Center[[#This Row],[Date of Call]])&lt;=6,2023,2024)</f>
        <v>2023</v>
      </c>
      <c r="I441" t="str">
        <f>TEXT(Call_Center[[#This Row],[Date of Call]],"DDDD")</f>
        <v>Monday</v>
      </c>
      <c r="J441" t="str" cm="1">
        <f t="array" ref="J441">_xlfn.IFS(Call_Center[[#This Row],[Duration]]&lt;=10,"Under 10 mins",Call_Center[[#This Row],[Duration]]&lt;=30,"10 to 30 min",Call_Center[[#This Row],[Duration]]&lt;=60,"30 to 60 min",Call_Center[[#This Row],[Duration]]&lt;=120,"1 to 2 hours",TRUE,"More than 2 hours")</f>
        <v>1 to 2 hours</v>
      </c>
      <c r="K441">
        <f>ROUND(Call_Center[[#This Row],[Satisfaction Rating]],0)</f>
        <v>4</v>
      </c>
    </row>
    <row r="442" spans="1:11" x14ac:dyDescent="0.35">
      <c r="A442" s="21" t="s">
        <v>1425</v>
      </c>
      <c r="B442" s="18" t="s">
        <v>1005</v>
      </c>
      <c r="C442" s="18">
        <v>73</v>
      </c>
      <c r="D442" s="19" t="s">
        <v>972</v>
      </c>
      <c r="E442" s="20">
        <v>45047</v>
      </c>
      <c r="F442" s="18">
        <v>66</v>
      </c>
      <c r="G442" s="22">
        <v>4.8</v>
      </c>
      <c r="H442">
        <f>IF(MONTH(Call_Center[[#This Row],[Date of Call]])&lt;=6,2023,2024)</f>
        <v>2023</v>
      </c>
      <c r="I442" t="str">
        <f>TEXT(Call_Center[[#This Row],[Date of Call]],"DDDD")</f>
        <v>Monday</v>
      </c>
      <c r="J442" t="str" cm="1">
        <f t="array" ref="J442">_xlfn.IFS(Call_Center[[#This Row],[Duration]]&lt;=10,"Under 10 mins",Call_Center[[#This Row],[Duration]]&lt;=30,"10 to 30 min",Call_Center[[#This Row],[Duration]]&lt;=60,"30 to 60 min",Call_Center[[#This Row],[Duration]]&lt;=120,"1 to 2 hours",TRUE,"More than 2 hours")</f>
        <v>1 to 2 hours</v>
      </c>
      <c r="K442">
        <f>ROUND(Call_Center[[#This Row],[Satisfaction Rating]],0)</f>
        <v>5</v>
      </c>
    </row>
    <row r="443" spans="1:11" x14ac:dyDescent="0.35">
      <c r="A443" s="21" t="s">
        <v>1426</v>
      </c>
      <c r="B443" s="18" t="s">
        <v>985</v>
      </c>
      <c r="C443" s="18">
        <v>119</v>
      </c>
      <c r="D443" s="19" t="s">
        <v>977</v>
      </c>
      <c r="E443" s="20">
        <v>45047</v>
      </c>
      <c r="F443" s="18">
        <v>105</v>
      </c>
      <c r="G443" s="22">
        <v>4.7</v>
      </c>
      <c r="H443">
        <f>IF(MONTH(Call_Center[[#This Row],[Date of Call]])&lt;=6,2023,2024)</f>
        <v>2023</v>
      </c>
      <c r="I443" t="str">
        <f>TEXT(Call_Center[[#This Row],[Date of Call]],"DDDD")</f>
        <v>Monday</v>
      </c>
      <c r="J443" t="str" cm="1">
        <f t="array" ref="J443">_xlfn.IFS(Call_Center[[#This Row],[Duration]]&lt;=10,"Under 10 mins",Call_Center[[#This Row],[Duration]]&lt;=30,"10 to 30 min",Call_Center[[#This Row],[Duration]]&lt;=60,"30 to 60 min",Call_Center[[#This Row],[Duration]]&lt;=120,"1 to 2 hours",TRUE,"More than 2 hours")</f>
        <v>1 to 2 hours</v>
      </c>
      <c r="K443">
        <f>ROUND(Call_Center[[#This Row],[Satisfaction Rating]],0)</f>
        <v>5</v>
      </c>
    </row>
    <row r="444" spans="1:11" x14ac:dyDescent="0.35">
      <c r="A444" s="21" t="s">
        <v>1427</v>
      </c>
      <c r="B444" s="18" t="s">
        <v>966</v>
      </c>
      <c r="C444" s="18">
        <v>135</v>
      </c>
      <c r="D444" s="19" t="s">
        <v>982</v>
      </c>
      <c r="E444" s="20">
        <v>45048</v>
      </c>
      <c r="F444" s="18">
        <v>104</v>
      </c>
      <c r="G444" s="22">
        <v>4.0999999999999996</v>
      </c>
      <c r="H444">
        <f>IF(MONTH(Call_Center[[#This Row],[Date of Call]])&lt;=6,2023,2024)</f>
        <v>2023</v>
      </c>
      <c r="I444" t="str">
        <f>TEXT(Call_Center[[#This Row],[Date of Call]],"DDDD")</f>
        <v>Tuesday</v>
      </c>
      <c r="J444" t="str" cm="1">
        <f t="array" ref="J444">_xlfn.IFS(Call_Center[[#This Row],[Duration]]&lt;=10,"Under 10 mins",Call_Center[[#This Row],[Duration]]&lt;=30,"10 to 30 min",Call_Center[[#This Row],[Duration]]&lt;=60,"30 to 60 min",Call_Center[[#This Row],[Duration]]&lt;=120,"1 to 2 hours",TRUE,"More than 2 hours")</f>
        <v>More than 2 hours</v>
      </c>
      <c r="K444">
        <f>ROUND(Call_Center[[#This Row],[Satisfaction Rating]],0)</f>
        <v>4</v>
      </c>
    </row>
    <row r="445" spans="1:11" x14ac:dyDescent="0.35">
      <c r="A445" s="21" t="s">
        <v>1428</v>
      </c>
      <c r="B445" s="18" t="s">
        <v>989</v>
      </c>
      <c r="C445" s="18">
        <v>41</v>
      </c>
      <c r="D445" s="19" t="s">
        <v>986</v>
      </c>
      <c r="E445" s="20">
        <v>45048</v>
      </c>
      <c r="F445" s="18">
        <v>123</v>
      </c>
      <c r="G445" s="22">
        <v>3.2</v>
      </c>
      <c r="H445">
        <f>IF(MONTH(Call_Center[[#This Row],[Date of Call]])&lt;=6,2023,2024)</f>
        <v>2023</v>
      </c>
      <c r="I445" t="str">
        <f>TEXT(Call_Center[[#This Row],[Date of Call]],"DDDD")</f>
        <v>Tuesday</v>
      </c>
      <c r="J445" t="str" cm="1">
        <f t="array" ref="J445">_xlfn.IFS(Call_Center[[#This Row],[Duration]]&lt;=10,"Under 10 mins",Call_Center[[#This Row],[Duration]]&lt;=30,"10 to 30 min",Call_Center[[#This Row],[Duration]]&lt;=60,"30 to 60 min",Call_Center[[#This Row],[Duration]]&lt;=120,"1 to 2 hours",TRUE,"More than 2 hours")</f>
        <v>30 to 60 min</v>
      </c>
      <c r="K445">
        <f>ROUND(Call_Center[[#This Row],[Satisfaction Rating]],0)</f>
        <v>3</v>
      </c>
    </row>
    <row r="446" spans="1:11" x14ac:dyDescent="0.35">
      <c r="A446" s="21" t="s">
        <v>1429</v>
      </c>
      <c r="B446" s="18" t="s">
        <v>971</v>
      </c>
      <c r="C446" s="18">
        <v>35</v>
      </c>
      <c r="D446" s="19" t="s">
        <v>982</v>
      </c>
      <c r="E446" s="20">
        <v>45049</v>
      </c>
      <c r="F446" s="18">
        <v>215</v>
      </c>
      <c r="G446" s="22">
        <v>4.3</v>
      </c>
      <c r="H446">
        <f>IF(MONTH(Call_Center[[#This Row],[Date of Call]])&lt;=6,2023,2024)</f>
        <v>2023</v>
      </c>
      <c r="I446" t="str">
        <f>TEXT(Call_Center[[#This Row],[Date of Call]],"DDDD")</f>
        <v>Wednesday</v>
      </c>
      <c r="J446" t="str" cm="1">
        <f t="array" ref="J446">_xlfn.IFS(Call_Center[[#This Row],[Duration]]&lt;=10,"Under 10 mins",Call_Center[[#This Row],[Duration]]&lt;=30,"10 to 30 min",Call_Center[[#This Row],[Duration]]&lt;=60,"30 to 60 min",Call_Center[[#This Row],[Duration]]&lt;=120,"1 to 2 hours",TRUE,"More than 2 hours")</f>
        <v>30 to 60 min</v>
      </c>
      <c r="K446">
        <f>ROUND(Call_Center[[#This Row],[Satisfaction Rating]],0)</f>
        <v>4</v>
      </c>
    </row>
    <row r="447" spans="1:11" x14ac:dyDescent="0.35">
      <c r="A447" s="21" t="s">
        <v>1430</v>
      </c>
      <c r="B447" s="18" t="s">
        <v>966</v>
      </c>
      <c r="C447" s="18">
        <v>96</v>
      </c>
      <c r="D447" s="19" t="s">
        <v>972</v>
      </c>
      <c r="E447" s="20">
        <v>45049</v>
      </c>
      <c r="F447" s="18">
        <v>46</v>
      </c>
      <c r="G447" s="22">
        <v>0.7</v>
      </c>
      <c r="H447">
        <f>IF(MONTH(Call_Center[[#This Row],[Date of Call]])&lt;=6,2023,2024)</f>
        <v>2023</v>
      </c>
      <c r="I447" t="str">
        <f>TEXT(Call_Center[[#This Row],[Date of Call]],"DDDD")</f>
        <v>Wednesday</v>
      </c>
      <c r="J447" t="str" cm="1">
        <f t="array" ref="J447">_xlfn.IFS(Call_Center[[#This Row],[Duration]]&lt;=10,"Under 10 mins",Call_Center[[#This Row],[Duration]]&lt;=30,"10 to 30 min",Call_Center[[#This Row],[Duration]]&lt;=60,"30 to 60 min",Call_Center[[#This Row],[Duration]]&lt;=120,"1 to 2 hours",TRUE,"More than 2 hours")</f>
        <v>1 to 2 hours</v>
      </c>
      <c r="K447">
        <f>ROUND(Call_Center[[#This Row],[Satisfaction Rating]],0)</f>
        <v>1</v>
      </c>
    </row>
    <row r="448" spans="1:11" x14ac:dyDescent="0.35">
      <c r="A448" s="21" t="s">
        <v>1431</v>
      </c>
      <c r="B448" s="18" t="s">
        <v>997</v>
      </c>
      <c r="C448" s="18">
        <v>61</v>
      </c>
      <c r="D448" s="19" t="s">
        <v>986</v>
      </c>
      <c r="E448" s="20">
        <v>45049</v>
      </c>
      <c r="F448" s="18">
        <v>115</v>
      </c>
      <c r="G448" s="22">
        <v>3.7</v>
      </c>
      <c r="H448">
        <f>IF(MONTH(Call_Center[[#This Row],[Date of Call]])&lt;=6,2023,2024)</f>
        <v>2023</v>
      </c>
      <c r="I448" t="str">
        <f>TEXT(Call_Center[[#This Row],[Date of Call]],"DDDD")</f>
        <v>Wednesday</v>
      </c>
      <c r="J448" t="str" cm="1">
        <f t="array" ref="J448">_xlfn.IFS(Call_Center[[#This Row],[Duration]]&lt;=10,"Under 10 mins",Call_Center[[#This Row],[Duration]]&lt;=30,"10 to 30 min",Call_Center[[#This Row],[Duration]]&lt;=60,"30 to 60 min",Call_Center[[#This Row],[Duration]]&lt;=120,"1 to 2 hours",TRUE,"More than 2 hours")</f>
        <v>1 to 2 hours</v>
      </c>
      <c r="K448">
        <f>ROUND(Call_Center[[#This Row],[Satisfaction Rating]],0)</f>
        <v>4</v>
      </c>
    </row>
    <row r="449" spans="1:11" x14ac:dyDescent="0.35">
      <c r="A449" s="21" t="s">
        <v>1432</v>
      </c>
      <c r="B449" s="18" t="s">
        <v>966</v>
      </c>
      <c r="C449" s="18">
        <v>91</v>
      </c>
      <c r="D449" s="19" t="s">
        <v>986</v>
      </c>
      <c r="E449" s="20">
        <v>45049</v>
      </c>
      <c r="F449" s="18">
        <v>124</v>
      </c>
      <c r="G449" s="22">
        <v>3.9</v>
      </c>
      <c r="H449">
        <f>IF(MONTH(Call_Center[[#This Row],[Date of Call]])&lt;=6,2023,2024)</f>
        <v>2023</v>
      </c>
      <c r="I449" t="str">
        <f>TEXT(Call_Center[[#This Row],[Date of Call]],"DDDD")</f>
        <v>Wednesday</v>
      </c>
      <c r="J449" t="str" cm="1">
        <f t="array" ref="J449">_xlfn.IFS(Call_Center[[#This Row],[Duration]]&lt;=10,"Under 10 mins",Call_Center[[#This Row],[Duration]]&lt;=30,"10 to 30 min",Call_Center[[#This Row],[Duration]]&lt;=60,"30 to 60 min",Call_Center[[#This Row],[Duration]]&lt;=120,"1 to 2 hours",TRUE,"More than 2 hours")</f>
        <v>1 to 2 hours</v>
      </c>
      <c r="K449">
        <f>ROUND(Call_Center[[#This Row],[Satisfaction Rating]],0)</f>
        <v>4</v>
      </c>
    </row>
    <row r="450" spans="1:11" x14ac:dyDescent="0.35">
      <c r="A450" s="21" t="s">
        <v>1433</v>
      </c>
      <c r="B450" s="18" t="s">
        <v>1018</v>
      </c>
      <c r="C450" s="18">
        <v>30</v>
      </c>
      <c r="D450" s="19" t="s">
        <v>986</v>
      </c>
      <c r="E450" s="20">
        <v>45050</v>
      </c>
      <c r="F450" s="18">
        <v>205</v>
      </c>
      <c r="G450" s="22">
        <v>4.5</v>
      </c>
      <c r="H450">
        <f>IF(MONTH(Call_Center[[#This Row],[Date of Call]])&lt;=6,2023,2024)</f>
        <v>2023</v>
      </c>
      <c r="I450" t="str">
        <f>TEXT(Call_Center[[#This Row],[Date of Call]],"DDDD")</f>
        <v>Thursday</v>
      </c>
      <c r="J450" t="str" cm="1">
        <f t="array" ref="J450">_xlfn.IFS(Call_Center[[#This Row],[Duration]]&lt;=10,"Under 10 mins",Call_Center[[#This Row],[Duration]]&lt;=30,"10 to 30 min",Call_Center[[#This Row],[Duration]]&lt;=60,"30 to 60 min",Call_Center[[#This Row],[Duration]]&lt;=120,"1 to 2 hours",TRUE,"More than 2 hours")</f>
        <v>10 to 30 min</v>
      </c>
      <c r="K450">
        <f>ROUND(Call_Center[[#This Row],[Satisfaction Rating]],0)</f>
        <v>5</v>
      </c>
    </row>
    <row r="451" spans="1:11" x14ac:dyDescent="0.35">
      <c r="A451" s="21" t="s">
        <v>1434</v>
      </c>
      <c r="B451" s="18" t="s">
        <v>1038</v>
      </c>
      <c r="C451" s="18">
        <v>111</v>
      </c>
      <c r="D451" s="19" t="s">
        <v>977</v>
      </c>
      <c r="E451" s="20">
        <v>45050</v>
      </c>
      <c r="F451" s="18">
        <v>90</v>
      </c>
      <c r="G451" s="22">
        <v>2.8</v>
      </c>
      <c r="H451">
        <f>IF(MONTH(Call_Center[[#This Row],[Date of Call]])&lt;=6,2023,2024)</f>
        <v>2023</v>
      </c>
      <c r="I451" t="str">
        <f>TEXT(Call_Center[[#This Row],[Date of Call]],"DDDD")</f>
        <v>Thursday</v>
      </c>
      <c r="J451" t="str" cm="1">
        <f t="array" ref="J451">_xlfn.IFS(Call_Center[[#This Row],[Duration]]&lt;=10,"Under 10 mins",Call_Center[[#This Row],[Duration]]&lt;=30,"10 to 30 min",Call_Center[[#This Row],[Duration]]&lt;=60,"30 to 60 min",Call_Center[[#This Row],[Duration]]&lt;=120,"1 to 2 hours",TRUE,"More than 2 hours")</f>
        <v>1 to 2 hours</v>
      </c>
      <c r="K451">
        <f>ROUND(Call_Center[[#This Row],[Satisfaction Rating]],0)</f>
        <v>3</v>
      </c>
    </row>
    <row r="452" spans="1:11" x14ac:dyDescent="0.35">
      <c r="A452" s="21" t="s">
        <v>1435</v>
      </c>
      <c r="B452" s="18" t="s">
        <v>997</v>
      </c>
      <c r="C452" s="18">
        <v>81</v>
      </c>
      <c r="D452" s="19" t="s">
        <v>972</v>
      </c>
      <c r="E452" s="20">
        <v>45050</v>
      </c>
      <c r="F452" s="18">
        <v>92</v>
      </c>
      <c r="G452" s="22">
        <v>4.9000000000000004</v>
      </c>
      <c r="H452">
        <f>IF(MONTH(Call_Center[[#This Row],[Date of Call]])&lt;=6,2023,2024)</f>
        <v>2023</v>
      </c>
      <c r="I452" t="str">
        <f>TEXT(Call_Center[[#This Row],[Date of Call]],"DDDD")</f>
        <v>Thursday</v>
      </c>
      <c r="J452" t="str" cm="1">
        <f t="array" ref="J452">_xlfn.IFS(Call_Center[[#This Row],[Duration]]&lt;=10,"Under 10 mins",Call_Center[[#This Row],[Duration]]&lt;=30,"10 to 30 min",Call_Center[[#This Row],[Duration]]&lt;=60,"30 to 60 min",Call_Center[[#This Row],[Duration]]&lt;=120,"1 to 2 hours",TRUE,"More than 2 hours")</f>
        <v>1 to 2 hours</v>
      </c>
      <c r="K452">
        <f>ROUND(Call_Center[[#This Row],[Satisfaction Rating]],0)</f>
        <v>5</v>
      </c>
    </row>
    <row r="453" spans="1:11" x14ac:dyDescent="0.35">
      <c r="A453" s="21" t="s">
        <v>1436</v>
      </c>
      <c r="B453" s="18" t="s">
        <v>991</v>
      </c>
      <c r="C453" s="18">
        <v>40</v>
      </c>
      <c r="D453" s="19" t="s">
        <v>982</v>
      </c>
      <c r="E453" s="20">
        <v>45052</v>
      </c>
      <c r="F453" s="18">
        <v>108</v>
      </c>
      <c r="G453" s="22">
        <v>4.2</v>
      </c>
      <c r="H453">
        <f>IF(MONTH(Call_Center[[#This Row],[Date of Call]])&lt;=6,2023,2024)</f>
        <v>2023</v>
      </c>
      <c r="I453" t="str">
        <f>TEXT(Call_Center[[#This Row],[Date of Call]],"DDDD")</f>
        <v>Saturday</v>
      </c>
      <c r="J453" t="str" cm="1">
        <f t="array" ref="J453">_xlfn.IFS(Call_Center[[#This Row],[Duration]]&lt;=10,"Under 10 mins",Call_Center[[#This Row],[Duration]]&lt;=30,"10 to 30 min",Call_Center[[#This Row],[Duration]]&lt;=60,"30 to 60 min",Call_Center[[#This Row],[Duration]]&lt;=120,"1 to 2 hours",TRUE,"More than 2 hours")</f>
        <v>30 to 60 min</v>
      </c>
      <c r="K453">
        <f>ROUND(Call_Center[[#This Row],[Satisfaction Rating]],0)</f>
        <v>4</v>
      </c>
    </row>
    <row r="454" spans="1:11" x14ac:dyDescent="0.35">
      <c r="A454" s="21" t="s">
        <v>1437</v>
      </c>
      <c r="B454" s="18" t="s">
        <v>1038</v>
      </c>
      <c r="C454" s="18">
        <v>143</v>
      </c>
      <c r="D454" s="19" t="s">
        <v>982</v>
      </c>
      <c r="E454" s="20">
        <v>45052</v>
      </c>
      <c r="F454" s="18">
        <v>54</v>
      </c>
      <c r="G454" s="22">
        <v>4.4000000000000004</v>
      </c>
      <c r="H454">
        <f>IF(MONTH(Call_Center[[#This Row],[Date of Call]])&lt;=6,2023,2024)</f>
        <v>2023</v>
      </c>
      <c r="I454" t="str">
        <f>TEXT(Call_Center[[#This Row],[Date of Call]],"DDDD")</f>
        <v>Saturday</v>
      </c>
      <c r="J454" t="str" cm="1">
        <f t="array" ref="J454">_xlfn.IFS(Call_Center[[#This Row],[Duration]]&lt;=10,"Under 10 mins",Call_Center[[#This Row],[Duration]]&lt;=30,"10 to 30 min",Call_Center[[#This Row],[Duration]]&lt;=60,"30 to 60 min",Call_Center[[#This Row],[Duration]]&lt;=120,"1 to 2 hours",TRUE,"More than 2 hours")</f>
        <v>More than 2 hours</v>
      </c>
      <c r="K454">
        <f>ROUND(Call_Center[[#This Row],[Satisfaction Rating]],0)</f>
        <v>4</v>
      </c>
    </row>
    <row r="455" spans="1:11" x14ac:dyDescent="0.35">
      <c r="A455" s="21" t="s">
        <v>1438</v>
      </c>
      <c r="B455" s="18" t="s">
        <v>991</v>
      </c>
      <c r="C455" s="18">
        <v>70</v>
      </c>
      <c r="D455" s="19" t="s">
        <v>982</v>
      </c>
      <c r="E455" s="20">
        <v>45053</v>
      </c>
      <c r="F455" s="18">
        <v>44</v>
      </c>
      <c r="G455" s="22">
        <v>3.5</v>
      </c>
      <c r="H455">
        <f>IF(MONTH(Call_Center[[#This Row],[Date of Call]])&lt;=6,2023,2024)</f>
        <v>2023</v>
      </c>
      <c r="I455" t="str">
        <f>TEXT(Call_Center[[#This Row],[Date of Call]],"DDDD")</f>
        <v>Sunday</v>
      </c>
      <c r="J455" t="str" cm="1">
        <f t="array" ref="J455">_xlfn.IFS(Call_Center[[#This Row],[Duration]]&lt;=10,"Under 10 mins",Call_Center[[#This Row],[Duration]]&lt;=30,"10 to 30 min",Call_Center[[#This Row],[Duration]]&lt;=60,"30 to 60 min",Call_Center[[#This Row],[Duration]]&lt;=120,"1 to 2 hours",TRUE,"More than 2 hours")</f>
        <v>1 to 2 hours</v>
      </c>
      <c r="K455">
        <f>ROUND(Call_Center[[#This Row],[Satisfaction Rating]],0)</f>
        <v>4</v>
      </c>
    </row>
    <row r="456" spans="1:11" x14ac:dyDescent="0.35">
      <c r="A456" s="21" t="s">
        <v>1439</v>
      </c>
      <c r="B456" s="18" t="s">
        <v>1005</v>
      </c>
      <c r="C456" s="18">
        <v>137</v>
      </c>
      <c r="D456" s="19" t="s">
        <v>982</v>
      </c>
      <c r="E456" s="20">
        <v>45053</v>
      </c>
      <c r="F456" s="18">
        <v>44</v>
      </c>
      <c r="G456" s="22">
        <v>4.7</v>
      </c>
      <c r="H456">
        <f>IF(MONTH(Call_Center[[#This Row],[Date of Call]])&lt;=6,2023,2024)</f>
        <v>2023</v>
      </c>
      <c r="I456" t="str">
        <f>TEXT(Call_Center[[#This Row],[Date of Call]],"DDDD")</f>
        <v>Sunday</v>
      </c>
      <c r="J456" t="str" cm="1">
        <f t="array" ref="J456">_xlfn.IFS(Call_Center[[#This Row],[Duration]]&lt;=10,"Under 10 mins",Call_Center[[#This Row],[Duration]]&lt;=30,"10 to 30 min",Call_Center[[#This Row],[Duration]]&lt;=60,"30 to 60 min",Call_Center[[#This Row],[Duration]]&lt;=120,"1 to 2 hours",TRUE,"More than 2 hours")</f>
        <v>More than 2 hours</v>
      </c>
      <c r="K456">
        <f>ROUND(Call_Center[[#This Row],[Satisfaction Rating]],0)</f>
        <v>5</v>
      </c>
    </row>
    <row r="457" spans="1:11" x14ac:dyDescent="0.35">
      <c r="A457" s="21" t="s">
        <v>1440</v>
      </c>
      <c r="B457" s="18" t="s">
        <v>966</v>
      </c>
      <c r="C457" s="18">
        <v>52</v>
      </c>
      <c r="D457" s="19" t="s">
        <v>972</v>
      </c>
      <c r="E457" s="20">
        <v>45054</v>
      </c>
      <c r="F457" s="18">
        <v>37</v>
      </c>
      <c r="G457" s="22">
        <v>4.9000000000000004</v>
      </c>
      <c r="H457">
        <f>IF(MONTH(Call_Center[[#This Row],[Date of Call]])&lt;=6,2023,2024)</f>
        <v>2023</v>
      </c>
      <c r="I457" t="str">
        <f>TEXT(Call_Center[[#This Row],[Date of Call]],"DDDD")</f>
        <v>Monday</v>
      </c>
      <c r="J457" t="str" cm="1">
        <f t="array" ref="J457">_xlfn.IFS(Call_Center[[#This Row],[Duration]]&lt;=10,"Under 10 mins",Call_Center[[#This Row],[Duration]]&lt;=30,"10 to 30 min",Call_Center[[#This Row],[Duration]]&lt;=60,"30 to 60 min",Call_Center[[#This Row],[Duration]]&lt;=120,"1 to 2 hours",TRUE,"More than 2 hours")</f>
        <v>30 to 60 min</v>
      </c>
      <c r="K457">
        <f>ROUND(Call_Center[[#This Row],[Satisfaction Rating]],0)</f>
        <v>5</v>
      </c>
    </row>
    <row r="458" spans="1:11" x14ac:dyDescent="0.35">
      <c r="A458" s="21" t="s">
        <v>1441</v>
      </c>
      <c r="B458" s="18" t="s">
        <v>969</v>
      </c>
      <c r="C458" s="18">
        <v>31</v>
      </c>
      <c r="D458" s="19" t="s">
        <v>977</v>
      </c>
      <c r="E458" s="20">
        <v>45054</v>
      </c>
      <c r="F458" s="18">
        <v>180</v>
      </c>
      <c r="G458" s="22">
        <v>4.5</v>
      </c>
      <c r="H458">
        <f>IF(MONTH(Call_Center[[#This Row],[Date of Call]])&lt;=6,2023,2024)</f>
        <v>2023</v>
      </c>
      <c r="I458" t="str">
        <f>TEXT(Call_Center[[#This Row],[Date of Call]],"DDDD")</f>
        <v>Monday</v>
      </c>
      <c r="J458" t="str" cm="1">
        <f t="array" ref="J458">_xlfn.IFS(Call_Center[[#This Row],[Duration]]&lt;=10,"Under 10 mins",Call_Center[[#This Row],[Duration]]&lt;=30,"10 to 30 min",Call_Center[[#This Row],[Duration]]&lt;=60,"30 to 60 min",Call_Center[[#This Row],[Duration]]&lt;=120,"1 to 2 hours",TRUE,"More than 2 hours")</f>
        <v>30 to 60 min</v>
      </c>
      <c r="K458">
        <f>ROUND(Call_Center[[#This Row],[Satisfaction Rating]],0)</f>
        <v>5</v>
      </c>
    </row>
    <row r="459" spans="1:11" x14ac:dyDescent="0.35">
      <c r="A459" s="21" t="s">
        <v>1442</v>
      </c>
      <c r="B459" s="18" t="s">
        <v>966</v>
      </c>
      <c r="C459" s="18">
        <v>114</v>
      </c>
      <c r="D459" s="19" t="s">
        <v>986</v>
      </c>
      <c r="E459" s="20">
        <v>45054</v>
      </c>
      <c r="F459" s="18">
        <v>105</v>
      </c>
      <c r="G459" s="22">
        <v>4.9000000000000004</v>
      </c>
      <c r="H459">
        <f>IF(MONTH(Call_Center[[#This Row],[Date of Call]])&lt;=6,2023,2024)</f>
        <v>2023</v>
      </c>
      <c r="I459" t="str">
        <f>TEXT(Call_Center[[#This Row],[Date of Call]],"DDDD")</f>
        <v>Monday</v>
      </c>
      <c r="J459" t="str" cm="1">
        <f t="array" ref="J459">_xlfn.IFS(Call_Center[[#This Row],[Duration]]&lt;=10,"Under 10 mins",Call_Center[[#This Row],[Duration]]&lt;=30,"10 to 30 min",Call_Center[[#This Row],[Duration]]&lt;=60,"30 to 60 min",Call_Center[[#This Row],[Duration]]&lt;=120,"1 to 2 hours",TRUE,"More than 2 hours")</f>
        <v>1 to 2 hours</v>
      </c>
      <c r="K459">
        <f>ROUND(Call_Center[[#This Row],[Satisfaction Rating]],0)</f>
        <v>5</v>
      </c>
    </row>
    <row r="460" spans="1:11" x14ac:dyDescent="0.35">
      <c r="A460" s="21" t="s">
        <v>1443</v>
      </c>
      <c r="B460" s="18" t="s">
        <v>1005</v>
      </c>
      <c r="C460" s="18">
        <v>73</v>
      </c>
      <c r="D460" s="19" t="s">
        <v>967</v>
      </c>
      <c r="E460" s="20">
        <v>45054</v>
      </c>
      <c r="F460" s="18">
        <v>87</v>
      </c>
      <c r="G460" s="22">
        <v>3.6</v>
      </c>
      <c r="H460">
        <f>IF(MONTH(Call_Center[[#This Row],[Date of Call]])&lt;=6,2023,2024)</f>
        <v>2023</v>
      </c>
      <c r="I460" t="str">
        <f>TEXT(Call_Center[[#This Row],[Date of Call]],"DDDD")</f>
        <v>Monday</v>
      </c>
      <c r="J460" t="str" cm="1">
        <f t="array" ref="J460">_xlfn.IFS(Call_Center[[#This Row],[Duration]]&lt;=10,"Under 10 mins",Call_Center[[#This Row],[Duration]]&lt;=30,"10 to 30 min",Call_Center[[#This Row],[Duration]]&lt;=60,"30 to 60 min",Call_Center[[#This Row],[Duration]]&lt;=120,"1 to 2 hours",TRUE,"More than 2 hours")</f>
        <v>1 to 2 hours</v>
      </c>
      <c r="K460">
        <f>ROUND(Call_Center[[#This Row],[Satisfaction Rating]],0)</f>
        <v>4</v>
      </c>
    </row>
    <row r="461" spans="1:11" x14ac:dyDescent="0.35">
      <c r="A461" s="21" t="s">
        <v>1444</v>
      </c>
      <c r="B461" s="18" t="s">
        <v>997</v>
      </c>
      <c r="C461" s="18">
        <v>25</v>
      </c>
      <c r="D461" s="19" t="s">
        <v>977</v>
      </c>
      <c r="E461" s="20">
        <v>45054</v>
      </c>
      <c r="F461" s="18">
        <v>52</v>
      </c>
      <c r="G461" s="22">
        <v>3.8</v>
      </c>
      <c r="H461">
        <f>IF(MONTH(Call_Center[[#This Row],[Date of Call]])&lt;=6,2023,2024)</f>
        <v>2023</v>
      </c>
      <c r="I461" t="str">
        <f>TEXT(Call_Center[[#This Row],[Date of Call]],"DDDD")</f>
        <v>Monday</v>
      </c>
      <c r="J461" t="str" cm="1">
        <f t="array" ref="J461">_xlfn.IFS(Call_Center[[#This Row],[Duration]]&lt;=10,"Under 10 mins",Call_Center[[#This Row],[Duration]]&lt;=30,"10 to 30 min",Call_Center[[#This Row],[Duration]]&lt;=60,"30 to 60 min",Call_Center[[#This Row],[Duration]]&lt;=120,"1 to 2 hours",TRUE,"More than 2 hours")</f>
        <v>10 to 30 min</v>
      </c>
      <c r="K461">
        <f>ROUND(Call_Center[[#This Row],[Satisfaction Rating]],0)</f>
        <v>4</v>
      </c>
    </row>
    <row r="462" spans="1:11" x14ac:dyDescent="0.35">
      <c r="A462" s="21" t="s">
        <v>1445</v>
      </c>
      <c r="B462" s="18" t="s">
        <v>976</v>
      </c>
      <c r="C462" s="18">
        <v>44</v>
      </c>
      <c r="D462" s="19" t="s">
        <v>986</v>
      </c>
      <c r="E462" s="20">
        <v>45054</v>
      </c>
      <c r="F462" s="18">
        <v>63</v>
      </c>
      <c r="G462" s="22">
        <v>3.5</v>
      </c>
      <c r="H462">
        <f>IF(MONTH(Call_Center[[#This Row],[Date of Call]])&lt;=6,2023,2024)</f>
        <v>2023</v>
      </c>
      <c r="I462" t="str">
        <f>TEXT(Call_Center[[#This Row],[Date of Call]],"DDDD")</f>
        <v>Monday</v>
      </c>
      <c r="J462" t="str" cm="1">
        <f t="array" ref="J462">_xlfn.IFS(Call_Center[[#This Row],[Duration]]&lt;=10,"Under 10 mins",Call_Center[[#This Row],[Duration]]&lt;=30,"10 to 30 min",Call_Center[[#This Row],[Duration]]&lt;=60,"30 to 60 min",Call_Center[[#This Row],[Duration]]&lt;=120,"1 to 2 hours",TRUE,"More than 2 hours")</f>
        <v>30 to 60 min</v>
      </c>
      <c r="K462">
        <f>ROUND(Call_Center[[#This Row],[Satisfaction Rating]],0)</f>
        <v>4</v>
      </c>
    </row>
    <row r="463" spans="1:11" x14ac:dyDescent="0.35">
      <c r="A463" s="21" t="s">
        <v>1446</v>
      </c>
      <c r="B463" s="18" t="s">
        <v>1000</v>
      </c>
      <c r="C463" s="18">
        <v>34</v>
      </c>
      <c r="D463" s="19" t="s">
        <v>972</v>
      </c>
      <c r="E463" s="20">
        <v>45055</v>
      </c>
      <c r="F463" s="18">
        <v>195</v>
      </c>
      <c r="G463" s="22">
        <v>4.8</v>
      </c>
      <c r="H463">
        <f>IF(MONTH(Call_Center[[#This Row],[Date of Call]])&lt;=6,2023,2024)</f>
        <v>2023</v>
      </c>
      <c r="I463" t="str">
        <f>TEXT(Call_Center[[#This Row],[Date of Call]],"DDDD")</f>
        <v>Tuesday</v>
      </c>
      <c r="J463" t="str" cm="1">
        <f t="array" ref="J463">_xlfn.IFS(Call_Center[[#This Row],[Duration]]&lt;=10,"Under 10 mins",Call_Center[[#This Row],[Duration]]&lt;=30,"10 to 30 min",Call_Center[[#This Row],[Duration]]&lt;=60,"30 to 60 min",Call_Center[[#This Row],[Duration]]&lt;=120,"1 to 2 hours",TRUE,"More than 2 hours")</f>
        <v>30 to 60 min</v>
      </c>
      <c r="K463">
        <f>ROUND(Call_Center[[#This Row],[Satisfaction Rating]],0)</f>
        <v>5</v>
      </c>
    </row>
    <row r="464" spans="1:11" x14ac:dyDescent="0.35">
      <c r="A464" s="21" t="s">
        <v>1447</v>
      </c>
      <c r="B464" s="18" t="s">
        <v>1038</v>
      </c>
      <c r="C464" s="18">
        <v>89</v>
      </c>
      <c r="D464" s="19" t="s">
        <v>982</v>
      </c>
      <c r="E464" s="20">
        <v>45056</v>
      </c>
      <c r="F464" s="18">
        <v>176</v>
      </c>
      <c r="G464" s="22">
        <v>4.5</v>
      </c>
      <c r="H464">
        <f>IF(MONTH(Call_Center[[#This Row],[Date of Call]])&lt;=6,2023,2024)</f>
        <v>2023</v>
      </c>
      <c r="I464" t="str">
        <f>TEXT(Call_Center[[#This Row],[Date of Call]],"DDDD")</f>
        <v>Wednesday</v>
      </c>
      <c r="J464" t="str" cm="1">
        <f t="array" ref="J464">_xlfn.IFS(Call_Center[[#This Row],[Duration]]&lt;=10,"Under 10 mins",Call_Center[[#This Row],[Duration]]&lt;=30,"10 to 30 min",Call_Center[[#This Row],[Duration]]&lt;=60,"30 to 60 min",Call_Center[[#This Row],[Duration]]&lt;=120,"1 to 2 hours",TRUE,"More than 2 hours")</f>
        <v>1 to 2 hours</v>
      </c>
      <c r="K464">
        <f>ROUND(Call_Center[[#This Row],[Satisfaction Rating]],0)</f>
        <v>5</v>
      </c>
    </row>
    <row r="465" spans="1:11" x14ac:dyDescent="0.35">
      <c r="A465" s="21" t="s">
        <v>1448</v>
      </c>
      <c r="B465" s="18" t="s">
        <v>985</v>
      </c>
      <c r="C465" s="18">
        <v>54</v>
      </c>
      <c r="D465" s="19" t="s">
        <v>977</v>
      </c>
      <c r="E465" s="20">
        <v>45057</v>
      </c>
      <c r="F465" s="18">
        <v>31</v>
      </c>
      <c r="G465" s="22">
        <v>3.3</v>
      </c>
      <c r="H465">
        <f>IF(MONTH(Call_Center[[#This Row],[Date of Call]])&lt;=6,2023,2024)</f>
        <v>2023</v>
      </c>
      <c r="I465" t="str">
        <f>TEXT(Call_Center[[#This Row],[Date of Call]],"DDDD")</f>
        <v>Thursday</v>
      </c>
      <c r="J465" t="str" cm="1">
        <f t="array" ref="J465">_xlfn.IFS(Call_Center[[#This Row],[Duration]]&lt;=10,"Under 10 mins",Call_Center[[#This Row],[Duration]]&lt;=30,"10 to 30 min",Call_Center[[#This Row],[Duration]]&lt;=60,"30 to 60 min",Call_Center[[#This Row],[Duration]]&lt;=120,"1 to 2 hours",TRUE,"More than 2 hours")</f>
        <v>30 to 60 min</v>
      </c>
      <c r="K465">
        <f>ROUND(Call_Center[[#This Row],[Satisfaction Rating]],0)</f>
        <v>3</v>
      </c>
    </row>
    <row r="466" spans="1:11" x14ac:dyDescent="0.35">
      <c r="A466" s="21" t="s">
        <v>1449</v>
      </c>
      <c r="B466" s="18" t="s">
        <v>971</v>
      </c>
      <c r="C466" s="18">
        <v>25</v>
      </c>
      <c r="D466" s="19" t="s">
        <v>977</v>
      </c>
      <c r="E466" s="20">
        <v>45058</v>
      </c>
      <c r="F466" s="18">
        <v>27</v>
      </c>
      <c r="G466" s="22">
        <v>3.2</v>
      </c>
      <c r="H466">
        <f>IF(MONTH(Call_Center[[#This Row],[Date of Call]])&lt;=6,2023,2024)</f>
        <v>2023</v>
      </c>
      <c r="I466" t="str">
        <f>TEXT(Call_Center[[#This Row],[Date of Call]],"DDDD")</f>
        <v>Friday</v>
      </c>
      <c r="J466" t="str" cm="1">
        <f t="array" ref="J466">_xlfn.IFS(Call_Center[[#This Row],[Duration]]&lt;=10,"Under 10 mins",Call_Center[[#This Row],[Duration]]&lt;=30,"10 to 30 min",Call_Center[[#This Row],[Duration]]&lt;=60,"30 to 60 min",Call_Center[[#This Row],[Duration]]&lt;=120,"1 to 2 hours",TRUE,"More than 2 hours")</f>
        <v>10 to 30 min</v>
      </c>
      <c r="K466">
        <f>ROUND(Call_Center[[#This Row],[Satisfaction Rating]],0)</f>
        <v>3</v>
      </c>
    </row>
    <row r="467" spans="1:11" x14ac:dyDescent="0.35">
      <c r="A467" s="21" t="s">
        <v>1450</v>
      </c>
      <c r="B467" s="18" t="s">
        <v>989</v>
      </c>
      <c r="C467" s="18">
        <v>91</v>
      </c>
      <c r="D467" s="19" t="s">
        <v>982</v>
      </c>
      <c r="E467" s="20">
        <v>45058</v>
      </c>
      <c r="F467" s="18">
        <v>76</v>
      </c>
      <c r="G467" s="22">
        <v>4.9000000000000004</v>
      </c>
      <c r="H467">
        <f>IF(MONTH(Call_Center[[#This Row],[Date of Call]])&lt;=6,2023,2024)</f>
        <v>2023</v>
      </c>
      <c r="I467" t="str">
        <f>TEXT(Call_Center[[#This Row],[Date of Call]],"DDDD")</f>
        <v>Friday</v>
      </c>
      <c r="J467" t="str" cm="1">
        <f t="array" ref="J467">_xlfn.IFS(Call_Center[[#This Row],[Duration]]&lt;=10,"Under 10 mins",Call_Center[[#This Row],[Duration]]&lt;=30,"10 to 30 min",Call_Center[[#This Row],[Duration]]&lt;=60,"30 to 60 min",Call_Center[[#This Row],[Duration]]&lt;=120,"1 to 2 hours",TRUE,"More than 2 hours")</f>
        <v>1 to 2 hours</v>
      </c>
      <c r="K467">
        <f>ROUND(Call_Center[[#This Row],[Satisfaction Rating]],0)</f>
        <v>5</v>
      </c>
    </row>
    <row r="468" spans="1:11" x14ac:dyDescent="0.35">
      <c r="A468" s="21" t="s">
        <v>1451</v>
      </c>
      <c r="B468" s="18" t="s">
        <v>976</v>
      </c>
      <c r="C468" s="18">
        <v>144</v>
      </c>
      <c r="D468" s="19" t="s">
        <v>986</v>
      </c>
      <c r="E468" s="20">
        <v>45058</v>
      </c>
      <c r="F468" s="18">
        <v>62</v>
      </c>
      <c r="G468" s="22">
        <v>4.8</v>
      </c>
      <c r="H468">
        <f>IF(MONTH(Call_Center[[#This Row],[Date of Call]])&lt;=6,2023,2024)</f>
        <v>2023</v>
      </c>
      <c r="I468" t="str">
        <f>TEXT(Call_Center[[#This Row],[Date of Call]],"DDDD")</f>
        <v>Friday</v>
      </c>
      <c r="J468" t="str" cm="1">
        <f t="array" ref="J468">_xlfn.IFS(Call_Center[[#This Row],[Duration]]&lt;=10,"Under 10 mins",Call_Center[[#This Row],[Duration]]&lt;=30,"10 to 30 min",Call_Center[[#This Row],[Duration]]&lt;=60,"30 to 60 min",Call_Center[[#This Row],[Duration]]&lt;=120,"1 to 2 hours",TRUE,"More than 2 hours")</f>
        <v>More than 2 hours</v>
      </c>
      <c r="K468">
        <f>ROUND(Call_Center[[#This Row],[Satisfaction Rating]],0)</f>
        <v>5</v>
      </c>
    </row>
    <row r="469" spans="1:11" x14ac:dyDescent="0.35">
      <c r="A469" s="21" t="s">
        <v>1452</v>
      </c>
      <c r="B469" s="18" t="s">
        <v>989</v>
      </c>
      <c r="C469" s="18">
        <v>81</v>
      </c>
      <c r="D469" s="19" t="s">
        <v>972</v>
      </c>
      <c r="E469" s="20">
        <v>45060</v>
      </c>
      <c r="F469" s="18">
        <v>100</v>
      </c>
      <c r="G469" s="22">
        <v>1.3</v>
      </c>
      <c r="H469">
        <f>IF(MONTH(Call_Center[[#This Row],[Date of Call]])&lt;=6,2023,2024)</f>
        <v>2023</v>
      </c>
      <c r="I469" t="str">
        <f>TEXT(Call_Center[[#This Row],[Date of Call]],"DDDD")</f>
        <v>Sunday</v>
      </c>
      <c r="J469" t="str" cm="1">
        <f t="array" ref="J469">_xlfn.IFS(Call_Center[[#This Row],[Duration]]&lt;=10,"Under 10 mins",Call_Center[[#This Row],[Duration]]&lt;=30,"10 to 30 min",Call_Center[[#This Row],[Duration]]&lt;=60,"30 to 60 min",Call_Center[[#This Row],[Duration]]&lt;=120,"1 to 2 hours",TRUE,"More than 2 hours")</f>
        <v>1 to 2 hours</v>
      </c>
      <c r="K469">
        <f>ROUND(Call_Center[[#This Row],[Satisfaction Rating]],0)</f>
        <v>1</v>
      </c>
    </row>
    <row r="470" spans="1:11" x14ac:dyDescent="0.35">
      <c r="A470" s="21" t="s">
        <v>1453</v>
      </c>
      <c r="B470" s="18" t="s">
        <v>1018</v>
      </c>
      <c r="C470" s="18">
        <v>92</v>
      </c>
      <c r="D470" s="19" t="s">
        <v>977</v>
      </c>
      <c r="E470" s="20">
        <v>45060</v>
      </c>
      <c r="F470" s="18">
        <v>44</v>
      </c>
      <c r="G470" s="22">
        <v>3.1</v>
      </c>
      <c r="H470">
        <f>IF(MONTH(Call_Center[[#This Row],[Date of Call]])&lt;=6,2023,2024)</f>
        <v>2023</v>
      </c>
      <c r="I470" t="str">
        <f>TEXT(Call_Center[[#This Row],[Date of Call]],"DDDD")</f>
        <v>Sunday</v>
      </c>
      <c r="J470" t="str" cm="1">
        <f t="array" ref="J470">_xlfn.IFS(Call_Center[[#This Row],[Duration]]&lt;=10,"Under 10 mins",Call_Center[[#This Row],[Duration]]&lt;=30,"10 to 30 min",Call_Center[[#This Row],[Duration]]&lt;=60,"30 to 60 min",Call_Center[[#This Row],[Duration]]&lt;=120,"1 to 2 hours",TRUE,"More than 2 hours")</f>
        <v>1 to 2 hours</v>
      </c>
      <c r="K470">
        <f>ROUND(Call_Center[[#This Row],[Satisfaction Rating]],0)</f>
        <v>3</v>
      </c>
    </row>
    <row r="471" spans="1:11" x14ac:dyDescent="0.35">
      <c r="A471" s="21" t="s">
        <v>1454</v>
      </c>
      <c r="B471" s="18" t="s">
        <v>971</v>
      </c>
      <c r="C471" s="18">
        <v>115</v>
      </c>
      <c r="D471" s="19" t="s">
        <v>982</v>
      </c>
      <c r="E471" s="20">
        <v>45060</v>
      </c>
      <c r="F471" s="18">
        <v>168</v>
      </c>
      <c r="G471" s="22">
        <v>3.4</v>
      </c>
      <c r="H471">
        <f>IF(MONTH(Call_Center[[#This Row],[Date of Call]])&lt;=6,2023,2024)</f>
        <v>2023</v>
      </c>
      <c r="I471" t="str">
        <f>TEXT(Call_Center[[#This Row],[Date of Call]],"DDDD")</f>
        <v>Sunday</v>
      </c>
      <c r="J471" t="str" cm="1">
        <f t="array" ref="J471">_xlfn.IFS(Call_Center[[#This Row],[Duration]]&lt;=10,"Under 10 mins",Call_Center[[#This Row],[Duration]]&lt;=30,"10 to 30 min",Call_Center[[#This Row],[Duration]]&lt;=60,"30 to 60 min",Call_Center[[#This Row],[Duration]]&lt;=120,"1 to 2 hours",TRUE,"More than 2 hours")</f>
        <v>1 to 2 hours</v>
      </c>
      <c r="K471">
        <f>ROUND(Call_Center[[#This Row],[Satisfaction Rating]],0)</f>
        <v>3</v>
      </c>
    </row>
    <row r="472" spans="1:11" x14ac:dyDescent="0.35">
      <c r="A472" s="21" t="s">
        <v>1455</v>
      </c>
      <c r="B472" s="18" t="s">
        <v>980</v>
      </c>
      <c r="C472" s="18">
        <v>56</v>
      </c>
      <c r="D472" s="19" t="s">
        <v>982</v>
      </c>
      <c r="E472" s="20">
        <v>45061</v>
      </c>
      <c r="F472" s="18">
        <v>200</v>
      </c>
      <c r="G472" s="22">
        <v>4.5999999999999996</v>
      </c>
      <c r="H472">
        <f>IF(MONTH(Call_Center[[#This Row],[Date of Call]])&lt;=6,2023,2024)</f>
        <v>2023</v>
      </c>
      <c r="I472" t="str">
        <f>TEXT(Call_Center[[#This Row],[Date of Call]],"DDDD")</f>
        <v>Monday</v>
      </c>
      <c r="J472" t="str" cm="1">
        <f t="array" ref="J472">_xlfn.IFS(Call_Center[[#This Row],[Duration]]&lt;=10,"Under 10 mins",Call_Center[[#This Row],[Duration]]&lt;=30,"10 to 30 min",Call_Center[[#This Row],[Duration]]&lt;=60,"30 to 60 min",Call_Center[[#This Row],[Duration]]&lt;=120,"1 to 2 hours",TRUE,"More than 2 hours")</f>
        <v>30 to 60 min</v>
      </c>
      <c r="K472">
        <f>ROUND(Call_Center[[#This Row],[Satisfaction Rating]],0)</f>
        <v>5</v>
      </c>
    </row>
    <row r="473" spans="1:11" x14ac:dyDescent="0.35">
      <c r="A473" s="21" t="s">
        <v>1456</v>
      </c>
      <c r="B473" s="18" t="s">
        <v>969</v>
      </c>
      <c r="C473" s="18">
        <v>154</v>
      </c>
      <c r="D473" s="19" t="s">
        <v>977</v>
      </c>
      <c r="E473" s="20">
        <v>45061</v>
      </c>
      <c r="F473" s="18">
        <v>84</v>
      </c>
      <c r="G473" s="22">
        <v>4.3</v>
      </c>
      <c r="H473">
        <f>IF(MONTH(Call_Center[[#This Row],[Date of Call]])&lt;=6,2023,2024)</f>
        <v>2023</v>
      </c>
      <c r="I473" t="str">
        <f>TEXT(Call_Center[[#This Row],[Date of Call]],"DDDD")</f>
        <v>Monday</v>
      </c>
      <c r="J473" t="str" cm="1">
        <f t="array" ref="J473">_xlfn.IFS(Call_Center[[#This Row],[Duration]]&lt;=10,"Under 10 mins",Call_Center[[#This Row],[Duration]]&lt;=30,"10 to 30 min",Call_Center[[#This Row],[Duration]]&lt;=60,"30 to 60 min",Call_Center[[#This Row],[Duration]]&lt;=120,"1 to 2 hours",TRUE,"More than 2 hours")</f>
        <v>More than 2 hours</v>
      </c>
      <c r="K473">
        <f>ROUND(Call_Center[[#This Row],[Satisfaction Rating]],0)</f>
        <v>4</v>
      </c>
    </row>
    <row r="474" spans="1:11" x14ac:dyDescent="0.35">
      <c r="A474" s="21" t="s">
        <v>1457</v>
      </c>
      <c r="B474" s="18" t="s">
        <v>1038</v>
      </c>
      <c r="C474" s="18">
        <v>51</v>
      </c>
      <c r="D474" s="19" t="s">
        <v>982</v>
      </c>
      <c r="E474" s="20">
        <v>45062</v>
      </c>
      <c r="F474" s="18">
        <v>117</v>
      </c>
      <c r="G474" s="22">
        <v>2.7</v>
      </c>
      <c r="H474">
        <f>IF(MONTH(Call_Center[[#This Row],[Date of Call]])&lt;=6,2023,2024)</f>
        <v>2023</v>
      </c>
      <c r="I474" t="str">
        <f>TEXT(Call_Center[[#This Row],[Date of Call]],"DDDD")</f>
        <v>Tuesday</v>
      </c>
      <c r="J474" t="str" cm="1">
        <f t="array" ref="J474">_xlfn.IFS(Call_Center[[#This Row],[Duration]]&lt;=10,"Under 10 mins",Call_Center[[#This Row],[Duration]]&lt;=30,"10 to 30 min",Call_Center[[#This Row],[Duration]]&lt;=60,"30 to 60 min",Call_Center[[#This Row],[Duration]]&lt;=120,"1 to 2 hours",TRUE,"More than 2 hours")</f>
        <v>30 to 60 min</v>
      </c>
      <c r="K474">
        <f>ROUND(Call_Center[[#This Row],[Satisfaction Rating]],0)</f>
        <v>3</v>
      </c>
    </row>
    <row r="475" spans="1:11" x14ac:dyDescent="0.35">
      <c r="A475" s="21" t="s">
        <v>1458</v>
      </c>
      <c r="B475" s="18" t="s">
        <v>1000</v>
      </c>
      <c r="C475" s="18">
        <v>21</v>
      </c>
      <c r="D475" s="19" t="s">
        <v>972</v>
      </c>
      <c r="E475" s="20">
        <v>45062</v>
      </c>
      <c r="F475" s="18">
        <v>63</v>
      </c>
      <c r="G475" s="22">
        <v>4.2</v>
      </c>
      <c r="H475">
        <f>IF(MONTH(Call_Center[[#This Row],[Date of Call]])&lt;=6,2023,2024)</f>
        <v>2023</v>
      </c>
      <c r="I475" t="str">
        <f>TEXT(Call_Center[[#This Row],[Date of Call]],"DDDD")</f>
        <v>Tuesday</v>
      </c>
      <c r="J475" t="str" cm="1">
        <f t="array" ref="J475">_xlfn.IFS(Call_Center[[#This Row],[Duration]]&lt;=10,"Under 10 mins",Call_Center[[#This Row],[Duration]]&lt;=30,"10 to 30 min",Call_Center[[#This Row],[Duration]]&lt;=60,"30 to 60 min",Call_Center[[#This Row],[Duration]]&lt;=120,"1 to 2 hours",TRUE,"More than 2 hours")</f>
        <v>10 to 30 min</v>
      </c>
      <c r="K475">
        <f>ROUND(Call_Center[[#This Row],[Satisfaction Rating]],0)</f>
        <v>4</v>
      </c>
    </row>
    <row r="476" spans="1:11" x14ac:dyDescent="0.35">
      <c r="A476" s="21" t="s">
        <v>1459</v>
      </c>
      <c r="B476" s="18" t="s">
        <v>971</v>
      </c>
      <c r="C476" s="18">
        <v>80</v>
      </c>
      <c r="D476" s="19" t="s">
        <v>982</v>
      </c>
      <c r="E476" s="20">
        <v>45063</v>
      </c>
      <c r="F476" s="18">
        <v>145</v>
      </c>
      <c r="G476" s="22">
        <v>4.9000000000000004</v>
      </c>
      <c r="H476">
        <f>IF(MONTH(Call_Center[[#This Row],[Date of Call]])&lt;=6,2023,2024)</f>
        <v>2023</v>
      </c>
      <c r="I476" t="str">
        <f>TEXT(Call_Center[[#This Row],[Date of Call]],"DDDD")</f>
        <v>Wednesday</v>
      </c>
      <c r="J476" t="str" cm="1">
        <f t="array" ref="J476">_xlfn.IFS(Call_Center[[#This Row],[Duration]]&lt;=10,"Under 10 mins",Call_Center[[#This Row],[Duration]]&lt;=30,"10 to 30 min",Call_Center[[#This Row],[Duration]]&lt;=60,"30 to 60 min",Call_Center[[#This Row],[Duration]]&lt;=120,"1 to 2 hours",TRUE,"More than 2 hours")</f>
        <v>1 to 2 hours</v>
      </c>
      <c r="K476">
        <f>ROUND(Call_Center[[#This Row],[Satisfaction Rating]],0)</f>
        <v>5</v>
      </c>
    </row>
    <row r="477" spans="1:11" x14ac:dyDescent="0.35">
      <c r="A477" s="21" t="s">
        <v>1460</v>
      </c>
      <c r="B477" s="18" t="s">
        <v>1038</v>
      </c>
      <c r="C477" s="18">
        <v>139</v>
      </c>
      <c r="D477" s="19" t="s">
        <v>977</v>
      </c>
      <c r="E477" s="20">
        <v>45063</v>
      </c>
      <c r="F477" s="18">
        <v>220</v>
      </c>
      <c r="G477" s="22">
        <v>3.2</v>
      </c>
      <c r="H477">
        <f>IF(MONTH(Call_Center[[#This Row],[Date of Call]])&lt;=6,2023,2024)</f>
        <v>2023</v>
      </c>
      <c r="I477" t="str">
        <f>TEXT(Call_Center[[#This Row],[Date of Call]],"DDDD")</f>
        <v>Wednesday</v>
      </c>
      <c r="J477" t="str" cm="1">
        <f t="array" ref="J477">_xlfn.IFS(Call_Center[[#This Row],[Duration]]&lt;=10,"Under 10 mins",Call_Center[[#This Row],[Duration]]&lt;=30,"10 to 30 min",Call_Center[[#This Row],[Duration]]&lt;=60,"30 to 60 min",Call_Center[[#This Row],[Duration]]&lt;=120,"1 to 2 hours",TRUE,"More than 2 hours")</f>
        <v>More than 2 hours</v>
      </c>
      <c r="K477">
        <f>ROUND(Call_Center[[#This Row],[Satisfaction Rating]],0)</f>
        <v>3</v>
      </c>
    </row>
    <row r="478" spans="1:11" x14ac:dyDescent="0.35">
      <c r="A478" s="21" t="s">
        <v>1461</v>
      </c>
      <c r="B478" s="18" t="s">
        <v>991</v>
      </c>
      <c r="C478" s="18">
        <v>50</v>
      </c>
      <c r="D478" s="19" t="s">
        <v>972</v>
      </c>
      <c r="E478" s="20">
        <v>45063</v>
      </c>
      <c r="F478" s="18">
        <v>26</v>
      </c>
      <c r="G478" s="22">
        <v>4.7</v>
      </c>
      <c r="H478">
        <f>IF(MONTH(Call_Center[[#This Row],[Date of Call]])&lt;=6,2023,2024)</f>
        <v>2023</v>
      </c>
      <c r="I478" t="str">
        <f>TEXT(Call_Center[[#This Row],[Date of Call]],"DDDD")</f>
        <v>Wednesday</v>
      </c>
      <c r="J478" t="str" cm="1">
        <f t="array" ref="J478">_xlfn.IFS(Call_Center[[#This Row],[Duration]]&lt;=10,"Under 10 mins",Call_Center[[#This Row],[Duration]]&lt;=30,"10 to 30 min",Call_Center[[#This Row],[Duration]]&lt;=60,"30 to 60 min",Call_Center[[#This Row],[Duration]]&lt;=120,"1 to 2 hours",TRUE,"More than 2 hours")</f>
        <v>30 to 60 min</v>
      </c>
      <c r="K478">
        <f>ROUND(Call_Center[[#This Row],[Satisfaction Rating]],0)</f>
        <v>5</v>
      </c>
    </row>
    <row r="479" spans="1:11" x14ac:dyDescent="0.35">
      <c r="A479" s="21" t="s">
        <v>1462</v>
      </c>
      <c r="B479" s="18" t="s">
        <v>971</v>
      </c>
      <c r="C479" s="18">
        <v>88</v>
      </c>
      <c r="D479" s="19" t="s">
        <v>982</v>
      </c>
      <c r="E479" s="20">
        <v>45063</v>
      </c>
      <c r="F479" s="18">
        <v>78</v>
      </c>
      <c r="G479" s="22">
        <v>4.3</v>
      </c>
      <c r="H479">
        <f>IF(MONTH(Call_Center[[#This Row],[Date of Call]])&lt;=6,2023,2024)</f>
        <v>2023</v>
      </c>
      <c r="I479" t="str">
        <f>TEXT(Call_Center[[#This Row],[Date of Call]],"DDDD")</f>
        <v>Wednesday</v>
      </c>
      <c r="J479" t="str" cm="1">
        <f t="array" ref="J479">_xlfn.IFS(Call_Center[[#This Row],[Duration]]&lt;=10,"Under 10 mins",Call_Center[[#This Row],[Duration]]&lt;=30,"10 to 30 min",Call_Center[[#This Row],[Duration]]&lt;=60,"30 to 60 min",Call_Center[[#This Row],[Duration]]&lt;=120,"1 to 2 hours",TRUE,"More than 2 hours")</f>
        <v>1 to 2 hours</v>
      </c>
      <c r="K479">
        <f>ROUND(Call_Center[[#This Row],[Satisfaction Rating]],0)</f>
        <v>4</v>
      </c>
    </row>
    <row r="480" spans="1:11" x14ac:dyDescent="0.35">
      <c r="A480" s="21" t="s">
        <v>1463</v>
      </c>
      <c r="B480" s="18" t="s">
        <v>985</v>
      </c>
      <c r="C480" s="18">
        <v>19</v>
      </c>
      <c r="D480" s="19" t="s">
        <v>986</v>
      </c>
      <c r="E480" s="20">
        <v>45064</v>
      </c>
      <c r="F480" s="18">
        <v>132</v>
      </c>
      <c r="G480" s="22">
        <v>4.3</v>
      </c>
      <c r="H480">
        <f>IF(MONTH(Call_Center[[#This Row],[Date of Call]])&lt;=6,2023,2024)</f>
        <v>2023</v>
      </c>
      <c r="I480" t="str">
        <f>TEXT(Call_Center[[#This Row],[Date of Call]],"DDDD")</f>
        <v>Thursday</v>
      </c>
      <c r="J480" t="str" cm="1">
        <f t="array" ref="J480">_xlfn.IFS(Call_Center[[#This Row],[Duration]]&lt;=10,"Under 10 mins",Call_Center[[#This Row],[Duration]]&lt;=30,"10 to 30 min",Call_Center[[#This Row],[Duration]]&lt;=60,"30 to 60 min",Call_Center[[#This Row],[Duration]]&lt;=120,"1 to 2 hours",TRUE,"More than 2 hours")</f>
        <v>10 to 30 min</v>
      </c>
      <c r="K480">
        <f>ROUND(Call_Center[[#This Row],[Satisfaction Rating]],0)</f>
        <v>4</v>
      </c>
    </row>
    <row r="481" spans="1:11" x14ac:dyDescent="0.35">
      <c r="A481" s="21" t="s">
        <v>1464</v>
      </c>
      <c r="B481" s="18" t="s">
        <v>997</v>
      </c>
      <c r="C481" s="18">
        <v>104</v>
      </c>
      <c r="D481" s="19" t="s">
        <v>986</v>
      </c>
      <c r="E481" s="20">
        <v>45065</v>
      </c>
      <c r="F481" s="18">
        <v>68</v>
      </c>
      <c r="G481" s="22">
        <v>3.7</v>
      </c>
      <c r="H481">
        <f>IF(MONTH(Call_Center[[#This Row],[Date of Call]])&lt;=6,2023,2024)</f>
        <v>2023</v>
      </c>
      <c r="I481" t="str">
        <f>TEXT(Call_Center[[#This Row],[Date of Call]],"DDDD")</f>
        <v>Friday</v>
      </c>
      <c r="J481" t="str" cm="1">
        <f t="array" ref="J481">_xlfn.IFS(Call_Center[[#This Row],[Duration]]&lt;=10,"Under 10 mins",Call_Center[[#This Row],[Duration]]&lt;=30,"10 to 30 min",Call_Center[[#This Row],[Duration]]&lt;=60,"30 to 60 min",Call_Center[[#This Row],[Duration]]&lt;=120,"1 to 2 hours",TRUE,"More than 2 hours")</f>
        <v>1 to 2 hours</v>
      </c>
      <c r="K481">
        <f>ROUND(Call_Center[[#This Row],[Satisfaction Rating]],0)</f>
        <v>4</v>
      </c>
    </row>
    <row r="482" spans="1:11" x14ac:dyDescent="0.35">
      <c r="A482" s="21" t="s">
        <v>1465</v>
      </c>
      <c r="B482" s="18" t="s">
        <v>969</v>
      </c>
      <c r="C482" s="18">
        <v>67</v>
      </c>
      <c r="D482" s="19" t="s">
        <v>977</v>
      </c>
      <c r="E482" s="20">
        <v>45067</v>
      </c>
      <c r="F482" s="18">
        <v>129</v>
      </c>
      <c r="G482" s="22">
        <v>4.7</v>
      </c>
      <c r="H482">
        <f>IF(MONTH(Call_Center[[#This Row],[Date of Call]])&lt;=6,2023,2024)</f>
        <v>2023</v>
      </c>
      <c r="I482" t="str">
        <f>TEXT(Call_Center[[#This Row],[Date of Call]],"DDDD")</f>
        <v>Sunday</v>
      </c>
      <c r="J482" t="str" cm="1">
        <f t="array" ref="J482">_xlfn.IFS(Call_Center[[#This Row],[Duration]]&lt;=10,"Under 10 mins",Call_Center[[#This Row],[Duration]]&lt;=30,"10 to 30 min",Call_Center[[#This Row],[Duration]]&lt;=60,"30 to 60 min",Call_Center[[#This Row],[Duration]]&lt;=120,"1 to 2 hours",TRUE,"More than 2 hours")</f>
        <v>1 to 2 hours</v>
      </c>
      <c r="K482">
        <f>ROUND(Call_Center[[#This Row],[Satisfaction Rating]],0)</f>
        <v>5</v>
      </c>
    </row>
    <row r="483" spans="1:11" x14ac:dyDescent="0.35">
      <c r="A483" s="21" t="s">
        <v>1466</v>
      </c>
      <c r="B483" s="18" t="s">
        <v>1008</v>
      </c>
      <c r="C483" s="18">
        <v>107</v>
      </c>
      <c r="D483" s="19" t="s">
        <v>986</v>
      </c>
      <c r="E483" s="20">
        <v>45067</v>
      </c>
      <c r="F483" s="18">
        <v>115</v>
      </c>
      <c r="G483" s="22">
        <v>4.9000000000000004</v>
      </c>
      <c r="H483">
        <f>IF(MONTH(Call_Center[[#This Row],[Date of Call]])&lt;=6,2023,2024)</f>
        <v>2023</v>
      </c>
      <c r="I483" t="str">
        <f>TEXT(Call_Center[[#This Row],[Date of Call]],"DDDD")</f>
        <v>Sunday</v>
      </c>
      <c r="J483" t="str" cm="1">
        <f t="array" ref="J483">_xlfn.IFS(Call_Center[[#This Row],[Duration]]&lt;=10,"Under 10 mins",Call_Center[[#This Row],[Duration]]&lt;=30,"10 to 30 min",Call_Center[[#This Row],[Duration]]&lt;=60,"30 to 60 min",Call_Center[[#This Row],[Duration]]&lt;=120,"1 to 2 hours",TRUE,"More than 2 hours")</f>
        <v>1 to 2 hours</v>
      </c>
      <c r="K483">
        <f>ROUND(Call_Center[[#This Row],[Satisfaction Rating]],0)</f>
        <v>5</v>
      </c>
    </row>
    <row r="484" spans="1:11" x14ac:dyDescent="0.35">
      <c r="A484" s="21" t="s">
        <v>1467</v>
      </c>
      <c r="B484" s="18" t="s">
        <v>1008</v>
      </c>
      <c r="C484" s="18">
        <v>93</v>
      </c>
      <c r="D484" s="19" t="s">
        <v>986</v>
      </c>
      <c r="E484" s="20">
        <v>45067</v>
      </c>
      <c r="F484" s="18">
        <v>128</v>
      </c>
      <c r="G484" s="22">
        <v>3.9</v>
      </c>
      <c r="H484">
        <f>IF(MONTH(Call_Center[[#This Row],[Date of Call]])&lt;=6,2023,2024)</f>
        <v>2023</v>
      </c>
      <c r="I484" t="str">
        <f>TEXT(Call_Center[[#This Row],[Date of Call]],"DDDD")</f>
        <v>Sunday</v>
      </c>
      <c r="J484" t="str" cm="1">
        <f t="array" ref="J484">_xlfn.IFS(Call_Center[[#This Row],[Duration]]&lt;=10,"Under 10 mins",Call_Center[[#This Row],[Duration]]&lt;=30,"10 to 30 min",Call_Center[[#This Row],[Duration]]&lt;=60,"30 to 60 min",Call_Center[[#This Row],[Duration]]&lt;=120,"1 to 2 hours",TRUE,"More than 2 hours")</f>
        <v>1 to 2 hours</v>
      </c>
      <c r="K484">
        <f>ROUND(Call_Center[[#This Row],[Satisfaction Rating]],0)</f>
        <v>4</v>
      </c>
    </row>
    <row r="485" spans="1:11" x14ac:dyDescent="0.35">
      <c r="A485" s="21" t="s">
        <v>1468</v>
      </c>
      <c r="B485" s="18" t="s">
        <v>1008</v>
      </c>
      <c r="C485" s="18">
        <v>117</v>
      </c>
      <c r="D485" s="19" t="s">
        <v>977</v>
      </c>
      <c r="E485" s="20">
        <v>45067</v>
      </c>
      <c r="F485" s="18">
        <v>90</v>
      </c>
      <c r="G485" s="22">
        <v>4.5</v>
      </c>
      <c r="H485">
        <f>IF(MONTH(Call_Center[[#This Row],[Date of Call]])&lt;=6,2023,2024)</f>
        <v>2023</v>
      </c>
      <c r="I485" t="str">
        <f>TEXT(Call_Center[[#This Row],[Date of Call]],"DDDD")</f>
        <v>Sunday</v>
      </c>
      <c r="J485" t="str" cm="1">
        <f t="array" ref="J485">_xlfn.IFS(Call_Center[[#This Row],[Duration]]&lt;=10,"Under 10 mins",Call_Center[[#This Row],[Duration]]&lt;=30,"10 to 30 min",Call_Center[[#This Row],[Duration]]&lt;=60,"30 to 60 min",Call_Center[[#This Row],[Duration]]&lt;=120,"1 to 2 hours",TRUE,"More than 2 hours")</f>
        <v>1 to 2 hours</v>
      </c>
      <c r="K485">
        <f>ROUND(Call_Center[[#This Row],[Satisfaction Rating]],0)</f>
        <v>5</v>
      </c>
    </row>
    <row r="486" spans="1:11" x14ac:dyDescent="0.35">
      <c r="A486" s="21" t="s">
        <v>1469</v>
      </c>
      <c r="B486" s="18" t="s">
        <v>991</v>
      </c>
      <c r="C486" s="18">
        <v>76</v>
      </c>
      <c r="D486" s="19" t="s">
        <v>982</v>
      </c>
      <c r="E486" s="20">
        <v>45068</v>
      </c>
      <c r="F486" s="18">
        <v>39</v>
      </c>
      <c r="G486" s="22">
        <v>4.5999999999999996</v>
      </c>
      <c r="H486">
        <f>IF(MONTH(Call_Center[[#This Row],[Date of Call]])&lt;=6,2023,2024)</f>
        <v>2023</v>
      </c>
      <c r="I486" t="str">
        <f>TEXT(Call_Center[[#This Row],[Date of Call]],"DDDD")</f>
        <v>Monday</v>
      </c>
      <c r="J486" t="str" cm="1">
        <f t="array" ref="J486">_xlfn.IFS(Call_Center[[#This Row],[Duration]]&lt;=10,"Under 10 mins",Call_Center[[#This Row],[Duration]]&lt;=30,"10 to 30 min",Call_Center[[#This Row],[Duration]]&lt;=60,"30 to 60 min",Call_Center[[#This Row],[Duration]]&lt;=120,"1 to 2 hours",TRUE,"More than 2 hours")</f>
        <v>1 to 2 hours</v>
      </c>
      <c r="K486">
        <f>ROUND(Call_Center[[#This Row],[Satisfaction Rating]],0)</f>
        <v>5</v>
      </c>
    </row>
    <row r="487" spans="1:11" x14ac:dyDescent="0.35">
      <c r="A487" s="21" t="s">
        <v>1470</v>
      </c>
      <c r="B487" s="18" t="s">
        <v>985</v>
      </c>
      <c r="C487" s="18">
        <v>64</v>
      </c>
      <c r="D487" s="19" t="s">
        <v>986</v>
      </c>
      <c r="E487" s="20">
        <v>45068</v>
      </c>
      <c r="F487" s="18">
        <v>132</v>
      </c>
      <c r="G487" s="22">
        <v>3.3</v>
      </c>
      <c r="H487">
        <f>IF(MONTH(Call_Center[[#This Row],[Date of Call]])&lt;=6,2023,2024)</f>
        <v>2023</v>
      </c>
      <c r="I487" t="str">
        <f>TEXT(Call_Center[[#This Row],[Date of Call]],"DDDD")</f>
        <v>Monday</v>
      </c>
      <c r="J487" t="str" cm="1">
        <f t="array" ref="J487">_xlfn.IFS(Call_Center[[#This Row],[Duration]]&lt;=10,"Under 10 mins",Call_Center[[#This Row],[Duration]]&lt;=30,"10 to 30 min",Call_Center[[#This Row],[Duration]]&lt;=60,"30 to 60 min",Call_Center[[#This Row],[Duration]]&lt;=120,"1 to 2 hours",TRUE,"More than 2 hours")</f>
        <v>1 to 2 hours</v>
      </c>
      <c r="K487">
        <f>ROUND(Call_Center[[#This Row],[Satisfaction Rating]],0)</f>
        <v>3</v>
      </c>
    </row>
    <row r="488" spans="1:11" x14ac:dyDescent="0.35">
      <c r="A488" s="21" t="s">
        <v>1471</v>
      </c>
      <c r="B488" s="18" t="s">
        <v>976</v>
      </c>
      <c r="C488" s="18">
        <v>33</v>
      </c>
      <c r="D488" s="19" t="s">
        <v>986</v>
      </c>
      <c r="E488" s="20">
        <v>45068</v>
      </c>
      <c r="F488" s="18">
        <v>170</v>
      </c>
      <c r="G488" s="22">
        <v>3.8</v>
      </c>
      <c r="H488">
        <f>IF(MONTH(Call_Center[[#This Row],[Date of Call]])&lt;=6,2023,2024)</f>
        <v>2023</v>
      </c>
      <c r="I488" t="str">
        <f>TEXT(Call_Center[[#This Row],[Date of Call]],"DDDD")</f>
        <v>Monday</v>
      </c>
      <c r="J488" t="str" cm="1">
        <f t="array" ref="J488">_xlfn.IFS(Call_Center[[#This Row],[Duration]]&lt;=10,"Under 10 mins",Call_Center[[#This Row],[Duration]]&lt;=30,"10 to 30 min",Call_Center[[#This Row],[Duration]]&lt;=60,"30 to 60 min",Call_Center[[#This Row],[Duration]]&lt;=120,"1 to 2 hours",TRUE,"More than 2 hours")</f>
        <v>30 to 60 min</v>
      </c>
      <c r="K488">
        <f>ROUND(Call_Center[[#This Row],[Satisfaction Rating]],0)</f>
        <v>4</v>
      </c>
    </row>
    <row r="489" spans="1:11" x14ac:dyDescent="0.35">
      <c r="A489" s="21" t="s">
        <v>1472</v>
      </c>
      <c r="B489" s="18" t="s">
        <v>1008</v>
      </c>
      <c r="C489" s="18">
        <v>115</v>
      </c>
      <c r="D489" s="19" t="s">
        <v>977</v>
      </c>
      <c r="E489" s="20">
        <v>45068</v>
      </c>
      <c r="F489" s="18">
        <v>42</v>
      </c>
      <c r="G489" s="22">
        <v>4.7</v>
      </c>
      <c r="H489">
        <f>IF(MONTH(Call_Center[[#This Row],[Date of Call]])&lt;=6,2023,2024)</f>
        <v>2023</v>
      </c>
      <c r="I489" t="str">
        <f>TEXT(Call_Center[[#This Row],[Date of Call]],"DDDD")</f>
        <v>Monday</v>
      </c>
      <c r="J489" t="str" cm="1">
        <f t="array" ref="J489">_xlfn.IFS(Call_Center[[#This Row],[Duration]]&lt;=10,"Under 10 mins",Call_Center[[#This Row],[Duration]]&lt;=30,"10 to 30 min",Call_Center[[#This Row],[Duration]]&lt;=60,"30 to 60 min",Call_Center[[#This Row],[Duration]]&lt;=120,"1 to 2 hours",TRUE,"More than 2 hours")</f>
        <v>1 to 2 hours</v>
      </c>
      <c r="K489">
        <f>ROUND(Call_Center[[#This Row],[Satisfaction Rating]],0)</f>
        <v>5</v>
      </c>
    </row>
    <row r="490" spans="1:11" x14ac:dyDescent="0.35">
      <c r="A490" s="21" t="s">
        <v>1473</v>
      </c>
      <c r="B490" s="18" t="s">
        <v>974</v>
      </c>
      <c r="C490" s="18">
        <v>155</v>
      </c>
      <c r="D490" s="19" t="s">
        <v>982</v>
      </c>
      <c r="E490" s="20">
        <v>45069</v>
      </c>
      <c r="F490" s="18">
        <v>37</v>
      </c>
      <c r="G490" s="22">
        <v>4</v>
      </c>
      <c r="H490">
        <f>IF(MONTH(Call_Center[[#This Row],[Date of Call]])&lt;=6,2023,2024)</f>
        <v>2023</v>
      </c>
      <c r="I490" t="str">
        <f>TEXT(Call_Center[[#This Row],[Date of Call]],"DDDD")</f>
        <v>Tuesday</v>
      </c>
      <c r="J490" t="str" cm="1">
        <f t="array" ref="J490">_xlfn.IFS(Call_Center[[#This Row],[Duration]]&lt;=10,"Under 10 mins",Call_Center[[#This Row],[Duration]]&lt;=30,"10 to 30 min",Call_Center[[#This Row],[Duration]]&lt;=60,"30 to 60 min",Call_Center[[#This Row],[Duration]]&lt;=120,"1 to 2 hours",TRUE,"More than 2 hours")</f>
        <v>More than 2 hours</v>
      </c>
      <c r="K490">
        <f>ROUND(Call_Center[[#This Row],[Satisfaction Rating]],0)</f>
        <v>4</v>
      </c>
    </row>
    <row r="491" spans="1:11" x14ac:dyDescent="0.35">
      <c r="A491" s="21" t="s">
        <v>1474</v>
      </c>
      <c r="B491" s="18" t="s">
        <v>969</v>
      </c>
      <c r="C491" s="18">
        <v>117</v>
      </c>
      <c r="D491" s="19" t="s">
        <v>982</v>
      </c>
      <c r="E491" s="20">
        <v>45069</v>
      </c>
      <c r="F491" s="18">
        <v>88</v>
      </c>
      <c r="G491" s="22">
        <v>4.7</v>
      </c>
      <c r="H491">
        <f>IF(MONTH(Call_Center[[#This Row],[Date of Call]])&lt;=6,2023,2024)</f>
        <v>2023</v>
      </c>
      <c r="I491" t="str">
        <f>TEXT(Call_Center[[#This Row],[Date of Call]],"DDDD")</f>
        <v>Tuesday</v>
      </c>
      <c r="J491" t="str" cm="1">
        <f t="array" ref="J491">_xlfn.IFS(Call_Center[[#This Row],[Duration]]&lt;=10,"Under 10 mins",Call_Center[[#This Row],[Duration]]&lt;=30,"10 to 30 min",Call_Center[[#This Row],[Duration]]&lt;=60,"30 to 60 min",Call_Center[[#This Row],[Duration]]&lt;=120,"1 to 2 hours",TRUE,"More than 2 hours")</f>
        <v>1 to 2 hours</v>
      </c>
      <c r="K491">
        <f>ROUND(Call_Center[[#This Row],[Satisfaction Rating]],0)</f>
        <v>5</v>
      </c>
    </row>
    <row r="492" spans="1:11" x14ac:dyDescent="0.35">
      <c r="A492" s="21" t="s">
        <v>1475</v>
      </c>
      <c r="B492" s="18" t="s">
        <v>1038</v>
      </c>
      <c r="C492" s="18">
        <v>63</v>
      </c>
      <c r="D492" s="19" t="s">
        <v>982</v>
      </c>
      <c r="E492" s="20">
        <v>45069</v>
      </c>
      <c r="F492" s="18">
        <v>80</v>
      </c>
      <c r="G492" s="22">
        <v>2.5</v>
      </c>
      <c r="H492">
        <f>IF(MONTH(Call_Center[[#This Row],[Date of Call]])&lt;=6,2023,2024)</f>
        <v>2023</v>
      </c>
      <c r="I492" t="str">
        <f>TEXT(Call_Center[[#This Row],[Date of Call]],"DDDD")</f>
        <v>Tuesday</v>
      </c>
      <c r="J492" t="str" cm="1">
        <f t="array" ref="J492">_xlfn.IFS(Call_Center[[#This Row],[Duration]]&lt;=10,"Under 10 mins",Call_Center[[#This Row],[Duration]]&lt;=30,"10 to 30 min",Call_Center[[#This Row],[Duration]]&lt;=60,"30 to 60 min",Call_Center[[#This Row],[Duration]]&lt;=120,"1 to 2 hours",TRUE,"More than 2 hours")</f>
        <v>1 to 2 hours</v>
      </c>
      <c r="K492">
        <f>ROUND(Call_Center[[#This Row],[Satisfaction Rating]],0)</f>
        <v>3</v>
      </c>
    </row>
    <row r="493" spans="1:11" x14ac:dyDescent="0.35">
      <c r="A493" s="21" t="s">
        <v>1476</v>
      </c>
      <c r="B493" s="18" t="s">
        <v>985</v>
      </c>
      <c r="C493" s="18">
        <v>59</v>
      </c>
      <c r="D493" s="19" t="s">
        <v>967</v>
      </c>
      <c r="E493" s="20">
        <v>45070</v>
      </c>
      <c r="F493" s="18">
        <v>123</v>
      </c>
      <c r="G493" s="22">
        <v>3.6</v>
      </c>
      <c r="H493">
        <f>IF(MONTH(Call_Center[[#This Row],[Date of Call]])&lt;=6,2023,2024)</f>
        <v>2023</v>
      </c>
      <c r="I493" t="str">
        <f>TEXT(Call_Center[[#This Row],[Date of Call]],"DDDD")</f>
        <v>Wednesday</v>
      </c>
      <c r="J493" t="str" cm="1">
        <f t="array" ref="J493">_xlfn.IFS(Call_Center[[#This Row],[Duration]]&lt;=10,"Under 10 mins",Call_Center[[#This Row],[Duration]]&lt;=30,"10 to 30 min",Call_Center[[#This Row],[Duration]]&lt;=60,"30 to 60 min",Call_Center[[#This Row],[Duration]]&lt;=120,"1 to 2 hours",TRUE,"More than 2 hours")</f>
        <v>30 to 60 min</v>
      </c>
      <c r="K493">
        <f>ROUND(Call_Center[[#This Row],[Satisfaction Rating]],0)</f>
        <v>4</v>
      </c>
    </row>
    <row r="494" spans="1:11" x14ac:dyDescent="0.35">
      <c r="A494" s="21" t="s">
        <v>1477</v>
      </c>
      <c r="B494" s="18" t="s">
        <v>1000</v>
      </c>
      <c r="C494" s="18">
        <v>133</v>
      </c>
      <c r="D494" s="19" t="s">
        <v>986</v>
      </c>
      <c r="E494" s="20">
        <v>45070</v>
      </c>
      <c r="F494" s="18">
        <v>31</v>
      </c>
      <c r="G494" s="22">
        <v>3.7</v>
      </c>
      <c r="H494">
        <f>IF(MONTH(Call_Center[[#This Row],[Date of Call]])&lt;=6,2023,2024)</f>
        <v>2023</v>
      </c>
      <c r="I494" t="str">
        <f>TEXT(Call_Center[[#This Row],[Date of Call]],"DDDD")</f>
        <v>Wednesday</v>
      </c>
      <c r="J494" t="str" cm="1">
        <f t="array" ref="J494">_xlfn.IFS(Call_Center[[#This Row],[Duration]]&lt;=10,"Under 10 mins",Call_Center[[#This Row],[Duration]]&lt;=30,"10 to 30 min",Call_Center[[#This Row],[Duration]]&lt;=60,"30 to 60 min",Call_Center[[#This Row],[Duration]]&lt;=120,"1 to 2 hours",TRUE,"More than 2 hours")</f>
        <v>More than 2 hours</v>
      </c>
      <c r="K494">
        <f>ROUND(Call_Center[[#This Row],[Satisfaction Rating]],0)</f>
        <v>4</v>
      </c>
    </row>
    <row r="495" spans="1:11" x14ac:dyDescent="0.35">
      <c r="A495" s="21" t="s">
        <v>1478</v>
      </c>
      <c r="B495" s="18" t="s">
        <v>1018</v>
      </c>
      <c r="C495" s="18">
        <v>101</v>
      </c>
      <c r="D495" s="19" t="s">
        <v>972</v>
      </c>
      <c r="E495" s="20">
        <v>45070</v>
      </c>
      <c r="F495" s="18">
        <v>205</v>
      </c>
      <c r="G495" s="22">
        <v>3.9</v>
      </c>
      <c r="H495">
        <f>IF(MONTH(Call_Center[[#This Row],[Date of Call]])&lt;=6,2023,2024)</f>
        <v>2023</v>
      </c>
      <c r="I495" t="str">
        <f>TEXT(Call_Center[[#This Row],[Date of Call]],"DDDD")</f>
        <v>Wednesday</v>
      </c>
      <c r="J495" t="str" cm="1">
        <f t="array" ref="J495">_xlfn.IFS(Call_Center[[#This Row],[Duration]]&lt;=10,"Under 10 mins",Call_Center[[#This Row],[Duration]]&lt;=30,"10 to 30 min",Call_Center[[#This Row],[Duration]]&lt;=60,"30 to 60 min",Call_Center[[#This Row],[Duration]]&lt;=120,"1 to 2 hours",TRUE,"More than 2 hours")</f>
        <v>1 to 2 hours</v>
      </c>
      <c r="K495">
        <f>ROUND(Call_Center[[#This Row],[Satisfaction Rating]],0)</f>
        <v>4</v>
      </c>
    </row>
    <row r="496" spans="1:11" x14ac:dyDescent="0.35">
      <c r="A496" s="21" t="s">
        <v>1479</v>
      </c>
      <c r="B496" s="18" t="s">
        <v>989</v>
      </c>
      <c r="C496" s="18">
        <v>151</v>
      </c>
      <c r="D496" s="19" t="s">
        <v>982</v>
      </c>
      <c r="E496" s="20">
        <v>45071</v>
      </c>
      <c r="F496" s="18">
        <v>123</v>
      </c>
      <c r="G496" s="22">
        <v>3.7</v>
      </c>
      <c r="H496">
        <f>IF(MONTH(Call_Center[[#This Row],[Date of Call]])&lt;=6,2023,2024)</f>
        <v>2023</v>
      </c>
      <c r="I496" t="str">
        <f>TEXT(Call_Center[[#This Row],[Date of Call]],"DDDD")</f>
        <v>Thursday</v>
      </c>
      <c r="J496" t="str" cm="1">
        <f t="array" ref="J496">_xlfn.IFS(Call_Center[[#This Row],[Duration]]&lt;=10,"Under 10 mins",Call_Center[[#This Row],[Duration]]&lt;=30,"10 to 30 min",Call_Center[[#This Row],[Duration]]&lt;=60,"30 to 60 min",Call_Center[[#This Row],[Duration]]&lt;=120,"1 to 2 hours",TRUE,"More than 2 hours")</f>
        <v>More than 2 hours</v>
      </c>
      <c r="K496">
        <f>ROUND(Call_Center[[#This Row],[Satisfaction Rating]],0)</f>
        <v>4</v>
      </c>
    </row>
    <row r="497" spans="1:11" x14ac:dyDescent="0.35">
      <c r="A497" s="21" t="s">
        <v>1480</v>
      </c>
      <c r="B497" s="18" t="s">
        <v>976</v>
      </c>
      <c r="C497" s="18">
        <v>146</v>
      </c>
      <c r="D497" s="19" t="s">
        <v>986</v>
      </c>
      <c r="E497" s="20">
        <v>45071</v>
      </c>
      <c r="F497" s="18">
        <v>123</v>
      </c>
      <c r="G497" s="22">
        <v>4.3</v>
      </c>
      <c r="H497">
        <f>IF(MONTH(Call_Center[[#This Row],[Date of Call]])&lt;=6,2023,2024)</f>
        <v>2023</v>
      </c>
      <c r="I497" t="str">
        <f>TEXT(Call_Center[[#This Row],[Date of Call]],"DDDD")</f>
        <v>Thursday</v>
      </c>
      <c r="J497" t="str" cm="1">
        <f t="array" ref="J497">_xlfn.IFS(Call_Center[[#This Row],[Duration]]&lt;=10,"Under 10 mins",Call_Center[[#This Row],[Duration]]&lt;=30,"10 to 30 min",Call_Center[[#This Row],[Duration]]&lt;=60,"30 to 60 min",Call_Center[[#This Row],[Duration]]&lt;=120,"1 to 2 hours",TRUE,"More than 2 hours")</f>
        <v>More than 2 hours</v>
      </c>
      <c r="K497">
        <f>ROUND(Call_Center[[#This Row],[Satisfaction Rating]],0)</f>
        <v>4</v>
      </c>
    </row>
    <row r="498" spans="1:11" x14ac:dyDescent="0.35">
      <c r="A498" s="21" t="s">
        <v>1481</v>
      </c>
      <c r="B498" s="18" t="s">
        <v>1038</v>
      </c>
      <c r="C498" s="18">
        <v>148</v>
      </c>
      <c r="D498" s="19" t="s">
        <v>986</v>
      </c>
      <c r="E498" s="20">
        <v>45071</v>
      </c>
      <c r="F498" s="18">
        <v>36</v>
      </c>
      <c r="G498" s="22">
        <v>2.9</v>
      </c>
      <c r="H498">
        <f>IF(MONTH(Call_Center[[#This Row],[Date of Call]])&lt;=6,2023,2024)</f>
        <v>2023</v>
      </c>
      <c r="I498" t="str">
        <f>TEXT(Call_Center[[#This Row],[Date of Call]],"DDDD")</f>
        <v>Thursday</v>
      </c>
      <c r="J498" t="str" cm="1">
        <f t="array" ref="J498">_xlfn.IFS(Call_Center[[#This Row],[Duration]]&lt;=10,"Under 10 mins",Call_Center[[#This Row],[Duration]]&lt;=30,"10 to 30 min",Call_Center[[#This Row],[Duration]]&lt;=60,"30 to 60 min",Call_Center[[#This Row],[Duration]]&lt;=120,"1 to 2 hours",TRUE,"More than 2 hours")</f>
        <v>More than 2 hours</v>
      </c>
      <c r="K498">
        <f>ROUND(Call_Center[[#This Row],[Satisfaction Rating]],0)</f>
        <v>3</v>
      </c>
    </row>
    <row r="499" spans="1:11" x14ac:dyDescent="0.35">
      <c r="A499" s="21" t="s">
        <v>1482</v>
      </c>
      <c r="B499" s="18" t="s">
        <v>989</v>
      </c>
      <c r="C499" s="18">
        <v>81</v>
      </c>
      <c r="D499" s="19" t="s">
        <v>986</v>
      </c>
      <c r="E499" s="20">
        <v>45071</v>
      </c>
      <c r="F499" s="18">
        <v>116</v>
      </c>
      <c r="G499" s="22">
        <v>4.3</v>
      </c>
      <c r="H499">
        <f>IF(MONTH(Call_Center[[#This Row],[Date of Call]])&lt;=6,2023,2024)</f>
        <v>2023</v>
      </c>
      <c r="I499" t="str">
        <f>TEXT(Call_Center[[#This Row],[Date of Call]],"DDDD")</f>
        <v>Thursday</v>
      </c>
      <c r="J499" t="str" cm="1">
        <f t="array" ref="J499">_xlfn.IFS(Call_Center[[#This Row],[Duration]]&lt;=10,"Under 10 mins",Call_Center[[#This Row],[Duration]]&lt;=30,"10 to 30 min",Call_Center[[#This Row],[Duration]]&lt;=60,"30 to 60 min",Call_Center[[#This Row],[Duration]]&lt;=120,"1 to 2 hours",TRUE,"More than 2 hours")</f>
        <v>1 to 2 hours</v>
      </c>
      <c r="K499">
        <f>ROUND(Call_Center[[#This Row],[Satisfaction Rating]],0)</f>
        <v>4</v>
      </c>
    </row>
    <row r="500" spans="1:11" x14ac:dyDescent="0.35">
      <c r="A500" s="21" t="s">
        <v>1483</v>
      </c>
      <c r="B500" s="18" t="s">
        <v>997</v>
      </c>
      <c r="C500" s="18">
        <v>115</v>
      </c>
      <c r="D500" s="19" t="s">
        <v>986</v>
      </c>
      <c r="E500" s="20">
        <v>45071</v>
      </c>
      <c r="F500" s="18">
        <v>40</v>
      </c>
      <c r="G500" s="22">
        <v>4.9000000000000004</v>
      </c>
      <c r="H500">
        <f>IF(MONTH(Call_Center[[#This Row],[Date of Call]])&lt;=6,2023,2024)</f>
        <v>2023</v>
      </c>
      <c r="I500" t="str">
        <f>TEXT(Call_Center[[#This Row],[Date of Call]],"DDDD")</f>
        <v>Thursday</v>
      </c>
      <c r="J500" t="str" cm="1">
        <f t="array" ref="J500">_xlfn.IFS(Call_Center[[#This Row],[Duration]]&lt;=10,"Under 10 mins",Call_Center[[#This Row],[Duration]]&lt;=30,"10 to 30 min",Call_Center[[#This Row],[Duration]]&lt;=60,"30 to 60 min",Call_Center[[#This Row],[Duration]]&lt;=120,"1 to 2 hours",TRUE,"More than 2 hours")</f>
        <v>1 to 2 hours</v>
      </c>
      <c r="K500">
        <f>ROUND(Call_Center[[#This Row],[Satisfaction Rating]],0)</f>
        <v>5</v>
      </c>
    </row>
    <row r="501" spans="1:11" x14ac:dyDescent="0.35">
      <c r="A501" s="21" t="s">
        <v>1484</v>
      </c>
      <c r="B501" s="18" t="s">
        <v>997</v>
      </c>
      <c r="C501" s="18">
        <v>117</v>
      </c>
      <c r="D501" s="19" t="s">
        <v>982</v>
      </c>
      <c r="E501" s="20">
        <v>45071</v>
      </c>
      <c r="F501" s="18">
        <v>40</v>
      </c>
      <c r="G501" s="22">
        <v>4</v>
      </c>
      <c r="H501">
        <f>IF(MONTH(Call_Center[[#This Row],[Date of Call]])&lt;=6,2023,2024)</f>
        <v>2023</v>
      </c>
      <c r="I501" t="str">
        <f>TEXT(Call_Center[[#This Row],[Date of Call]],"DDDD")</f>
        <v>Thursday</v>
      </c>
      <c r="J501" t="str" cm="1">
        <f t="array" ref="J501">_xlfn.IFS(Call_Center[[#This Row],[Duration]]&lt;=10,"Under 10 mins",Call_Center[[#This Row],[Duration]]&lt;=30,"10 to 30 min",Call_Center[[#This Row],[Duration]]&lt;=60,"30 to 60 min",Call_Center[[#This Row],[Duration]]&lt;=120,"1 to 2 hours",TRUE,"More than 2 hours")</f>
        <v>1 to 2 hours</v>
      </c>
      <c r="K501">
        <f>ROUND(Call_Center[[#This Row],[Satisfaction Rating]],0)</f>
        <v>4</v>
      </c>
    </row>
    <row r="502" spans="1:11" x14ac:dyDescent="0.35">
      <c r="A502" s="21" t="s">
        <v>1485</v>
      </c>
      <c r="B502" s="18" t="s">
        <v>1018</v>
      </c>
      <c r="C502" s="18">
        <v>110</v>
      </c>
      <c r="D502" s="19" t="s">
        <v>977</v>
      </c>
      <c r="E502" s="20">
        <v>45072</v>
      </c>
      <c r="F502" s="18">
        <v>82</v>
      </c>
      <c r="G502" s="22">
        <v>4</v>
      </c>
      <c r="H502">
        <f>IF(MONTH(Call_Center[[#This Row],[Date of Call]])&lt;=6,2023,2024)</f>
        <v>2023</v>
      </c>
      <c r="I502" t="str">
        <f>TEXT(Call_Center[[#This Row],[Date of Call]],"DDDD")</f>
        <v>Friday</v>
      </c>
      <c r="J502" t="str" cm="1">
        <f t="array" ref="J502">_xlfn.IFS(Call_Center[[#This Row],[Duration]]&lt;=10,"Under 10 mins",Call_Center[[#This Row],[Duration]]&lt;=30,"10 to 30 min",Call_Center[[#This Row],[Duration]]&lt;=60,"30 to 60 min",Call_Center[[#This Row],[Duration]]&lt;=120,"1 to 2 hours",TRUE,"More than 2 hours")</f>
        <v>1 to 2 hours</v>
      </c>
      <c r="K502">
        <f>ROUND(Call_Center[[#This Row],[Satisfaction Rating]],0)</f>
        <v>4</v>
      </c>
    </row>
    <row r="503" spans="1:11" x14ac:dyDescent="0.35">
      <c r="A503" s="21" t="s">
        <v>1486</v>
      </c>
      <c r="B503" s="18" t="s">
        <v>991</v>
      </c>
      <c r="C503" s="18">
        <v>103</v>
      </c>
      <c r="D503" s="19" t="s">
        <v>967</v>
      </c>
      <c r="E503" s="20">
        <v>45072</v>
      </c>
      <c r="F503" s="18">
        <v>62</v>
      </c>
      <c r="G503" s="22">
        <v>3.4</v>
      </c>
      <c r="H503">
        <f>IF(MONTH(Call_Center[[#This Row],[Date of Call]])&lt;=6,2023,2024)</f>
        <v>2023</v>
      </c>
      <c r="I503" t="str">
        <f>TEXT(Call_Center[[#This Row],[Date of Call]],"DDDD")</f>
        <v>Friday</v>
      </c>
      <c r="J503" t="str" cm="1">
        <f t="array" ref="J503">_xlfn.IFS(Call_Center[[#This Row],[Duration]]&lt;=10,"Under 10 mins",Call_Center[[#This Row],[Duration]]&lt;=30,"10 to 30 min",Call_Center[[#This Row],[Duration]]&lt;=60,"30 to 60 min",Call_Center[[#This Row],[Duration]]&lt;=120,"1 to 2 hours",TRUE,"More than 2 hours")</f>
        <v>1 to 2 hours</v>
      </c>
      <c r="K503">
        <f>ROUND(Call_Center[[#This Row],[Satisfaction Rating]],0)</f>
        <v>3</v>
      </c>
    </row>
    <row r="504" spans="1:11" x14ac:dyDescent="0.35">
      <c r="A504" s="21" t="s">
        <v>1487</v>
      </c>
      <c r="B504" s="18" t="s">
        <v>974</v>
      </c>
      <c r="C504" s="18">
        <v>45</v>
      </c>
      <c r="D504" s="19" t="s">
        <v>967</v>
      </c>
      <c r="E504" s="20">
        <v>45072</v>
      </c>
      <c r="F504" s="18">
        <v>135</v>
      </c>
      <c r="G504" s="22">
        <v>3.9</v>
      </c>
      <c r="H504">
        <f>IF(MONTH(Call_Center[[#This Row],[Date of Call]])&lt;=6,2023,2024)</f>
        <v>2023</v>
      </c>
      <c r="I504" t="str">
        <f>TEXT(Call_Center[[#This Row],[Date of Call]],"DDDD")</f>
        <v>Friday</v>
      </c>
      <c r="J504" t="str" cm="1">
        <f t="array" ref="J504">_xlfn.IFS(Call_Center[[#This Row],[Duration]]&lt;=10,"Under 10 mins",Call_Center[[#This Row],[Duration]]&lt;=30,"10 to 30 min",Call_Center[[#This Row],[Duration]]&lt;=60,"30 to 60 min",Call_Center[[#This Row],[Duration]]&lt;=120,"1 to 2 hours",TRUE,"More than 2 hours")</f>
        <v>30 to 60 min</v>
      </c>
      <c r="K504">
        <f>ROUND(Call_Center[[#This Row],[Satisfaction Rating]],0)</f>
        <v>4</v>
      </c>
    </row>
    <row r="505" spans="1:11" x14ac:dyDescent="0.35">
      <c r="A505" s="21" t="s">
        <v>1488</v>
      </c>
      <c r="B505" s="18" t="s">
        <v>1018</v>
      </c>
      <c r="C505" s="18">
        <v>110</v>
      </c>
      <c r="D505" s="19" t="s">
        <v>972</v>
      </c>
      <c r="E505" s="20">
        <v>45072</v>
      </c>
      <c r="F505" s="18">
        <v>155</v>
      </c>
      <c r="G505" s="22">
        <v>2.1</v>
      </c>
      <c r="H505">
        <f>IF(MONTH(Call_Center[[#This Row],[Date of Call]])&lt;=6,2023,2024)</f>
        <v>2023</v>
      </c>
      <c r="I505" t="str">
        <f>TEXT(Call_Center[[#This Row],[Date of Call]],"DDDD")</f>
        <v>Friday</v>
      </c>
      <c r="J505" t="str" cm="1">
        <f t="array" ref="J505">_xlfn.IFS(Call_Center[[#This Row],[Duration]]&lt;=10,"Under 10 mins",Call_Center[[#This Row],[Duration]]&lt;=30,"10 to 30 min",Call_Center[[#This Row],[Duration]]&lt;=60,"30 to 60 min",Call_Center[[#This Row],[Duration]]&lt;=120,"1 to 2 hours",TRUE,"More than 2 hours")</f>
        <v>1 to 2 hours</v>
      </c>
      <c r="K505">
        <f>ROUND(Call_Center[[#This Row],[Satisfaction Rating]],0)</f>
        <v>2</v>
      </c>
    </row>
    <row r="506" spans="1:11" x14ac:dyDescent="0.35">
      <c r="A506" s="21" t="s">
        <v>1489</v>
      </c>
      <c r="B506" s="18" t="s">
        <v>985</v>
      </c>
      <c r="C506" s="18">
        <v>43</v>
      </c>
      <c r="D506" s="19" t="s">
        <v>977</v>
      </c>
      <c r="E506" s="20">
        <v>45072</v>
      </c>
      <c r="F506" s="18">
        <v>37</v>
      </c>
      <c r="G506" s="22">
        <v>4.9000000000000004</v>
      </c>
      <c r="H506">
        <f>IF(MONTH(Call_Center[[#This Row],[Date of Call]])&lt;=6,2023,2024)</f>
        <v>2023</v>
      </c>
      <c r="I506" t="str">
        <f>TEXT(Call_Center[[#This Row],[Date of Call]],"DDDD")</f>
        <v>Friday</v>
      </c>
      <c r="J506" t="str" cm="1">
        <f t="array" ref="J506">_xlfn.IFS(Call_Center[[#This Row],[Duration]]&lt;=10,"Under 10 mins",Call_Center[[#This Row],[Duration]]&lt;=30,"10 to 30 min",Call_Center[[#This Row],[Duration]]&lt;=60,"30 to 60 min",Call_Center[[#This Row],[Duration]]&lt;=120,"1 to 2 hours",TRUE,"More than 2 hours")</f>
        <v>30 to 60 min</v>
      </c>
      <c r="K506">
        <f>ROUND(Call_Center[[#This Row],[Satisfaction Rating]],0)</f>
        <v>5</v>
      </c>
    </row>
    <row r="507" spans="1:11" x14ac:dyDescent="0.35">
      <c r="A507" s="21" t="s">
        <v>1490</v>
      </c>
      <c r="B507" s="18" t="s">
        <v>1018</v>
      </c>
      <c r="C507" s="18">
        <v>104</v>
      </c>
      <c r="D507" s="19" t="s">
        <v>982</v>
      </c>
      <c r="E507" s="20">
        <v>45073</v>
      </c>
      <c r="F507" s="18">
        <v>56</v>
      </c>
      <c r="G507" s="22">
        <v>3.4</v>
      </c>
      <c r="H507">
        <f>IF(MONTH(Call_Center[[#This Row],[Date of Call]])&lt;=6,2023,2024)</f>
        <v>2023</v>
      </c>
      <c r="I507" t="str">
        <f>TEXT(Call_Center[[#This Row],[Date of Call]],"DDDD")</f>
        <v>Saturday</v>
      </c>
      <c r="J507" t="str" cm="1">
        <f t="array" ref="J507">_xlfn.IFS(Call_Center[[#This Row],[Duration]]&lt;=10,"Under 10 mins",Call_Center[[#This Row],[Duration]]&lt;=30,"10 to 30 min",Call_Center[[#This Row],[Duration]]&lt;=60,"30 to 60 min",Call_Center[[#This Row],[Duration]]&lt;=120,"1 to 2 hours",TRUE,"More than 2 hours")</f>
        <v>1 to 2 hours</v>
      </c>
      <c r="K507">
        <f>ROUND(Call_Center[[#This Row],[Satisfaction Rating]],0)</f>
        <v>3</v>
      </c>
    </row>
    <row r="508" spans="1:11" x14ac:dyDescent="0.35">
      <c r="A508" s="21" t="s">
        <v>1491</v>
      </c>
      <c r="B508" s="18" t="s">
        <v>1018</v>
      </c>
      <c r="C508" s="18">
        <v>101</v>
      </c>
      <c r="D508" s="19" t="s">
        <v>982</v>
      </c>
      <c r="E508" s="20">
        <v>45073</v>
      </c>
      <c r="F508" s="18">
        <v>185</v>
      </c>
      <c r="G508" s="22">
        <v>5</v>
      </c>
      <c r="H508">
        <f>IF(MONTH(Call_Center[[#This Row],[Date of Call]])&lt;=6,2023,2024)</f>
        <v>2023</v>
      </c>
      <c r="I508" t="str">
        <f>TEXT(Call_Center[[#This Row],[Date of Call]],"DDDD")</f>
        <v>Saturday</v>
      </c>
      <c r="J508" t="str" cm="1">
        <f t="array" ref="J508">_xlfn.IFS(Call_Center[[#This Row],[Duration]]&lt;=10,"Under 10 mins",Call_Center[[#This Row],[Duration]]&lt;=30,"10 to 30 min",Call_Center[[#This Row],[Duration]]&lt;=60,"30 to 60 min",Call_Center[[#This Row],[Duration]]&lt;=120,"1 to 2 hours",TRUE,"More than 2 hours")</f>
        <v>1 to 2 hours</v>
      </c>
      <c r="K508">
        <f>ROUND(Call_Center[[#This Row],[Satisfaction Rating]],0)</f>
        <v>5</v>
      </c>
    </row>
    <row r="509" spans="1:11" x14ac:dyDescent="0.35">
      <c r="A509" s="21" t="s">
        <v>1492</v>
      </c>
      <c r="B509" s="18" t="s">
        <v>966</v>
      </c>
      <c r="C509" s="18">
        <v>55</v>
      </c>
      <c r="D509" s="19" t="s">
        <v>977</v>
      </c>
      <c r="E509" s="20">
        <v>45074</v>
      </c>
      <c r="F509" s="18">
        <v>145</v>
      </c>
      <c r="G509" s="22">
        <v>4.5</v>
      </c>
      <c r="H509">
        <f>IF(MONTH(Call_Center[[#This Row],[Date of Call]])&lt;=6,2023,2024)</f>
        <v>2023</v>
      </c>
      <c r="I509" t="str">
        <f>TEXT(Call_Center[[#This Row],[Date of Call]],"DDDD")</f>
        <v>Sunday</v>
      </c>
      <c r="J509" t="str" cm="1">
        <f t="array" ref="J509">_xlfn.IFS(Call_Center[[#This Row],[Duration]]&lt;=10,"Under 10 mins",Call_Center[[#This Row],[Duration]]&lt;=30,"10 to 30 min",Call_Center[[#This Row],[Duration]]&lt;=60,"30 to 60 min",Call_Center[[#This Row],[Duration]]&lt;=120,"1 to 2 hours",TRUE,"More than 2 hours")</f>
        <v>30 to 60 min</v>
      </c>
      <c r="K509">
        <f>ROUND(Call_Center[[#This Row],[Satisfaction Rating]],0)</f>
        <v>5</v>
      </c>
    </row>
    <row r="510" spans="1:11" x14ac:dyDescent="0.35">
      <c r="A510" s="21" t="s">
        <v>1493</v>
      </c>
      <c r="B510" s="18" t="s">
        <v>989</v>
      </c>
      <c r="C510" s="18">
        <v>40</v>
      </c>
      <c r="D510" s="19" t="s">
        <v>967</v>
      </c>
      <c r="E510" s="20">
        <v>45074</v>
      </c>
      <c r="F510" s="18">
        <v>116</v>
      </c>
      <c r="G510" s="22">
        <v>2.6</v>
      </c>
      <c r="H510">
        <f>IF(MONTH(Call_Center[[#This Row],[Date of Call]])&lt;=6,2023,2024)</f>
        <v>2023</v>
      </c>
      <c r="I510" t="str">
        <f>TEXT(Call_Center[[#This Row],[Date of Call]],"DDDD")</f>
        <v>Sunday</v>
      </c>
      <c r="J510" t="str" cm="1">
        <f t="array" ref="J510">_xlfn.IFS(Call_Center[[#This Row],[Duration]]&lt;=10,"Under 10 mins",Call_Center[[#This Row],[Duration]]&lt;=30,"10 to 30 min",Call_Center[[#This Row],[Duration]]&lt;=60,"30 to 60 min",Call_Center[[#This Row],[Duration]]&lt;=120,"1 to 2 hours",TRUE,"More than 2 hours")</f>
        <v>30 to 60 min</v>
      </c>
      <c r="K510">
        <f>ROUND(Call_Center[[#This Row],[Satisfaction Rating]],0)</f>
        <v>3</v>
      </c>
    </row>
    <row r="511" spans="1:11" x14ac:dyDescent="0.35">
      <c r="A511" s="21" t="s">
        <v>1494</v>
      </c>
      <c r="B511" s="18" t="s">
        <v>985</v>
      </c>
      <c r="C511" s="18">
        <v>122</v>
      </c>
      <c r="D511" s="19" t="s">
        <v>986</v>
      </c>
      <c r="E511" s="20">
        <v>45074</v>
      </c>
      <c r="F511" s="18">
        <v>45</v>
      </c>
      <c r="G511" s="22">
        <v>4.2</v>
      </c>
      <c r="H511">
        <f>IF(MONTH(Call_Center[[#This Row],[Date of Call]])&lt;=6,2023,2024)</f>
        <v>2023</v>
      </c>
      <c r="I511" t="str">
        <f>TEXT(Call_Center[[#This Row],[Date of Call]],"DDDD")</f>
        <v>Sunday</v>
      </c>
      <c r="J511" t="str" cm="1">
        <f t="array" ref="J511">_xlfn.IFS(Call_Center[[#This Row],[Duration]]&lt;=10,"Under 10 mins",Call_Center[[#This Row],[Duration]]&lt;=30,"10 to 30 min",Call_Center[[#This Row],[Duration]]&lt;=60,"30 to 60 min",Call_Center[[#This Row],[Duration]]&lt;=120,"1 to 2 hours",TRUE,"More than 2 hours")</f>
        <v>More than 2 hours</v>
      </c>
      <c r="K511">
        <f>ROUND(Call_Center[[#This Row],[Satisfaction Rating]],0)</f>
        <v>4</v>
      </c>
    </row>
    <row r="512" spans="1:11" x14ac:dyDescent="0.35">
      <c r="A512" s="21" t="s">
        <v>1495</v>
      </c>
      <c r="B512" s="18" t="s">
        <v>976</v>
      </c>
      <c r="C512" s="18">
        <v>98</v>
      </c>
      <c r="D512" s="19" t="s">
        <v>982</v>
      </c>
      <c r="E512" s="20">
        <v>45075</v>
      </c>
      <c r="F512" s="18">
        <v>35</v>
      </c>
      <c r="G512" s="22">
        <v>4.5</v>
      </c>
      <c r="H512">
        <f>IF(MONTH(Call_Center[[#This Row],[Date of Call]])&lt;=6,2023,2024)</f>
        <v>2023</v>
      </c>
      <c r="I512" t="str">
        <f>TEXT(Call_Center[[#This Row],[Date of Call]],"DDDD")</f>
        <v>Monday</v>
      </c>
      <c r="J512" t="str" cm="1">
        <f t="array" ref="J512">_xlfn.IFS(Call_Center[[#This Row],[Duration]]&lt;=10,"Under 10 mins",Call_Center[[#This Row],[Duration]]&lt;=30,"10 to 30 min",Call_Center[[#This Row],[Duration]]&lt;=60,"30 to 60 min",Call_Center[[#This Row],[Duration]]&lt;=120,"1 to 2 hours",TRUE,"More than 2 hours")</f>
        <v>1 to 2 hours</v>
      </c>
      <c r="K512">
        <f>ROUND(Call_Center[[#This Row],[Satisfaction Rating]],0)</f>
        <v>5</v>
      </c>
    </row>
    <row r="513" spans="1:11" x14ac:dyDescent="0.35">
      <c r="A513" s="21" t="s">
        <v>1496</v>
      </c>
      <c r="B513" s="18" t="s">
        <v>997</v>
      </c>
      <c r="C513" s="18">
        <v>110</v>
      </c>
      <c r="D513" s="19" t="s">
        <v>967</v>
      </c>
      <c r="E513" s="20">
        <v>45075</v>
      </c>
      <c r="F513" s="18">
        <v>100</v>
      </c>
      <c r="G513" s="22">
        <v>4.4000000000000004</v>
      </c>
      <c r="H513">
        <f>IF(MONTH(Call_Center[[#This Row],[Date of Call]])&lt;=6,2023,2024)</f>
        <v>2023</v>
      </c>
      <c r="I513" t="str">
        <f>TEXT(Call_Center[[#This Row],[Date of Call]],"DDDD")</f>
        <v>Monday</v>
      </c>
      <c r="J513" t="str" cm="1">
        <f t="array" ref="J513">_xlfn.IFS(Call_Center[[#This Row],[Duration]]&lt;=10,"Under 10 mins",Call_Center[[#This Row],[Duration]]&lt;=30,"10 to 30 min",Call_Center[[#This Row],[Duration]]&lt;=60,"30 to 60 min",Call_Center[[#This Row],[Duration]]&lt;=120,"1 to 2 hours",TRUE,"More than 2 hours")</f>
        <v>1 to 2 hours</v>
      </c>
      <c r="K513">
        <f>ROUND(Call_Center[[#This Row],[Satisfaction Rating]],0)</f>
        <v>4</v>
      </c>
    </row>
    <row r="514" spans="1:11" x14ac:dyDescent="0.35">
      <c r="A514" s="21" t="s">
        <v>1497</v>
      </c>
      <c r="B514" s="18" t="s">
        <v>997</v>
      </c>
      <c r="C514" s="18">
        <v>62</v>
      </c>
      <c r="D514" s="19" t="s">
        <v>977</v>
      </c>
      <c r="E514" s="20">
        <v>45076</v>
      </c>
      <c r="F514" s="18">
        <v>125</v>
      </c>
      <c r="G514" s="22">
        <v>3.5</v>
      </c>
      <c r="H514">
        <f>IF(MONTH(Call_Center[[#This Row],[Date of Call]])&lt;=6,2023,2024)</f>
        <v>2023</v>
      </c>
      <c r="I514" t="str">
        <f>TEXT(Call_Center[[#This Row],[Date of Call]],"DDDD")</f>
        <v>Tuesday</v>
      </c>
      <c r="J514" t="str" cm="1">
        <f t="array" ref="J514">_xlfn.IFS(Call_Center[[#This Row],[Duration]]&lt;=10,"Under 10 mins",Call_Center[[#This Row],[Duration]]&lt;=30,"10 to 30 min",Call_Center[[#This Row],[Duration]]&lt;=60,"30 to 60 min",Call_Center[[#This Row],[Duration]]&lt;=120,"1 to 2 hours",TRUE,"More than 2 hours")</f>
        <v>1 to 2 hours</v>
      </c>
      <c r="K514">
        <f>ROUND(Call_Center[[#This Row],[Satisfaction Rating]],0)</f>
        <v>4</v>
      </c>
    </row>
    <row r="515" spans="1:11" x14ac:dyDescent="0.35">
      <c r="A515" s="21" t="s">
        <v>1498</v>
      </c>
      <c r="B515" s="18" t="s">
        <v>985</v>
      </c>
      <c r="C515" s="18">
        <v>134</v>
      </c>
      <c r="D515" s="19" t="s">
        <v>986</v>
      </c>
      <c r="E515" s="20">
        <v>45076</v>
      </c>
      <c r="F515" s="18">
        <v>120</v>
      </c>
      <c r="G515" s="22">
        <v>3</v>
      </c>
      <c r="H515">
        <f>IF(MONTH(Call_Center[[#This Row],[Date of Call]])&lt;=6,2023,2024)</f>
        <v>2023</v>
      </c>
      <c r="I515" t="str">
        <f>TEXT(Call_Center[[#This Row],[Date of Call]],"DDDD")</f>
        <v>Tuesday</v>
      </c>
      <c r="J515" t="str" cm="1">
        <f t="array" ref="J515">_xlfn.IFS(Call_Center[[#This Row],[Duration]]&lt;=10,"Under 10 mins",Call_Center[[#This Row],[Duration]]&lt;=30,"10 to 30 min",Call_Center[[#This Row],[Duration]]&lt;=60,"30 to 60 min",Call_Center[[#This Row],[Duration]]&lt;=120,"1 to 2 hours",TRUE,"More than 2 hours")</f>
        <v>More than 2 hours</v>
      </c>
      <c r="K515">
        <f>ROUND(Call_Center[[#This Row],[Satisfaction Rating]],0)</f>
        <v>3</v>
      </c>
    </row>
    <row r="516" spans="1:11" x14ac:dyDescent="0.35">
      <c r="A516" s="21" t="s">
        <v>1499</v>
      </c>
      <c r="B516" s="18" t="s">
        <v>1005</v>
      </c>
      <c r="C516" s="18">
        <v>94</v>
      </c>
      <c r="D516" s="19" t="s">
        <v>972</v>
      </c>
      <c r="E516" s="20">
        <v>45076</v>
      </c>
      <c r="F516" s="18">
        <v>180</v>
      </c>
      <c r="G516" s="22">
        <v>4.7</v>
      </c>
      <c r="H516">
        <f>IF(MONTH(Call_Center[[#This Row],[Date of Call]])&lt;=6,2023,2024)</f>
        <v>2023</v>
      </c>
      <c r="I516" t="str">
        <f>TEXT(Call_Center[[#This Row],[Date of Call]],"DDDD")</f>
        <v>Tuesday</v>
      </c>
      <c r="J516" t="str" cm="1">
        <f t="array" ref="J516">_xlfn.IFS(Call_Center[[#This Row],[Duration]]&lt;=10,"Under 10 mins",Call_Center[[#This Row],[Duration]]&lt;=30,"10 to 30 min",Call_Center[[#This Row],[Duration]]&lt;=60,"30 to 60 min",Call_Center[[#This Row],[Duration]]&lt;=120,"1 to 2 hours",TRUE,"More than 2 hours")</f>
        <v>1 to 2 hours</v>
      </c>
      <c r="K516">
        <f>ROUND(Call_Center[[#This Row],[Satisfaction Rating]],0)</f>
        <v>5</v>
      </c>
    </row>
    <row r="517" spans="1:11" x14ac:dyDescent="0.35">
      <c r="A517" s="21" t="s">
        <v>1500</v>
      </c>
      <c r="B517" s="18" t="s">
        <v>980</v>
      </c>
      <c r="C517" s="18">
        <v>63</v>
      </c>
      <c r="D517" s="19" t="s">
        <v>967</v>
      </c>
      <c r="E517" s="20">
        <v>45076</v>
      </c>
      <c r="F517" s="18">
        <v>44</v>
      </c>
      <c r="G517" s="22">
        <v>3</v>
      </c>
      <c r="H517">
        <f>IF(MONTH(Call_Center[[#This Row],[Date of Call]])&lt;=6,2023,2024)</f>
        <v>2023</v>
      </c>
      <c r="I517" t="str">
        <f>TEXT(Call_Center[[#This Row],[Date of Call]],"DDDD")</f>
        <v>Tuesday</v>
      </c>
      <c r="J517" t="str" cm="1">
        <f t="array" ref="J517">_xlfn.IFS(Call_Center[[#This Row],[Duration]]&lt;=10,"Under 10 mins",Call_Center[[#This Row],[Duration]]&lt;=30,"10 to 30 min",Call_Center[[#This Row],[Duration]]&lt;=60,"30 to 60 min",Call_Center[[#This Row],[Duration]]&lt;=120,"1 to 2 hours",TRUE,"More than 2 hours")</f>
        <v>1 to 2 hours</v>
      </c>
      <c r="K517">
        <f>ROUND(Call_Center[[#This Row],[Satisfaction Rating]],0)</f>
        <v>3</v>
      </c>
    </row>
    <row r="518" spans="1:11" x14ac:dyDescent="0.35">
      <c r="A518" s="21" t="s">
        <v>1501</v>
      </c>
      <c r="B518" s="18" t="s">
        <v>1000</v>
      </c>
      <c r="C518" s="18">
        <v>95</v>
      </c>
      <c r="D518" s="19" t="s">
        <v>986</v>
      </c>
      <c r="E518" s="20">
        <v>45076</v>
      </c>
      <c r="F518" s="18">
        <v>86</v>
      </c>
      <c r="G518" s="22">
        <v>3.6</v>
      </c>
      <c r="H518">
        <f>IF(MONTH(Call_Center[[#This Row],[Date of Call]])&lt;=6,2023,2024)</f>
        <v>2023</v>
      </c>
      <c r="I518" t="str">
        <f>TEXT(Call_Center[[#This Row],[Date of Call]],"DDDD")</f>
        <v>Tuesday</v>
      </c>
      <c r="J518" t="str" cm="1">
        <f t="array" ref="J518">_xlfn.IFS(Call_Center[[#This Row],[Duration]]&lt;=10,"Under 10 mins",Call_Center[[#This Row],[Duration]]&lt;=30,"10 to 30 min",Call_Center[[#This Row],[Duration]]&lt;=60,"30 to 60 min",Call_Center[[#This Row],[Duration]]&lt;=120,"1 to 2 hours",TRUE,"More than 2 hours")</f>
        <v>1 to 2 hours</v>
      </c>
      <c r="K518">
        <f>ROUND(Call_Center[[#This Row],[Satisfaction Rating]],0)</f>
        <v>4</v>
      </c>
    </row>
    <row r="519" spans="1:11" x14ac:dyDescent="0.35">
      <c r="A519" s="21" t="s">
        <v>1502</v>
      </c>
      <c r="B519" s="18" t="s">
        <v>985</v>
      </c>
      <c r="C519" s="18">
        <v>106</v>
      </c>
      <c r="D519" s="19" t="s">
        <v>986</v>
      </c>
      <c r="E519" s="20">
        <v>45077</v>
      </c>
      <c r="F519" s="18">
        <v>120</v>
      </c>
      <c r="G519" s="22">
        <v>4.0999999999999996</v>
      </c>
      <c r="H519">
        <f>IF(MONTH(Call_Center[[#This Row],[Date of Call]])&lt;=6,2023,2024)</f>
        <v>2023</v>
      </c>
      <c r="I519" t="str">
        <f>TEXT(Call_Center[[#This Row],[Date of Call]],"DDDD")</f>
        <v>Wednesday</v>
      </c>
      <c r="J519" t="str" cm="1">
        <f t="array" ref="J519">_xlfn.IFS(Call_Center[[#This Row],[Duration]]&lt;=10,"Under 10 mins",Call_Center[[#This Row],[Duration]]&lt;=30,"10 to 30 min",Call_Center[[#This Row],[Duration]]&lt;=60,"30 to 60 min",Call_Center[[#This Row],[Duration]]&lt;=120,"1 to 2 hours",TRUE,"More than 2 hours")</f>
        <v>1 to 2 hours</v>
      </c>
      <c r="K519">
        <f>ROUND(Call_Center[[#This Row],[Satisfaction Rating]],0)</f>
        <v>4</v>
      </c>
    </row>
    <row r="520" spans="1:11" x14ac:dyDescent="0.35">
      <c r="A520" s="21" t="s">
        <v>1503</v>
      </c>
      <c r="B520" s="18" t="s">
        <v>974</v>
      </c>
      <c r="C520" s="18">
        <v>94</v>
      </c>
      <c r="D520" s="19" t="s">
        <v>972</v>
      </c>
      <c r="E520" s="20">
        <v>45077</v>
      </c>
      <c r="F520" s="18">
        <v>100</v>
      </c>
      <c r="G520" s="22">
        <v>3.7</v>
      </c>
      <c r="H520">
        <f>IF(MONTH(Call_Center[[#This Row],[Date of Call]])&lt;=6,2023,2024)</f>
        <v>2023</v>
      </c>
      <c r="I520" t="str">
        <f>TEXT(Call_Center[[#This Row],[Date of Call]],"DDDD")</f>
        <v>Wednesday</v>
      </c>
      <c r="J520" t="str" cm="1">
        <f t="array" ref="J520">_xlfn.IFS(Call_Center[[#This Row],[Duration]]&lt;=10,"Under 10 mins",Call_Center[[#This Row],[Duration]]&lt;=30,"10 to 30 min",Call_Center[[#This Row],[Duration]]&lt;=60,"30 to 60 min",Call_Center[[#This Row],[Duration]]&lt;=120,"1 to 2 hours",TRUE,"More than 2 hours")</f>
        <v>1 to 2 hours</v>
      </c>
      <c r="K520">
        <f>ROUND(Call_Center[[#This Row],[Satisfaction Rating]],0)</f>
        <v>4</v>
      </c>
    </row>
    <row r="521" spans="1:11" x14ac:dyDescent="0.35">
      <c r="A521" s="21" t="s">
        <v>1504</v>
      </c>
      <c r="B521" s="18" t="s">
        <v>974</v>
      </c>
      <c r="C521" s="18">
        <v>51</v>
      </c>
      <c r="D521" s="19" t="s">
        <v>972</v>
      </c>
      <c r="E521" s="20">
        <v>45078</v>
      </c>
      <c r="F521" s="18">
        <v>108</v>
      </c>
      <c r="G521" s="22">
        <v>4.5</v>
      </c>
      <c r="H521">
        <f>IF(MONTH(Call_Center[[#This Row],[Date of Call]])&lt;=6,2023,2024)</f>
        <v>2023</v>
      </c>
      <c r="I521" t="str">
        <f>TEXT(Call_Center[[#This Row],[Date of Call]],"DDDD")</f>
        <v>Thursday</v>
      </c>
      <c r="J521" t="str" cm="1">
        <f t="array" ref="J521">_xlfn.IFS(Call_Center[[#This Row],[Duration]]&lt;=10,"Under 10 mins",Call_Center[[#This Row],[Duration]]&lt;=30,"10 to 30 min",Call_Center[[#This Row],[Duration]]&lt;=60,"30 to 60 min",Call_Center[[#This Row],[Duration]]&lt;=120,"1 to 2 hours",TRUE,"More than 2 hours")</f>
        <v>30 to 60 min</v>
      </c>
      <c r="K521">
        <f>ROUND(Call_Center[[#This Row],[Satisfaction Rating]],0)</f>
        <v>5</v>
      </c>
    </row>
    <row r="522" spans="1:11" x14ac:dyDescent="0.35">
      <c r="A522" s="21" t="s">
        <v>1505</v>
      </c>
      <c r="B522" s="18" t="s">
        <v>1038</v>
      </c>
      <c r="C522" s="18">
        <v>39</v>
      </c>
      <c r="D522" s="19" t="s">
        <v>972</v>
      </c>
      <c r="E522" s="20">
        <v>45078</v>
      </c>
      <c r="F522" s="18">
        <v>46</v>
      </c>
      <c r="G522" s="22">
        <v>4.5999999999999996</v>
      </c>
      <c r="H522">
        <f>IF(MONTH(Call_Center[[#This Row],[Date of Call]])&lt;=6,2023,2024)</f>
        <v>2023</v>
      </c>
      <c r="I522" t="str">
        <f>TEXT(Call_Center[[#This Row],[Date of Call]],"DDDD")</f>
        <v>Thursday</v>
      </c>
      <c r="J522" t="str" cm="1">
        <f t="array" ref="J522">_xlfn.IFS(Call_Center[[#This Row],[Duration]]&lt;=10,"Under 10 mins",Call_Center[[#This Row],[Duration]]&lt;=30,"10 to 30 min",Call_Center[[#This Row],[Duration]]&lt;=60,"30 to 60 min",Call_Center[[#This Row],[Duration]]&lt;=120,"1 to 2 hours",TRUE,"More than 2 hours")</f>
        <v>30 to 60 min</v>
      </c>
      <c r="K522">
        <f>ROUND(Call_Center[[#This Row],[Satisfaction Rating]],0)</f>
        <v>5</v>
      </c>
    </row>
    <row r="523" spans="1:11" x14ac:dyDescent="0.35">
      <c r="A523" s="21" t="s">
        <v>1506</v>
      </c>
      <c r="B523" s="18" t="s">
        <v>989</v>
      </c>
      <c r="C523" s="18">
        <v>111</v>
      </c>
      <c r="D523" s="19" t="s">
        <v>986</v>
      </c>
      <c r="E523" s="20">
        <v>45078</v>
      </c>
      <c r="F523" s="18">
        <v>210</v>
      </c>
      <c r="G523" s="22">
        <v>4.3</v>
      </c>
      <c r="H523">
        <f>IF(MONTH(Call_Center[[#This Row],[Date of Call]])&lt;=6,2023,2024)</f>
        <v>2023</v>
      </c>
      <c r="I523" t="str">
        <f>TEXT(Call_Center[[#This Row],[Date of Call]],"DDDD")</f>
        <v>Thursday</v>
      </c>
      <c r="J523" t="str" cm="1">
        <f t="array" ref="J523">_xlfn.IFS(Call_Center[[#This Row],[Duration]]&lt;=10,"Under 10 mins",Call_Center[[#This Row],[Duration]]&lt;=30,"10 to 30 min",Call_Center[[#This Row],[Duration]]&lt;=60,"30 to 60 min",Call_Center[[#This Row],[Duration]]&lt;=120,"1 to 2 hours",TRUE,"More than 2 hours")</f>
        <v>1 to 2 hours</v>
      </c>
      <c r="K523">
        <f>ROUND(Call_Center[[#This Row],[Satisfaction Rating]],0)</f>
        <v>4</v>
      </c>
    </row>
    <row r="524" spans="1:11" x14ac:dyDescent="0.35">
      <c r="A524" s="21" t="s">
        <v>1507</v>
      </c>
      <c r="B524" s="18" t="s">
        <v>1008</v>
      </c>
      <c r="C524" s="18">
        <v>141</v>
      </c>
      <c r="D524" s="19" t="s">
        <v>977</v>
      </c>
      <c r="E524" s="20">
        <v>45080</v>
      </c>
      <c r="F524" s="18">
        <v>54</v>
      </c>
      <c r="G524" s="22">
        <v>4.8</v>
      </c>
      <c r="H524">
        <f>IF(MONTH(Call_Center[[#This Row],[Date of Call]])&lt;=6,2023,2024)</f>
        <v>2023</v>
      </c>
      <c r="I524" t="str">
        <f>TEXT(Call_Center[[#This Row],[Date of Call]],"DDDD")</f>
        <v>Saturday</v>
      </c>
      <c r="J524" t="str" cm="1">
        <f t="array" ref="J524">_xlfn.IFS(Call_Center[[#This Row],[Duration]]&lt;=10,"Under 10 mins",Call_Center[[#This Row],[Duration]]&lt;=30,"10 to 30 min",Call_Center[[#This Row],[Duration]]&lt;=60,"30 to 60 min",Call_Center[[#This Row],[Duration]]&lt;=120,"1 to 2 hours",TRUE,"More than 2 hours")</f>
        <v>More than 2 hours</v>
      </c>
      <c r="K524">
        <f>ROUND(Call_Center[[#This Row],[Satisfaction Rating]],0)</f>
        <v>5</v>
      </c>
    </row>
    <row r="525" spans="1:11" x14ac:dyDescent="0.35">
      <c r="A525" s="21" t="s">
        <v>1508</v>
      </c>
      <c r="B525" s="18" t="s">
        <v>980</v>
      </c>
      <c r="C525" s="18">
        <v>147</v>
      </c>
      <c r="D525" s="19" t="s">
        <v>986</v>
      </c>
      <c r="E525" s="20">
        <v>45080</v>
      </c>
      <c r="F525" s="18">
        <v>115</v>
      </c>
      <c r="G525" s="22">
        <v>4.7</v>
      </c>
      <c r="H525">
        <f>IF(MONTH(Call_Center[[#This Row],[Date of Call]])&lt;=6,2023,2024)</f>
        <v>2023</v>
      </c>
      <c r="I525" t="str">
        <f>TEXT(Call_Center[[#This Row],[Date of Call]],"DDDD")</f>
        <v>Saturday</v>
      </c>
      <c r="J525" t="str" cm="1">
        <f t="array" ref="J525">_xlfn.IFS(Call_Center[[#This Row],[Duration]]&lt;=10,"Under 10 mins",Call_Center[[#This Row],[Duration]]&lt;=30,"10 to 30 min",Call_Center[[#This Row],[Duration]]&lt;=60,"30 to 60 min",Call_Center[[#This Row],[Duration]]&lt;=120,"1 to 2 hours",TRUE,"More than 2 hours")</f>
        <v>More than 2 hours</v>
      </c>
      <c r="K525">
        <f>ROUND(Call_Center[[#This Row],[Satisfaction Rating]],0)</f>
        <v>5</v>
      </c>
    </row>
    <row r="526" spans="1:11" x14ac:dyDescent="0.35">
      <c r="A526" s="21" t="s">
        <v>1509</v>
      </c>
      <c r="B526" s="18" t="s">
        <v>1005</v>
      </c>
      <c r="C526" s="18">
        <v>49</v>
      </c>
      <c r="D526" s="19" t="s">
        <v>972</v>
      </c>
      <c r="E526" s="20">
        <v>45081</v>
      </c>
      <c r="F526" s="18">
        <v>100</v>
      </c>
      <c r="G526" s="22">
        <v>2.2000000000000002</v>
      </c>
      <c r="H526">
        <f>IF(MONTH(Call_Center[[#This Row],[Date of Call]])&lt;=6,2023,2024)</f>
        <v>2023</v>
      </c>
      <c r="I526" t="str">
        <f>TEXT(Call_Center[[#This Row],[Date of Call]],"DDDD")</f>
        <v>Sunday</v>
      </c>
      <c r="J526" t="str" cm="1">
        <f t="array" ref="J526">_xlfn.IFS(Call_Center[[#This Row],[Duration]]&lt;=10,"Under 10 mins",Call_Center[[#This Row],[Duration]]&lt;=30,"10 to 30 min",Call_Center[[#This Row],[Duration]]&lt;=60,"30 to 60 min",Call_Center[[#This Row],[Duration]]&lt;=120,"1 to 2 hours",TRUE,"More than 2 hours")</f>
        <v>30 to 60 min</v>
      </c>
      <c r="K526">
        <f>ROUND(Call_Center[[#This Row],[Satisfaction Rating]],0)</f>
        <v>2</v>
      </c>
    </row>
    <row r="527" spans="1:11" x14ac:dyDescent="0.35">
      <c r="A527" s="21" t="s">
        <v>1510</v>
      </c>
      <c r="B527" s="18" t="s">
        <v>971</v>
      </c>
      <c r="C527" s="18">
        <v>75</v>
      </c>
      <c r="D527" s="19" t="s">
        <v>986</v>
      </c>
      <c r="E527" s="20">
        <v>45081</v>
      </c>
      <c r="F527" s="18">
        <v>38</v>
      </c>
      <c r="G527" s="22">
        <v>4.4000000000000004</v>
      </c>
      <c r="H527">
        <f>IF(MONTH(Call_Center[[#This Row],[Date of Call]])&lt;=6,2023,2024)</f>
        <v>2023</v>
      </c>
      <c r="I527" t="str">
        <f>TEXT(Call_Center[[#This Row],[Date of Call]],"DDDD")</f>
        <v>Sunday</v>
      </c>
      <c r="J527" t="str" cm="1">
        <f t="array" ref="J527">_xlfn.IFS(Call_Center[[#This Row],[Duration]]&lt;=10,"Under 10 mins",Call_Center[[#This Row],[Duration]]&lt;=30,"10 to 30 min",Call_Center[[#This Row],[Duration]]&lt;=60,"30 to 60 min",Call_Center[[#This Row],[Duration]]&lt;=120,"1 to 2 hours",TRUE,"More than 2 hours")</f>
        <v>1 to 2 hours</v>
      </c>
      <c r="K527">
        <f>ROUND(Call_Center[[#This Row],[Satisfaction Rating]],0)</f>
        <v>4</v>
      </c>
    </row>
    <row r="528" spans="1:11" x14ac:dyDescent="0.35">
      <c r="A528" s="21" t="s">
        <v>1511</v>
      </c>
      <c r="B528" s="18" t="s">
        <v>1008</v>
      </c>
      <c r="C528" s="18">
        <v>48</v>
      </c>
      <c r="D528" s="19" t="s">
        <v>977</v>
      </c>
      <c r="E528" s="20">
        <v>45082</v>
      </c>
      <c r="F528" s="18">
        <v>120</v>
      </c>
      <c r="G528" s="22">
        <v>4.0999999999999996</v>
      </c>
      <c r="H528">
        <f>IF(MONTH(Call_Center[[#This Row],[Date of Call]])&lt;=6,2023,2024)</f>
        <v>2023</v>
      </c>
      <c r="I528" t="str">
        <f>TEXT(Call_Center[[#This Row],[Date of Call]],"DDDD")</f>
        <v>Monday</v>
      </c>
      <c r="J528" t="str" cm="1">
        <f t="array" ref="J528">_xlfn.IFS(Call_Center[[#This Row],[Duration]]&lt;=10,"Under 10 mins",Call_Center[[#This Row],[Duration]]&lt;=30,"10 to 30 min",Call_Center[[#This Row],[Duration]]&lt;=60,"30 to 60 min",Call_Center[[#This Row],[Duration]]&lt;=120,"1 to 2 hours",TRUE,"More than 2 hours")</f>
        <v>30 to 60 min</v>
      </c>
      <c r="K528">
        <f>ROUND(Call_Center[[#This Row],[Satisfaction Rating]],0)</f>
        <v>4</v>
      </c>
    </row>
    <row r="529" spans="1:11" x14ac:dyDescent="0.35">
      <c r="A529" s="21" t="s">
        <v>1512</v>
      </c>
      <c r="B529" s="18" t="s">
        <v>997</v>
      </c>
      <c r="C529" s="18">
        <v>48</v>
      </c>
      <c r="D529" s="19" t="s">
        <v>977</v>
      </c>
      <c r="E529" s="20">
        <v>45082</v>
      </c>
      <c r="F529" s="18">
        <v>120</v>
      </c>
      <c r="G529" s="22">
        <v>4.0999999999999996</v>
      </c>
      <c r="H529">
        <f>IF(MONTH(Call_Center[[#This Row],[Date of Call]])&lt;=6,2023,2024)</f>
        <v>2023</v>
      </c>
      <c r="I529" t="str">
        <f>TEXT(Call_Center[[#This Row],[Date of Call]],"DDDD")</f>
        <v>Monday</v>
      </c>
      <c r="J529" t="str" cm="1">
        <f t="array" ref="J529">_xlfn.IFS(Call_Center[[#This Row],[Duration]]&lt;=10,"Under 10 mins",Call_Center[[#This Row],[Duration]]&lt;=30,"10 to 30 min",Call_Center[[#This Row],[Duration]]&lt;=60,"30 to 60 min",Call_Center[[#This Row],[Duration]]&lt;=120,"1 to 2 hours",TRUE,"More than 2 hours")</f>
        <v>30 to 60 min</v>
      </c>
      <c r="K529">
        <f>ROUND(Call_Center[[#This Row],[Satisfaction Rating]],0)</f>
        <v>4</v>
      </c>
    </row>
    <row r="530" spans="1:11" x14ac:dyDescent="0.35">
      <c r="A530" s="21" t="s">
        <v>1513</v>
      </c>
      <c r="B530" s="18" t="s">
        <v>969</v>
      </c>
      <c r="C530" s="18">
        <v>138</v>
      </c>
      <c r="D530" s="19" t="s">
        <v>972</v>
      </c>
      <c r="E530" s="20">
        <v>45082</v>
      </c>
      <c r="F530" s="18">
        <v>29</v>
      </c>
      <c r="G530" s="22">
        <v>4.4000000000000004</v>
      </c>
      <c r="H530">
        <f>IF(MONTH(Call_Center[[#This Row],[Date of Call]])&lt;=6,2023,2024)</f>
        <v>2023</v>
      </c>
      <c r="I530" t="str">
        <f>TEXT(Call_Center[[#This Row],[Date of Call]],"DDDD")</f>
        <v>Monday</v>
      </c>
      <c r="J530" t="str" cm="1">
        <f t="array" ref="J530">_xlfn.IFS(Call_Center[[#This Row],[Duration]]&lt;=10,"Under 10 mins",Call_Center[[#This Row],[Duration]]&lt;=30,"10 to 30 min",Call_Center[[#This Row],[Duration]]&lt;=60,"30 to 60 min",Call_Center[[#This Row],[Duration]]&lt;=120,"1 to 2 hours",TRUE,"More than 2 hours")</f>
        <v>More than 2 hours</v>
      </c>
      <c r="K530">
        <f>ROUND(Call_Center[[#This Row],[Satisfaction Rating]],0)</f>
        <v>4</v>
      </c>
    </row>
    <row r="531" spans="1:11" x14ac:dyDescent="0.35">
      <c r="A531" s="21" t="s">
        <v>1514</v>
      </c>
      <c r="B531" s="18" t="s">
        <v>1000</v>
      </c>
      <c r="C531" s="18">
        <v>144</v>
      </c>
      <c r="D531" s="19" t="s">
        <v>972</v>
      </c>
      <c r="E531" s="20">
        <v>45083</v>
      </c>
      <c r="F531" s="18">
        <v>25</v>
      </c>
      <c r="G531" s="22">
        <v>3.7</v>
      </c>
      <c r="H531">
        <f>IF(MONTH(Call_Center[[#This Row],[Date of Call]])&lt;=6,2023,2024)</f>
        <v>2023</v>
      </c>
      <c r="I531" t="str">
        <f>TEXT(Call_Center[[#This Row],[Date of Call]],"DDDD")</f>
        <v>Tuesday</v>
      </c>
      <c r="J531" t="str" cm="1">
        <f t="array" ref="J531">_xlfn.IFS(Call_Center[[#This Row],[Duration]]&lt;=10,"Under 10 mins",Call_Center[[#This Row],[Duration]]&lt;=30,"10 to 30 min",Call_Center[[#This Row],[Duration]]&lt;=60,"30 to 60 min",Call_Center[[#This Row],[Duration]]&lt;=120,"1 to 2 hours",TRUE,"More than 2 hours")</f>
        <v>More than 2 hours</v>
      </c>
      <c r="K531">
        <f>ROUND(Call_Center[[#This Row],[Satisfaction Rating]],0)</f>
        <v>4</v>
      </c>
    </row>
    <row r="532" spans="1:11" x14ac:dyDescent="0.35">
      <c r="A532" s="21" t="s">
        <v>1515</v>
      </c>
      <c r="B532" s="18" t="s">
        <v>1018</v>
      </c>
      <c r="C532" s="18">
        <v>119</v>
      </c>
      <c r="D532" s="19" t="s">
        <v>986</v>
      </c>
      <c r="E532" s="20">
        <v>45084</v>
      </c>
      <c r="F532" s="18">
        <v>116</v>
      </c>
      <c r="G532" s="22">
        <v>3.8</v>
      </c>
      <c r="H532">
        <f>IF(MONTH(Call_Center[[#This Row],[Date of Call]])&lt;=6,2023,2024)</f>
        <v>2023</v>
      </c>
      <c r="I532" t="str">
        <f>TEXT(Call_Center[[#This Row],[Date of Call]],"DDDD")</f>
        <v>Wednesday</v>
      </c>
      <c r="J532" t="str" cm="1">
        <f t="array" ref="J532">_xlfn.IFS(Call_Center[[#This Row],[Duration]]&lt;=10,"Under 10 mins",Call_Center[[#This Row],[Duration]]&lt;=30,"10 to 30 min",Call_Center[[#This Row],[Duration]]&lt;=60,"30 to 60 min",Call_Center[[#This Row],[Duration]]&lt;=120,"1 to 2 hours",TRUE,"More than 2 hours")</f>
        <v>1 to 2 hours</v>
      </c>
      <c r="K532">
        <f>ROUND(Call_Center[[#This Row],[Satisfaction Rating]],0)</f>
        <v>4</v>
      </c>
    </row>
    <row r="533" spans="1:11" x14ac:dyDescent="0.35">
      <c r="A533" s="21" t="s">
        <v>1516</v>
      </c>
      <c r="B533" s="18" t="s">
        <v>969</v>
      </c>
      <c r="C533" s="18">
        <v>101</v>
      </c>
      <c r="D533" s="19" t="s">
        <v>977</v>
      </c>
      <c r="E533" s="20">
        <v>45085</v>
      </c>
      <c r="F533" s="18">
        <v>132</v>
      </c>
      <c r="G533" s="22">
        <v>4.3</v>
      </c>
      <c r="H533">
        <f>IF(MONTH(Call_Center[[#This Row],[Date of Call]])&lt;=6,2023,2024)</f>
        <v>2023</v>
      </c>
      <c r="I533" t="str">
        <f>TEXT(Call_Center[[#This Row],[Date of Call]],"DDDD")</f>
        <v>Thursday</v>
      </c>
      <c r="J533" t="str" cm="1">
        <f t="array" ref="J533">_xlfn.IFS(Call_Center[[#This Row],[Duration]]&lt;=10,"Under 10 mins",Call_Center[[#This Row],[Duration]]&lt;=30,"10 to 30 min",Call_Center[[#This Row],[Duration]]&lt;=60,"30 to 60 min",Call_Center[[#This Row],[Duration]]&lt;=120,"1 to 2 hours",TRUE,"More than 2 hours")</f>
        <v>1 to 2 hours</v>
      </c>
      <c r="K533">
        <f>ROUND(Call_Center[[#This Row],[Satisfaction Rating]],0)</f>
        <v>4</v>
      </c>
    </row>
    <row r="534" spans="1:11" x14ac:dyDescent="0.35">
      <c r="A534" s="21" t="s">
        <v>1517</v>
      </c>
      <c r="B534" s="18" t="s">
        <v>1000</v>
      </c>
      <c r="C534" s="18">
        <v>59</v>
      </c>
      <c r="D534" s="19" t="s">
        <v>986</v>
      </c>
      <c r="E534" s="20">
        <v>45086</v>
      </c>
      <c r="F534" s="18">
        <v>90</v>
      </c>
      <c r="G534" s="22">
        <v>3.5</v>
      </c>
      <c r="H534">
        <f>IF(MONTH(Call_Center[[#This Row],[Date of Call]])&lt;=6,2023,2024)</f>
        <v>2023</v>
      </c>
      <c r="I534" t="str">
        <f>TEXT(Call_Center[[#This Row],[Date of Call]],"DDDD")</f>
        <v>Friday</v>
      </c>
      <c r="J534" t="str" cm="1">
        <f t="array" ref="J534">_xlfn.IFS(Call_Center[[#This Row],[Duration]]&lt;=10,"Under 10 mins",Call_Center[[#This Row],[Duration]]&lt;=30,"10 to 30 min",Call_Center[[#This Row],[Duration]]&lt;=60,"30 to 60 min",Call_Center[[#This Row],[Duration]]&lt;=120,"1 to 2 hours",TRUE,"More than 2 hours")</f>
        <v>30 to 60 min</v>
      </c>
      <c r="K534">
        <f>ROUND(Call_Center[[#This Row],[Satisfaction Rating]],0)</f>
        <v>4</v>
      </c>
    </row>
    <row r="535" spans="1:11" x14ac:dyDescent="0.35">
      <c r="A535" s="21" t="s">
        <v>1518</v>
      </c>
      <c r="B535" s="18" t="s">
        <v>989</v>
      </c>
      <c r="C535" s="18">
        <v>125</v>
      </c>
      <c r="D535" s="19" t="s">
        <v>967</v>
      </c>
      <c r="E535" s="20">
        <v>45086</v>
      </c>
      <c r="F535" s="18">
        <v>87</v>
      </c>
      <c r="G535" s="22">
        <v>4.0999999999999996</v>
      </c>
      <c r="H535">
        <f>IF(MONTH(Call_Center[[#This Row],[Date of Call]])&lt;=6,2023,2024)</f>
        <v>2023</v>
      </c>
      <c r="I535" t="str">
        <f>TEXT(Call_Center[[#This Row],[Date of Call]],"DDDD")</f>
        <v>Friday</v>
      </c>
      <c r="J535" t="str" cm="1">
        <f t="array" ref="J535">_xlfn.IFS(Call_Center[[#This Row],[Duration]]&lt;=10,"Under 10 mins",Call_Center[[#This Row],[Duration]]&lt;=30,"10 to 30 min",Call_Center[[#This Row],[Duration]]&lt;=60,"30 to 60 min",Call_Center[[#This Row],[Duration]]&lt;=120,"1 to 2 hours",TRUE,"More than 2 hours")</f>
        <v>More than 2 hours</v>
      </c>
      <c r="K535">
        <f>ROUND(Call_Center[[#This Row],[Satisfaction Rating]],0)</f>
        <v>4</v>
      </c>
    </row>
    <row r="536" spans="1:11" x14ac:dyDescent="0.35">
      <c r="A536" s="21" t="s">
        <v>1519</v>
      </c>
      <c r="B536" s="18" t="s">
        <v>985</v>
      </c>
      <c r="C536" s="18">
        <v>147</v>
      </c>
      <c r="D536" s="19" t="s">
        <v>986</v>
      </c>
      <c r="E536" s="20">
        <v>45086</v>
      </c>
      <c r="F536" s="18">
        <v>140</v>
      </c>
      <c r="G536" s="22">
        <v>4.2</v>
      </c>
      <c r="H536">
        <f>IF(MONTH(Call_Center[[#This Row],[Date of Call]])&lt;=6,2023,2024)</f>
        <v>2023</v>
      </c>
      <c r="I536" t="str">
        <f>TEXT(Call_Center[[#This Row],[Date of Call]],"DDDD")</f>
        <v>Friday</v>
      </c>
      <c r="J536" t="str" cm="1">
        <f t="array" ref="J536">_xlfn.IFS(Call_Center[[#This Row],[Duration]]&lt;=10,"Under 10 mins",Call_Center[[#This Row],[Duration]]&lt;=30,"10 to 30 min",Call_Center[[#This Row],[Duration]]&lt;=60,"30 to 60 min",Call_Center[[#This Row],[Duration]]&lt;=120,"1 to 2 hours",TRUE,"More than 2 hours")</f>
        <v>More than 2 hours</v>
      </c>
      <c r="K536">
        <f>ROUND(Call_Center[[#This Row],[Satisfaction Rating]],0)</f>
        <v>4</v>
      </c>
    </row>
    <row r="537" spans="1:11" x14ac:dyDescent="0.35">
      <c r="A537" s="21" t="s">
        <v>1520</v>
      </c>
      <c r="B537" s="18" t="s">
        <v>991</v>
      </c>
      <c r="C537" s="18">
        <v>76</v>
      </c>
      <c r="D537" s="19" t="s">
        <v>986</v>
      </c>
      <c r="E537" s="20">
        <v>45086</v>
      </c>
      <c r="F537" s="18">
        <v>164</v>
      </c>
      <c r="G537" s="22">
        <v>4.5</v>
      </c>
      <c r="H537">
        <f>IF(MONTH(Call_Center[[#This Row],[Date of Call]])&lt;=6,2023,2024)</f>
        <v>2023</v>
      </c>
      <c r="I537" t="str">
        <f>TEXT(Call_Center[[#This Row],[Date of Call]],"DDDD")</f>
        <v>Friday</v>
      </c>
      <c r="J537" t="str" cm="1">
        <f t="array" ref="J537">_xlfn.IFS(Call_Center[[#This Row],[Duration]]&lt;=10,"Under 10 mins",Call_Center[[#This Row],[Duration]]&lt;=30,"10 to 30 min",Call_Center[[#This Row],[Duration]]&lt;=60,"30 to 60 min",Call_Center[[#This Row],[Duration]]&lt;=120,"1 to 2 hours",TRUE,"More than 2 hours")</f>
        <v>1 to 2 hours</v>
      </c>
      <c r="K537">
        <f>ROUND(Call_Center[[#This Row],[Satisfaction Rating]],0)</f>
        <v>5</v>
      </c>
    </row>
    <row r="538" spans="1:11" x14ac:dyDescent="0.35">
      <c r="A538" s="21" t="s">
        <v>1521</v>
      </c>
      <c r="B538" s="18" t="s">
        <v>980</v>
      </c>
      <c r="C538" s="18">
        <v>99</v>
      </c>
      <c r="D538" s="19" t="s">
        <v>977</v>
      </c>
      <c r="E538" s="20">
        <v>45087</v>
      </c>
      <c r="F538" s="18">
        <v>180</v>
      </c>
      <c r="G538" s="22">
        <v>3.8</v>
      </c>
      <c r="H538">
        <f>IF(MONTH(Call_Center[[#This Row],[Date of Call]])&lt;=6,2023,2024)</f>
        <v>2023</v>
      </c>
      <c r="I538" t="str">
        <f>TEXT(Call_Center[[#This Row],[Date of Call]],"DDDD")</f>
        <v>Saturday</v>
      </c>
      <c r="J538" t="str" cm="1">
        <f t="array" ref="J538">_xlfn.IFS(Call_Center[[#This Row],[Duration]]&lt;=10,"Under 10 mins",Call_Center[[#This Row],[Duration]]&lt;=30,"10 to 30 min",Call_Center[[#This Row],[Duration]]&lt;=60,"30 to 60 min",Call_Center[[#This Row],[Duration]]&lt;=120,"1 to 2 hours",TRUE,"More than 2 hours")</f>
        <v>1 to 2 hours</v>
      </c>
      <c r="K538">
        <f>ROUND(Call_Center[[#This Row],[Satisfaction Rating]],0)</f>
        <v>4</v>
      </c>
    </row>
    <row r="539" spans="1:11" x14ac:dyDescent="0.35">
      <c r="A539" s="21" t="s">
        <v>1522</v>
      </c>
      <c r="B539" s="18" t="s">
        <v>1038</v>
      </c>
      <c r="C539" s="18">
        <v>111</v>
      </c>
      <c r="D539" s="19" t="s">
        <v>982</v>
      </c>
      <c r="E539" s="20">
        <v>45088</v>
      </c>
      <c r="F539" s="18">
        <v>22</v>
      </c>
      <c r="G539" s="22">
        <v>4.0999999999999996</v>
      </c>
      <c r="H539">
        <f>IF(MONTH(Call_Center[[#This Row],[Date of Call]])&lt;=6,2023,2024)</f>
        <v>2023</v>
      </c>
      <c r="I539" t="str">
        <f>TEXT(Call_Center[[#This Row],[Date of Call]],"DDDD")</f>
        <v>Sunday</v>
      </c>
      <c r="J539" t="str" cm="1">
        <f t="array" ref="J539">_xlfn.IFS(Call_Center[[#This Row],[Duration]]&lt;=10,"Under 10 mins",Call_Center[[#This Row],[Duration]]&lt;=30,"10 to 30 min",Call_Center[[#This Row],[Duration]]&lt;=60,"30 to 60 min",Call_Center[[#This Row],[Duration]]&lt;=120,"1 to 2 hours",TRUE,"More than 2 hours")</f>
        <v>1 to 2 hours</v>
      </c>
      <c r="K539">
        <f>ROUND(Call_Center[[#This Row],[Satisfaction Rating]],0)</f>
        <v>4</v>
      </c>
    </row>
    <row r="540" spans="1:11" x14ac:dyDescent="0.35">
      <c r="A540" s="21" t="s">
        <v>1523</v>
      </c>
      <c r="B540" s="18" t="s">
        <v>976</v>
      </c>
      <c r="C540" s="18">
        <v>147</v>
      </c>
      <c r="D540" s="19" t="s">
        <v>967</v>
      </c>
      <c r="E540" s="20">
        <v>45088</v>
      </c>
      <c r="F540" s="18">
        <v>82</v>
      </c>
      <c r="G540" s="22">
        <v>4.4000000000000004</v>
      </c>
      <c r="H540">
        <f>IF(MONTH(Call_Center[[#This Row],[Date of Call]])&lt;=6,2023,2024)</f>
        <v>2023</v>
      </c>
      <c r="I540" t="str">
        <f>TEXT(Call_Center[[#This Row],[Date of Call]],"DDDD")</f>
        <v>Sunday</v>
      </c>
      <c r="J540" t="str" cm="1">
        <f t="array" ref="J540">_xlfn.IFS(Call_Center[[#This Row],[Duration]]&lt;=10,"Under 10 mins",Call_Center[[#This Row],[Duration]]&lt;=30,"10 to 30 min",Call_Center[[#This Row],[Duration]]&lt;=60,"30 to 60 min",Call_Center[[#This Row],[Duration]]&lt;=120,"1 to 2 hours",TRUE,"More than 2 hours")</f>
        <v>More than 2 hours</v>
      </c>
      <c r="K540">
        <f>ROUND(Call_Center[[#This Row],[Satisfaction Rating]],0)</f>
        <v>4</v>
      </c>
    </row>
    <row r="541" spans="1:11" x14ac:dyDescent="0.35">
      <c r="A541" s="21" t="s">
        <v>1524</v>
      </c>
      <c r="B541" s="18" t="s">
        <v>966</v>
      </c>
      <c r="C541" s="18">
        <v>141</v>
      </c>
      <c r="D541" s="19" t="s">
        <v>977</v>
      </c>
      <c r="E541" s="20">
        <v>45088</v>
      </c>
      <c r="F541" s="18">
        <v>100</v>
      </c>
      <c r="G541" s="22">
        <v>4.5999999999999996</v>
      </c>
      <c r="H541">
        <f>IF(MONTH(Call_Center[[#This Row],[Date of Call]])&lt;=6,2023,2024)</f>
        <v>2023</v>
      </c>
      <c r="I541" t="str">
        <f>TEXT(Call_Center[[#This Row],[Date of Call]],"DDDD")</f>
        <v>Sunday</v>
      </c>
      <c r="J541" t="str" cm="1">
        <f t="array" ref="J541">_xlfn.IFS(Call_Center[[#This Row],[Duration]]&lt;=10,"Under 10 mins",Call_Center[[#This Row],[Duration]]&lt;=30,"10 to 30 min",Call_Center[[#This Row],[Duration]]&lt;=60,"30 to 60 min",Call_Center[[#This Row],[Duration]]&lt;=120,"1 to 2 hours",TRUE,"More than 2 hours")</f>
        <v>More than 2 hours</v>
      </c>
      <c r="K541">
        <f>ROUND(Call_Center[[#This Row],[Satisfaction Rating]],0)</f>
        <v>5</v>
      </c>
    </row>
    <row r="542" spans="1:11" x14ac:dyDescent="0.35">
      <c r="A542" s="21" t="s">
        <v>1525</v>
      </c>
      <c r="B542" s="18" t="s">
        <v>991</v>
      </c>
      <c r="C542" s="18">
        <v>71</v>
      </c>
      <c r="D542" s="19" t="s">
        <v>986</v>
      </c>
      <c r="E542" s="20">
        <v>45089</v>
      </c>
      <c r="F542" s="18">
        <v>52</v>
      </c>
      <c r="G542" s="22">
        <v>3.4</v>
      </c>
      <c r="H542">
        <f>IF(MONTH(Call_Center[[#This Row],[Date of Call]])&lt;=6,2023,2024)</f>
        <v>2023</v>
      </c>
      <c r="I542" t="str">
        <f>TEXT(Call_Center[[#This Row],[Date of Call]],"DDDD")</f>
        <v>Monday</v>
      </c>
      <c r="J542" t="str" cm="1">
        <f t="array" ref="J542">_xlfn.IFS(Call_Center[[#This Row],[Duration]]&lt;=10,"Under 10 mins",Call_Center[[#This Row],[Duration]]&lt;=30,"10 to 30 min",Call_Center[[#This Row],[Duration]]&lt;=60,"30 to 60 min",Call_Center[[#This Row],[Duration]]&lt;=120,"1 to 2 hours",TRUE,"More than 2 hours")</f>
        <v>1 to 2 hours</v>
      </c>
      <c r="K542">
        <f>ROUND(Call_Center[[#This Row],[Satisfaction Rating]],0)</f>
        <v>3</v>
      </c>
    </row>
    <row r="543" spans="1:11" x14ac:dyDescent="0.35">
      <c r="A543" s="21" t="s">
        <v>1526</v>
      </c>
      <c r="B543" s="18" t="s">
        <v>991</v>
      </c>
      <c r="C543" s="18">
        <v>121</v>
      </c>
      <c r="D543" s="19" t="s">
        <v>967</v>
      </c>
      <c r="E543" s="20">
        <v>45090</v>
      </c>
      <c r="F543" s="18">
        <v>84</v>
      </c>
      <c r="G543" s="22">
        <v>4.5999999999999996</v>
      </c>
      <c r="H543">
        <f>IF(MONTH(Call_Center[[#This Row],[Date of Call]])&lt;=6,2023,2024)</f>
        <v>2023</v>
      </c>
      <c r="I543" t="str">
        <f>TEXT(Call_Center[[#This Row],[Date of Call]],"DDDD")</f>
        <v>Tuesday</v>
      </c>
      <c r="J543" t="str" cm="1">
        <f t="array" ref="J543">_xlfn.IFS(Call_Center[[#This Row],[Duration]]&lt;=10,"Under 10 mins",Call_Center[[#This Row],[Duration]]&lt;=30,"10 to 30 min",Call_Center[[#This Row],[Duration]]&lt;=60,"30 to 60 min",Call_Center[[#This Row],[Duration]]&lt;=120,"1 to 2 hours",TRUE,"More than 2 hours")</f>
        <v>More than 2 hours</v>
      </c>
      <c r="K543">
        <f>ROUND(Call_Center[[#This Row],[Satisfaction Rating]],0)</f>
        <v>5</v>
      </c>
    </row>
    <row r="544" spans="1:11" x14ac:dyDescent="0.35">
      <c r="A544" s="21" t="s">
        <v>1527</v>
      </c>
      <c r="B544" s="18" t="s">
        <v>991</v>
      </c>
      <c r="C544" s="18">
        <v>60</v>
      </c>
      <c r="D544" s="19" t="s">
        <v>967</v>
      </c>
      <c r="E544" s="20">
        <v>45090</v>
      </c>
      <c r="F544" s="18">
        <v>37</v>
      </c>
      <c r="G544" s="22">
        <v>3.9</v>
      </c>
      <c r="H544">
        <f>IF(MONTH(Call_Center[[#This Row],[Date of Call]])&lt;=6,2023,2024)</f>
        <v>2023</v>
      </c>
      <c r="I544" t="str">
        <f>TEXT(Call_Center[[#This Row],[Date of Call]],"DDDD")</f>
        <v>Tuesday</v>
      </c>
      <c r="J544" t="str" cm="1">
        <f t="array" ref="J544">_xlfn.IFS(Call_Center[[#This Row],[Duration]]&lt;=10,"Under 10 mins",Call_Center[[#This Row],[Duration]]&lt;=30,"10 to 30 min",Call_Center[[#This Row],[Duration]]&lt;=60,"30 to 60 min",Call_Center[[#This Row],[Duration]]&lt;=120,"1 to 2 hours",TRUE,"More than 2 hours")</f>
        <v>30 to 60 min</v>
      </c>
      <c r="K544">
        <f>ROUND(Call_Center[[#This Row],[Satisfaction Rating]],0)</f>
        <v>4</v>
      </c>
    </row>
    <row r="545" spans="1:11" x14ac:dyDescent="0.35">
      <c r="A545" s="21" t="s">
        <v>1528</v>
      </c>
      <c r="B545" s="18" t="s">
        <v>1005</v>
      </c>
      <c r="C545" s="18">
        <v>158</v>
      </c>
      <c r="D545" s="19" t="s">
        <v>977</v>
      </c>
      <c r="E545" s="20">
        <v>45091</v>
      </c>
      <c r="F545" s="18">
        <v>190</v>
      </c>
      <c r="G545" s="22">
        <v>4</v>
      </c>
      <c r="H545">
        <f>IF(MONTH(Call_Center[[#This Row],[Date of Call]])&lt;=6,2023,2024)</f>
        <v>2023</v>
      </c>
      <c r="I545" t="str">
        <f>TEXT(Call_Center[[#This Row],[Date of Call]],"DDDD")</f>
        <v>Wednesday</v>
      </c>
      <c r="J545" t="str" cm="1">
        <f t="array" ref="J545">_xlfn.IFS(Call_Center[[#This Row],[Duration]]&lt;=10,"Under 10 mins",Call_Center[[#This Row],[Duration]]&lt;=30,"10 to 30 min",Call_Center[[#This Row],[Duration]]&lt;=60,"30 to 60 min",Call_Center[[#This Row],[Duration]]&lt;=120,"1 to 2 hours",TRUE,"More than 2 hours")</f>
        <v>More than 2 hours</v>
      </c>
      <c r="K545">
        <f>ROUND(Call_Center[[#This Row],[Satisfaction Rating]],0)</f>
        <v>4</v>
      </c>
    </row>
    <row r="546" spans="1:11" x14ac:dyDescent="0.35">
      <c r="A546" s="21" t="s">
        <v>1529</v>
      </c>
      <c r="B546" s="18" t="s">
        <v>985</v>
      </c>
      <c r="C546" s="18">
        <v>159</v>
      </c>
      <c r="D546" s="19" t="s">
        <v>972</v>
      </c>
      <c r="E546" s="20">
        <v>45091</v>
      </c>
      <c r="F546" s="18">
        <v>66</v>
      </c>
      <c r="G546" s="22">
        <v>3.4</v>
      </c>
      <c r="H546">
        <f>IF(MONTH(Call_Center[[#This Row],[Date of Call]])&lt;=6,2023,2024)</f>
        <v>2023</v>
      </c>
      <c r="I546" t="str">
        <f>TEXT(Call_Center[[#This Row],[Date of Call]],"DDDD")</f>
        <v>Wednesday</v>
      </c>
      <c r="J546" t="str" cm="1">
        <f t="array" ref="J546">_xlfn.IFS(Call_Center[[#This Row],[Duration]]&lt;=10,"Under 10 mins",Call_Center[[#This Row],[Duration]]&lt;=30,"10 to 30 min",Call_Center[[#This Row],[Duration]]&lt;=60,"30 to 60 min",Call_Center[[#This Row],[Duration]]&lt;=120,"1 to 2 hours",TRUE,"More than 2 hours")</f>
        <v>More than 2 hours</v>
      </c>
      <c r="K546">
        <f>ROUND(Call_Center[[#This Row],[Satisfaction Rating]],0)</f>
        <v>3</v>
      </c>
    </row>
    <row r="547" spans="1:11" x14ac:dyDescent="0.35">
      <c r="A547" s="21" t="s">
        <v>1530</v>
      </c>
      <c r="B547" s="18" t="s">
        <v>969</v>
      </c>
      <c r="C547" s="18">
        <v>70</v>
      </c>
      <c r="D547" s="19" t="s">
        <v>986</v>
      </c>
      <c r="E547" s="20">
        <v>45092</v>
      </c>
      <c r="F547" s="18">
        <v>116</v>
      </c>
      <c r="G547" s="22">
        <v>3.2</v>
      </c>
      <c r="H547">
        <f>IF(MONTH(Call_Center[[#This Row],[Date of Call]])&lt;=6,2023,2024)</f>
        <v>2023</v>
      </c>
      <c r="I547" t="str">
        <f>TEXT(Call_Center[[#This Row],[Date of Call]],"DDDD")</f>
        <v>Thursday</v>
      </c>
      <c r="J547" t="str" cm="1">
        <f t="array" ref="J547">_xlfn.IFS(Call_Center[[#This Row],[Duration]]&lt;=10,"Under 10 mins",Call_Center[[#This Row],[Duration]]&lt;=30,"10 to 30 min",Call_Center[[#This Row],[Duration]]&lt;=60,"30 to 60 min",Call_Center[[#This Row],[Duration]]&lt;=120,"1 to 2 hours",TRUE,"More than 2 hours")</f>
        <v>1 to 2 hours</v>
      </c>
      <c r="K547">
        <f>ROUND(Call_Center[[#This Row],[Satisfaction Rating]],0)</f>
        <v>3</v>
      </c>
    </row>
    <row r="548" spans="1:11" x14ac:dyDescent="0.35">
      <c r="A548" s="21" t="s">
        <v>1531</v>
      </c>
      <c r="B548" s="18" t="s">
        <v>1008</v>
      </c>
      <c r="C548" s="18">
        <v>78</v>
      </c>
      <c r="D548" s="19" t="s">
        <v>982</v>
      </c>
      <c r="E548" s="20">
        <v>45092</v>
      </c>
      <c r="F548" s="18">
        <v>28</v>
      </c>
      <c r="G548" s="22">
        <v>3.9</v>
      </c>
      <c r="H548">
        <f>IF(MONTH(Call_Center[[#This Row],[Date of Call]])&lt;=6,2023,2024)</f>
        <v>2023</v>
      </c>
      <c r="I548" t="str">
        <f>TEXT(Call_Center[[#This Row],[Date of Call]],"DDDD")</f>
        <v>Thursday</v>
      </c>
      <c r="J548" t="str" cm="1">
        <f t="array" ref="J548">_xlfn.IFS(Call_Center[[#This Row],[Duration]]&lt;=10,"Under 10 mins",Call_Center[[#This Row],[Duration]]&lt;=30,"10 to 30 min",Call_Center[[#This Row],[Duration]]&lt;=60,"30 to 60 min",Call_Center[[#This Row],[Duration]]&lt;=120,"1 to 2 hours",TRUE,"More than 2 hours")</f>
        <v>1 to 2 hours</v>
      </c>
      <c r="K548">
        <f>ROUND(Call_Center[[#This Row],[Satisfaction Rating]],0)</f>
        <v>4</v>
      </c>
    </row>
    <row r="549" spans="1:11" x14ac:dyDescent="0.35">
      <c r="A549" s="21" t="s">
        <v>1532</v>
      </c>
      <c r="B549" s="18" t="s">
        <v>976</v>
      </c>
      <c r="C549" s="18">
        <v>103</v>
      </c>
      <c r="D549" s="19" t="s">
        <v>986</v>
      </c>
      <c r="E549" s="20">
        <v>45092</v>
      </c>
      <c r="F549" s="18">
        <v>120</v>
      </c>
      <c r="G549" s="22">
        <v>5</v>
      </c>
      <c r="H549">
        <f>IF(MONTH(Call_Center[[#This Row],[Date of Call]])&lt;=6,2023,2024)</f>
        <v>2023</v>
      </c>
      <c r="I549" t="str">
        <f>TEXT(Call_Center[[#This Row],[Date of Call]],"DDDD")</f>
        <v>Thursday</v>
      </c>
      <c r="J549" t="str" cm="1">
        <f t="array" ref="J549">_xlfn.IFS(Call_Center[[#This Row],[Duration]]&lt;=10,"Under 10 mins",Call_Center[[#This Row],[Duration]]&lt;=30,"10 to 30 min",Call_Center[[#This Row],[Duration]]&lt;=60,"30 to 60 min",Call_Center[[#This Row],[Duration]]&lt;=120,"1 to 2 hours",TRUE,"More than 2 hours")</f>
        <v>1 to 2 hours</v>
      </c>
      <c r="K549">
        <f>ROUND(Call_Center[[#This Row],[Satisfaction Rating]],0)</f>
        <v>5</v>
      </c>
    </row>
    <row r="550" spans="1:11" x14ac:dyDescent="0.35">
      <c r="A550" s="21" t="s">
        <v>1533</v>
      </c>
      <c r="B550" s="18" t="s">
        <v>971</v>
      </c>
      <c r="C550" s="18">
        <v>108</v>
      </c>
      <c r="D550" s="19" t="s">
        <v>977</v>
      </c>
      <c r="E550" s="20">
        <v>45092</v>
      </c>
      <c r="F550" s="18">
        <v>56</v>
      </c>
      <c r="G550" s="22">
        <v>3.5</v>
      </c>
      <c r="H550">
        <f>IF(MONTH(Call_Center[[#This Row],[Date of Call]])&lt;=6,2023,2024)</f>
        <v>2023</v>
      </c>
      <c r="I550" t="str">
        <f>TEXT(Call_Center[[#This Row],[Date of Call]],"DDDD")</f>
        <v>Thursday</v>
      </c>
      <c r="J550" t="str" cm="1">
        <f t="array" ref="J550">_xlfn.IFS(Call_Center[[#This Row],[Duration]]&lt;=10,"Under 10 mins",Call_Center[[#This Row],[Duration]]&lt;=30,"10 to 30 min",Call_Center[[#This Row],[Duration]]&lt;=60,"30 to 60 min",Call_Center[[#This Row],[Duration]]&lt;=120,"1 to 2 hours",TRUE,"More than 2 hours")</f>
        <v>1 to 2 hours</v>
      </c>
      <c r="K550">
        <f>ROUND(Call_Center[[#This Row],[Satisfaction Rating]],0)</f>
        <v>4</v>
      </c>
    </row>
    <row r="551" spans="1:11" x14ac:dyDescent="0.35">
      <c r="A551" s="21" t="s">
        <v>1534</v>
      </c>
      <c r="B551" s="18" t="s">
        <v>971</v>
      </c>
      <c r="C551" s="18">
        <v>44</v>
      </c>
      <c r="D551" s="19" t="s">
        <v>967</v>
      </c>
      <c r="E551" s="20">
        <v>45092</v>
      </c>
      <c r="F551" s="18">
        <v>170</v>
      </c>
      <c r="G551" s="22">
        <v>3.8</v>
      </c>
      <c r="H551">
        <f>IF(MONTH(Call_Center[[#This Row],[Date of Call]])&lt;=6,2023,2024)</f>
        <v>2023</v>
      </c>
      <c r="I551" t="str">
        <f>TEXT(Call_Center[[#This Row],[Date of Call]],"DDDD")</f>
        <v>Thursday</v>
      </c>
      <c r="J551" t="str" cm="1">
        <f t="array" ref="J551">_xlfn.IFS(Call_Center[[#This Row],[Duration]]&lt;=10,"Under 10 mins",Call_Center[[#This Row],[Duration]]&lt;=30,"10 to 30 min",Call_Center[[#This Row],[Duration]]&lt;=60,"30 to 60 min",Call_Center[[#This Row],[Duration]]&lt;=120,"1 to 2 hours",TRUE,"More than 2 hours")</f>
        <v>30 to 60 min</v>
      </c>
      <c r="K551">
        <f>ROUND(Call_Center[[#This Row],[Satisfaction Rating]],0)</f>
        <v>4</v>
      </c>
    </row>
    <row r="552" spans="1:11" x14ac:dyDescent="0.35">
      <c r="A552" s="21" t="s">
        <v>1535</v>
      </c>
      <c r="B552" s="18" t="s">
        <v>1008</v>
      </c>
      <c r="C552" s="18">
        <v>127</v>
      </c>
      <c r="D552" s="19" t="s">
        <v>977</v>
      </c>
      <c r="E552" s="20">
        <v>45093</v>
      </c>
      <c r="F552" s="18">
        <v>200</v>
      </c>
      <c r="G552" s="22">
        <v>4.8</v>
      </c>
      <c r="H552">
        <f>IF(MONTH(Call_Center[[#This Row],[Date of Call]])&lt;=6,2023,2024)</f>
        <v>2023</v>
      </c>
      <c r="I552" t="str">
        <f>TEXT(Call_Center[[#This Row],[Date of Call]],"DDDD")</f>
        <v>Friday</v>
      </c>
      <c r="J552" t="str" cm="1">
        <f t="array" ref="J552">_xlfn.IFS(Call_Center[[#This Row],[Duration]]&lt;=10,"Under 10 mins",Call_Center[[#This Row],[Duration]]&lt;=30,"10 to 30 min",Call_Center[[#This Row],[Duration]]&lt;=60,"30 to 60 min",Call_Center[[#This Row],[Duration]]&lt;=120,"1 to 2 hours",TRUE,"More than 2 hours")</f>
        <v>More than 2 hours</v>
      </c>
      <c r="K552">
        <f>ROUND(Call_Center[[#This Row],[Satisfaction Rating]],0)</f>
        <v>5</v>
      </c>
    </row>
    <row r="553" spans="1:11" x14ac:dyDescent="0.35">
      <c r="A553" s="21" t="s">
        <v>1536</v>
      </c>
      <c r="B553" s="18" t="s">
        <v>976</v>
      </c>
      <c r="C553" s="18">
        <v>132</v>
      </c>
      <c r="D553" s="19" t="s">
        <v>986</v>
      </c>
      <c r="E553" s="20">
        <v>45094</v>
      </c>
      <c r="F553" s="18">
        <v>50</v>
      </c>
      <c r="G553" s="22">
        <v>4.2</v>
      </c>
      <c r="H553">
        <f>IF(MONTH(Call_Center[[#This Row],[Date of Call]])&lt;=6,2023,2024)</f>
        <v>2023</v>
      </c>
      <c r="I553" t="str">
        <f>TEXT(Call_Center[[#This Row],[Date of Call]],"DDDD")</f>
        <v>Saturday</v>
      </c>
      <c r="J553" t="str" cm="1">
        <f t="array" ref="J553">_xlfn.IFS(Call_Center[[#This Row],[Duration]]&lt;=10,"Under 10 mins",Call_Center[[#This Row],[Duration]]&lt;=30,"10 to 30 min",Call_Center[[#This Row],[Duration]]&lt;=60,"30 to 60 min",Call_Center[[#This Row],[Duration]]&lt;=120,"1 to 2 hours",TRUE,"More than 2 hours")</f>
        <v>More than 2 hours</v>
      </c>
      <c r="K553">
        <f>ROUND(Call_Center[[#This Row],[Satisfaction Rating]],0)</f>
        <v>4</v>
      </c>
    </row>
    <row r="554" spans="1:11" x14ac:dyDescent="0.35">
      <c r="A554" s="21" t="s">
        <v>1537</v>
      </c>
      <c r="B554" s="18" t="s">
        <v>966</v>
      </c>
      <c r="C554" s="18">
        <v>106</v>
      </c>
      <c r="D554" s="19" t="s">
        <v>982</v>
      </c>
      <c r="E554" s="20">
        <v>45094</v>
      </c>
      <c r="F554" s="18">
        <v>112</v>
      </c>
      <c r="G554" s="22">
        <v>3.7</v>
      </c>
      <c r="H554">
        <f>IF(MONTH(Call_Center[[#This Row],[Date of Call]])&lt;=6,2023,2024)</f>
        <v>2023</v>
      </c>
      <c r="I554" t="str">
        <f>TEXT(Call_Center[[#This Row],[Date of Call]],"DDDD")</f>
        <v>Saturday</v>
      </c>
      <c r="J554" t="str" cm="1">
        <f t="array" ref="J554">_xlfn.IFS(Call_Center[[#This Row],[Duration]]&lt;=10,"Under 10 mins",Call_Center[[#This Row],[Duration]]&lt;=30,"10 to 30 min",Call_Center[[#This Row],[Duration]]&lt;=60,"30 to 60 min",Call_Center[[#This Row],[Duration]]&lt;=120,"1 to 2 hours",TRUE,"More than 2 hours")</f>
        <v>1 to 2 hours</v>
      </c>
      <c r="K554">
        <f>ROUND(Call_Center[[#This Row],[Satisfaction Rating]],0)</f>
        <v>4</v>
      </c>
    </row>
    <row r="555" spans="1:11" x14ac:dyDescent="0.35">
      <c r="A555" s="21" t="s">
        <v>1538</v>
      </c>
      <c r="B555" s="18" t="s">
        <v>1038</v>
      </c>
      <c r="C555" s="18">
        <v>107</v>
      </c>
      <c r="D555" s="19" t="s">
        <v>986</v>
      </c>
      <c r="E555" s="20">
        <v>45095</v>
      </c>
      <c r="F555" s="18">
        <v>39</v>
      </c>
      <c r="G555" s="22">
        <v>4.8</v>
      </c>
      <c r="H555">
        <f>IF(MONTH(Call_Center[[#This Row],[Date of Call]])&lt;=6,2023,2024)</f>
        <v>2023</v>
      </c>
      <c r="I555" t="str">
        <f>TEXT(Call_Center[[#This Row],[Date of Call]],"DDDD")</f>
        <v>Sunday</v>
      </c>
      <c r="J555" t="str" cm="1">
        <f t="array" ref="J555">_xlfn.IFS(Call_Center[[#This Row],[Duration]]&lt;=10,"Under 10 mins",Call_Center[[#This Row],[Duration]]&lt;=30,"10 to 30 min",Call_Center[[#This Row],[Duration]]&lt;=60,"30 to 60 min",Call_Center[[#This Row],[Duration]]&lt;=120,"1 to 2 hours",TRUE,"More than 2 hours")</f>
        <v>1 to 2 hours</v>
      </c>
      <c r="K555">
        <f>ROUND(Call_Center[[#This Row],[Satisfaction Rating]],0)</f>
        <v>5</v>
      </c>
    </row>
    <row r="556" spans="1:11" x14ac:dyDescent="0.35">
      <c r="A556" s="21" t="s">
        <v>1539</v>
      </c>
      <c r="B556" s="18" t="s">
        <v>985</v>
      </c>
      <c r="C556" s="18">
        <v>85</v>
      </c>
      <c r="D556" s="19" t="s">
        <v>982</v>
      </c>
      <c r="E556" s="20">
        <v>45095</v>
      </c>
      <c r="F556" s="18">
        <v>38</v>
      </c>
      <c r="G556" s="22">
        <v>4.8</v>
      </c>
      <c r="H556">
        <f>IF(MONTH(Call_Center[[#This Row],[Date of Call]])&lt;=6,2023,2024)</f>
        <v>2023</v>
      </c>
      <c r="I556" t="str">
        <f>TEXT(Call_Center[[#This Row],[Date of Call]],"DDDD")</f>
        <v>Sunday</v>
      </c>
      <c r="J556" t="str" cm="1">
        <f t="array" ref="J556">_xlfn.IFS(Call_Center[[#This Row],[Duration]]&lt;=10,"Under 10 mins",Call_Center[[#This Row],[Duration]]&lt;=30,"10 to 30 min",Call_Center[[#This Row],[Duration]]&lt;=60,"30 to 60 min",Call_Center[[#This Row],[Duration]]&lt;=120,"1 to 2 hours",TRUE,"More than 2 hours")</f>
        <v>1 to 2 hours</v>
      </c>
      <c r="K556">
        <f>ROUND(Call_Center[[#This Row],[Satisfaction Rating]],0)</f>
        <v>5</v>
      </c>
    </row>
    <row r="557" spans="1:11" x14ac:dyDescent="0.35">
      <c r="A557" s="21" t="s">
        <v>1540</v>
      </c>
      <c r="B557" s="18" t="s">
        <v>980</v>
      </c>
      <c r="C557" s="18">
        <v>49</v>
      </c>
      <c r="D557" s="19" t="s">
        <v>986</v>
      </c>
      <c r="E557" s="20">
        <v>45096</v>
      </c>
      <c r="F557" s="18">
        <v>84</v>
      </c>
      <c r="G557" s="22">
        <v>2.9</v>
      </c>
      <c r="H557">
        <f>IF(MONTH(Call_Center[[#This Row],[Date of Call]])&lt;=6,2023,2024)</f>
        <v>2023</v>
      </c>
      <c r="I557" t="str">
        <f>TEXT(Call_Center[[#This Row],[Date of Call]],"DDDD")</f>
        <v>Monday</v>
      </c>
      <c r="J557" t="str" cm="1">
        <f t="array" ref="J557">_xlfn.IFS(Call_Center[[#This Row],[Duration]]&lt;=10,"Under 10 mins",Call_Center[[#This Row],[Duration]]&lt;=30,"10 to 30 min",Call_Center[[#This Row],[Duration]]&lt;=60,"30 to 60 min",Call_Center[[#This Row],[Duration]]&lt;=120,"1 to 2 hours",TRUE,"More than 2 hours")</f>
        <v>30 to 60 min</v>
      </c>
      <c r="K557">
        <f>ROUND(Call_Center[[#This Row],[Satisfaction Rating]],0)</f>
        <v>3</v>
      </c>
    </row>
    <row r="558" spans="1:11" x14ac:dyDescent="0.35">
      <c r="A558" s="21" t="s">
        <v>1541</v>
      </c>
      <c r="B558" s="18" t="s">
        <v>991</v>
      </c>
      <c r="C558" s="18">
        <v>117</v>
      </c>
      <c r="D558" s="19" t="s">
        <v>977</v>
      </c>
      <c r="E558" s="20">
        <v>45097</v>
      </c>
      <c r="F558" s="18">
        <v>82</v>
      </c>
      <c r="G558" s="22">
        <v>3.5</v>
      </c>
      <c r="H558">
        <f>IF(MONTH(Call_Center[[#This Row],[Date of Call]])&lt;=6,2023,2024)</f>
        <v>2023</v>
      </c>
      <c r="I558" t="str">
        <f>TEXT(Call_Center[[#This Row],[Date of Call]],"DDDD")</f>
        <v>Tuesday</v>
      </c>
      <c r="J558" t="str" cm="1">
        <f t="array" ref="J558">_xlfn.IFS(Call_Center[[#This Row],[Duration]]&lt;=10,"Under 10 mins",Call_Center[[#This Row],[Duration]]&lt;=30,"10 to 30 min",Call_Center[[#This Row],[Duration]]&lt;=60,"30 to 60 min",Call_Center[[#This Row],[Duration]]&lt;=120,"1 to 2 hours",TRUE,"More than 2 hours")</f>
        <v>1 to 2 hours</v>
      </c>
      <c r="K558">
        <f>ROUND(Call_Center[[#This Row],[Satisfaction Rating]],0)</f>
        <v>4</v>
      </c>
    </row>
    <row r="559" spans="1:11" x14ac:dyDescent="0.35">
      <c r="A559" s="21" t="s">
        <v>1542</v>
      </c>
      <c r="B559" s="18" t="s">
        <v>1038</v>
      </c>
      <c r="C559" s="18">
        <v>136</v>
      </c>
      <c r="D559" s="19" t="s">
        <v>982</v>
      </c>
      <c r="E559" s="20">
        <v>45097</v>
      </c>
      <c r="F559" s="18">
        <v>37</v>
      </c>
      <c r="G559" s="22">
        <v>0.9</v>
      </c>
      <c r="H559">
        <f>IF(MONTH(Call_Center[[#This Row],[Date of Call]])&lt;=6,2023,2024)</f>
        <v>2023</v>
      </c>
      <c r="I559" t="str">
        <f>TEXT(Call_Center[[#This Row],[Date of Call]],"DDDD")</f>
        <v>Tuesday</v>
      </c>
      <c r="J559" t="str" cm="1">
        <f t="array" ref="J559">_xlfn.IFS(Call_Center[[#This Row],[Duration]]&lt;=10,"Under 10 mins",Call_Center[[#This Row],[Duration]]&lt;=30,"10 to 30 min",Call_Center[[#This Row],[Duration]]&lt;=60,"30 to 60 min",Call_Center[[#This Row],[Duration]]&lt;=120,"1 to 2 hours",TRUE,"More than 2 hours")</f>
        <v>More than 2 hours</v>
      </c>
      <c r="K559">
        <f>ROUND(Call_Center[[#This Row],[Satisfaction Rating]],0)</f>
        <v>1</v>
      </c>
    </row>
    <row r="560" spans="1:11" x14ac:dyDescent="0.35">
      <c r="A560" s="21" t="s">
        <v>1543</v>
      </c>
      <c r="B560" s="18" t="s">
        <v>971</v>
      </c>
      <c r="C560" s="18">
        <v>130</v>
      </c>
      <c r="D560" s="19" t="s">
        <v>972</v>
      </c>
      <c r="E560" s="20">
        <v>45098</v>
      </c>
      <c r="F560" s="18">
        <v>87</v>
      </c>
      <c r="G560" s="22">
        <v>3.4</v>
      </c>
      <c r="H560">
        <f>IF(MONTH(Call_Center[[#This Row],[Date of Call]])&lt;=6,2023,2024)</f>
        <v>2023</v>
      </c>
      <c r="I560" t="str">
        <f>TEXT(Call_Center[[#This Row],[Date of Call]],"DDDD")</f>
        <v>Wednesday</v>
      </c>
      <c r="J560" t="str" cm="1">
        <f t="array" ref="J560">_xlfn.IFS(Call_Center[[#This Row],[Duration]]&lt;=10,"Under 10 mins",Call_Center[[#This Row],[Duration]]&lt;=30,"10 to 30 min",Call_Center[[#This Row],[Duration]]&lt;=60,"30 to 60 min",Call_Center[[#This Row],[Duration]]&lt;=120,"1 to 2 hours",TRUE,"More than 2 hours")</f>
        <v>More than 2 hours</v>
      </c>
      <c r="K560">
        <f>ROUND(Call_Center[[#This Row],[Satisfaction Rating]],0)</f>
        <v>3</v>
      </c>
    </row>
    <row r="561" spans="1:11" x14ac:dyDescent="0.35">
      <c r="A561" s="21" t="s">
        <v>1544</v>
      </c>
      <c r="B561" s="18" t="s">
        <v>971</v>
      </c>
      <c r="C561" s="18">
        <v>73</v>
      </c>
      <c r="D561" s="19" t="s">
        <v>972</v>
      </c>
      <c r="E561" s="20">
        <v>45098</v>
      </c>
      <c r="F561" s="18">
        <v>75</v>
      </c>
      <c r="G561" s="22">
        <v>2.7</v>
      </c>
      <c r="H561">
        <f>IF(MONTH(Call_Center[[#This Row],[Date of Call]])&lt;=6,2023,2024)</f>
        <v>2023</v>
      </c>
      <c r="I561" t="str">
        <f>TEXT(Call_Center[[#This Row],[Date of Call]],"DDDD")</f>
        <v>Wednesday</v>
      </c>
      <c r="J561" t="str" cm="1">
        <f t="array" ref="J561">_xlfn.IFS(Call_Center[[#This Row],[Duration]]&lt;=10,"Under 10 mins",Call_Center[[#This Row],[Duration]]&lt;=30,"10 to 30 min",Call_Center[[#This Row],[Duration]]&lt;=60,"30 to 60 min",Call_Center[[#This Row],[Duration]]&lt;=120,"1 to 2 hours",TRUE,"More than 2 hours")</f>
        <v>1 to 2 hours</v>
      </c>
      <c r="K561">
        <f>ROUND(Call_Center[[#This Row],[Satisfaction Rating]],0)</f>
        <v>3</v>
      </c>
    </row>
    <row r="562" spans="1:11" x14ac:dyDescent="0.35">
      <c r="A562" s="21" t="s">
        <v>1545</v>
      </c>
      <c r="B562" s="18" t="s">
        <v>980</v>
      </c>
      <c r="C562" s="18">
        <v>80</v>
      </c>
      <c r="D562" s="19" t="s">
        <v>986</v>
      </c>
      <c r="E562" s="20">
        <v>45098</v>
      </c>
      <c r="F562" s="18">
        <v>32</v>
      </c>
      <c r="G562" s="22">
        <v>4.7</v>
      </c>
      <c r="H562">
        <f>IF(MONTH(Call_Center[[#This Row],[Date of Call]])&lt;=6,2023,2024)</f>
        <v>2023</v>
      </c>
      <c r="I562" t="str">
        <f>TEXT(Call_Center[[#This Row],[Date of Call]],"DDDD")</f>
        <v>Wednesday</v>
      </c>
      <c r="J562" t="str" cm="1">
        <f t="array" ref="J562">_xlfn.IFS(Call_Center[[#This Row],[Duration]]&lt;=10,"Under 10 mins",Call_Center[[#This Row],[Duration]]&lt;=30,"10 to 30 min",Call_Center[[#This Row],[Duration]]&lt;=60,"30 to 60 min",Call_Center[[#This Row],[Duration]]&lt;=120,"1 to 2 hours",TRUE,"More than 2 hours")</f>
        <v>1 to 2 hours</v>
      </c>
      <c r="K562">
        <f>ROUND(Call_Center[[#This Row],[Satisfaction Rating]],0)</f>
        <v>5</v>
      </c>
    </row>
    <row r="563" spans="1:11" x14ac:dyDescent="0.35">
      <c r="A563" s="21" t="s">
        <v>1546</v>
      </c>
      <c r="B563" s="18" t="s">
        <v>1018</v>
      </c>
      <c r="C563" s="18">
        <v>44</v>
      </c>
      <c r="D563" s="19" t="s">
        <v>977</v>
      </c>
      <c r="E563" s="20">
        <v>45098</v>
      </c>
      <c r="F563" s="18">
        <v>33</v>
      </c>
      <c r="G563" s="22">
        <v>3</v>
      </c>
      <c r="H563">
        <f>IF(MONTH(Call_Center[[#This Row],[Date of Call]])&lt;=6,2023,2024)</f>
        <v>2023</v>
      </c>
      <c r="I563" t="str">
        <f>TEXT(Call_Center[[#This Row],[Date of Call]],"DDDD")</f>
        <v>Wednesday</v>
      </c>
      <c r="J563" t="str" cm="1">
        <f t="array" ref="J563">_xlfn.IFS(Call_Center[[#This Row],[Duration]]&lt;=10,"Under 10 mins",Call_Center[[#This Row],[Duration]]&lt;=30,"10 to 30 min",Call_Center[[#This Row],[Duration]]&lt;=60,"30 to 60 min",Call_Center[[#This Row],[Duration]]&lt;=120,"1 to 2 hours",TRUE,"More than 2 hours")</f>
        <v>30 to 60 min</v>
      </c>
      <c r="K563">
        <f>ROUND(Call_Center[[#This Row],[Satisfaction Rating]],0)</f>
        <v>3</v>
      </c>
    </row>
    <row r="564" spans="1:11" x14ac:dyDescent="0.35">
      <c r="A564" s="21" t="s">
        <v>1547</v>
      </c>
      <c r="B564" s="18" t="s">
        <v>1018</v>
      </c>
      <c r="C564" s="18">
        <v>102</v>
      </c>
      <c r="D564" s="19" t="s">
        <v>967</v>
      </c>
      <c r="E564" s="20">
        <v>45098</v>
      </c>
      <c r="F564" s="18">
        <v>76</v>
      </c>
      <c r="G564" s="22">
        <v>4.2</v>
      </c>
      <c r="H564">
        <f>IF(MONTH(Call_Center[[#This Row],[Date of Call]])&lt;=6,2023,2024)</f>
        <v>2023</v>
      </c>
      <c r="I564" t="str">
        <f>TEXT(Call_Center[[#This Row],[Date of Call]],"DDDD")</f>
        <v>Wednesday</v>
      </c>
      <c r="J564" t="str" cm="1">
        <f t="array" ref="J564">_xlfn.IFS(Call_Center[[#This Row],[Duration]]&lt;=10,"Under 10 mins",Call_Center[[#This Row],[Duration]]&lt;=30,"10 to 30 min",Call_Center[[#This Row],[Duration]]&lt;=60,"30 to 60 min",Call_Center[[#This Row],[Duration]]&lt;=120,"1 to 2 hours",TRUE,"More than 2 hours")</f>
        <v>1 to 2 hours</v>
      </c>
      <c r="K564">
        <f>ROUND(Call_Center[[#This Row],[Satisfaction Rating]],0)</f>
        <v>4</v>
      </c>
    </row>
    <row r="565" spans="1:11" x14ac:dyDescent="0.35">
      <c r="A565" s="21" t="s">
        <v>1548</v>
      </c>
      <c r="B565" s="18" t="s">
        <v>1005</v>
      </c>
      <c r="C565" s="18">
        <v>74</v>
      </c>
      <c r="D565" s="19" t="s">
        <v>967</v>
      </c>
      <c r="E565" s="20">
        <v>45098</v>
      </c>
      <c r="F565" s="18">
        <v>117</v>
      </c>
      <c r="G565" s="22">
        <v>4.8</v>
      </c>
      <c r="H565">
        <f>IF(MONTH(Call_Center[[#This Row],[Date of Call]])&lt;=6,2023,2024)</f>
        <v>2023</v>
      </c>
      <c r="I565" t="str">
        <f>TEXT(Call_Center[[#This Row],[Date of Call]],"DDDD")</f>
        <v>Wednesday</v>
      </c>
      <c r="J565" t="str" cm="1">
        <f t="array" ref="J565">_xlfn.IFS(Call_Center[[#This Row],[Duration]]&lt;=10,"Under 10 mins",Call_Center[[#This Row],[Duration]]&lt;=30,"10 to 30 min",Call_Center[[#This Row],[Duration]]&lt;=60,"30 to 60 min",Call_Center[[#This Row],[Duration]]&lt;=120,"1 to 2 hours",TRUE,"More than 2 hours")</f>
        <v>1 to 2 hours</v>
      </c>
      <c r="K565">
        <f>ROUND(Call_Center[[#This Row],[Satisfaction Rating]],0)</f>
        <v>5</v>
      </c>
    </row>
    <row r="566" spans="1:11" x14ac:dyDescent="0.35">
      <c r="A566" s="21" t="s">
        <v>1549</v>
      </c>
      <c r="B566" s="18" t="s">
        <v>980</v>
      </c>
      <c r="C566" s="18">
        <v>52</v>
      </c>
      <c r="D566" s="19" t="s">
        <v>977</v>
      </c>
      <c r="E566" s="20">
        <v>45100</v>
      </c>
      <c r="F566" s="18">
        <v>70</v>
      </c>
      <c r="G566" s="22">
        <v>4.0999999999999996</v>
      </c>
      <c r="H566">
        <f>IF(MONTH(Call_Center[[#This Row],[Date of Call]])&lt;=6,2023,2024)</f>
        <v>2023</v>
      </c>
      <c r="I566" t="str">
        <f>TEXT(Call_Center[[#This Row],[Date of Call]],"DDDD")</f>
        <v>Friday</v>
      </c>
      <c r="J566" t="str" cm="1">
        <f t="array" ref="J566">_xlfn.IFS(Call_Center[[#This Row],[Duration]]&lt;=10,"Under 10 mins",Call_Center[[#This Row],[Duration]]&lt;=30,"10 to 30 min",Call_Center[[#This Row],[Duration]]&lt;=60,"30 to 60 min",Call_Center[[#This Row],[Duration]]&lt;=120,"1 to 2 hours",TRUE,"More than 2 hours")</f>
        <v>30 to 60 min</v>
      </c>
      <c r="K566">
        <f>ROUND(Call_Center[[#This Row],[Satisfaction Rating]],0)</f>
        <v>4</v>
      </c>
    </row>
    <row r="567" spans="1:11" x14ac:dyDescent="0.35">
      <c r="A567" s="21" t="s">
        <v>1550</v>
      </c>
      <c r="B567" s="18" t="s">
        <v>980</v>
      </c>
      <c r="C567" s="18">
        <v>74</v>
      </c>
      <c r="D567" s="19" t="s">
        <v>972</v>
      </c>
      <c r="E567" s="20">
        <v>45100</v>
      </c>
      <c r="F567" s="18">
        <v>37</v>
      </c>
      <c r="G567" s="22">
        <v>2.7</v>
      </c>
      <c r="H567">
        <f>IF(MONTH(Call_Center[[#This Row],[Date of Call]])&lt;=6,2023,2024)</f>
        <v>2023</v>
      </c>
      <c r="I567" t="str">
        <f>TEXT(Call_Center[[#This Row],[Date of Call]],"DDDD")</f>
        <v>Friday</v>
      </c>
      <c r="J567" t="str" cm="1">
        <f t="array" ref="J567">_xlfn.IFS(Call_Center[[#This Row],[Duration]]&lt;=10,"Under 10 mins",Call_Center[[#This Row],[Duration]]&lt;=30,"10 to 30 min",Call_Center[[#This Row],[Duration]]&lt;=60,"30 to 60 min",Call_Center[[#This Row],[Duration]]&lt;=120,"1 to 2 hours",TRUE,"More than 2 hours")</f>
        <v>1 to 2 hours</v>
      </c>
      <c r="K567">
        <f>ROUND(Call_Center[[#This Row],[Satisfaction Rating]],0)</f>
        <v>3</v>
      </c>
    </row>
    <row r="568" spans="1:11" x14ac:dyDescent="0.35">
      <c r="A568" s="21" t="s">
        <v>1551</v>
      </c>
      <c r="B568" s="18" t="s">
        <v>971</v>
      </c>
      <c r="C568" s="18">
        <v>96</v>
      </c>
      <c r="D568" s="19" t="s">
        <v>967</v>
      </c>
      <c r="E568" s="20">
        <v>45100</v>
      </c>
      <c r="F568" s="18">
        <v>46</v>
      </c>
      <c r="G568" s="22">
        <v>2.9</v>
      </c>
      <c r="H568">
        <f>IF(MONTH(Call_Center[[#This Row],[Date of Call]])&lt;=6,2023,2024)</f>
        <v>2023</v>
      </c>
      <c r="I568" t="str">
        <f>TEXT(Call_Center[[#This Row],[Date of Call]],"DDDD")</f>
        <v>Friday</v>
      </c>
      <c r="J568" t="str" cm="1">
        <f t="array" ref="J568">_xlfn.IFS(Call_Center[[#This Row],[Duration]]&lt;=10,"Under 10 mins",Call_Center[[#This Row],[Duration]]&lt;=30,"10 to 30 min",Call_Center[[#This Row],[Duration]]&lt;=60,"30 to 60 min",Call_Center[[#This Row],[Duration]]&lt;=120,"1 to 2 hours",TRUE,"More than 2 hours")</f>
        <v>1 to 2 hours</v>
      </c>
      <c r="K568">
        <f>ROUND(Call_Center[[#This Row],[Satisfaction Rating]],0)</f>
        <v>3</v>
      </c>
    </row>
    <row r="569" spans="1:11" x14ac:dyDescent="0.35">
      <c r="A569" s="21" t="s">
        <v>1552</v>
      </c>
      <c r="B569" s="18" t="s">
        <v>989</v>
      </c>
      <c r="C569" s="18">
        <v>104</v>
      </c>
      <c r="D569" s="19" t="s">
        <v>986</v>
      </c>
      <c r="E569" s="20">
        <v>45100</v>
      </c>
      <c r="F569" s="18">
        <v>136</v>
      </c>
      <c r="G569" s="22">
        <v>5</v>
      </c>
      <c r="H569">
        <f>IF(MONTH(Call_Center[[#This Row],[Date of Call]])&lt;=6,2023,2024)</f>
        <v>2023</v>
      </c>
      <c r="I569" t="str">
        <f>TEXT(Call_Center[[#This Row],[Date of Call]],"DDDD")</f>
        <v>Friday</v>
      </c>
      <c r="J569" t="str" cm="1">
        <f t="array" ref="J569">_xlfn.IFS(Call_Center[[#This Row],[Duration]]&lt;=10,"Under 10 mins",Call_Center[[#This Row],[Duration]]&lt;=30,"10 to 30 min",Call_Center[[#This Row],[Duration]]&lt;=60,"30 to 60 min",Call_Center[[#This Row],[Duration]]&lt;=120,"1 to 2 hours",TRUE,"More than 2 hours")</f>
        <v>1 to 2 hours</v>
      </c>
      <c r="K569">
        <f>ROUND(Call_Center[[#This Row],[Satisfaction Rating]],0)</f>
        <v>5</v>
      </c>
    </row>
    <row r="570" spans="1:11" x14ac:dyDescent="0.35">
      <c r="A570" s="21" t="s">
        <v>1553</v>
      </c>
      <c r="B570" s="18" t="s">
        <v>971</v>
      </c>
      <c r="C570" s="18">
        <v>123</v>
      </c>
      <c r="D570" s="19" t="s">
        <v>967</v>
      </c>
      <c r="E570" s="20">
        <v>45101</v>
      </c>
      <c r="F570" s="18">
        <v>44</v>
      </c>
      <c r="G570" s="22">
        <v>4.5999999999999996</v>
      </c>
      <c r="H570">
        <f>IF(MONTH(Call_Center[[#This Row],[Date of Call]])&lt;=6,2023,2024)</f>
        <v>2023</v>
      </c>
      <c r="I570" t="str">
        <f>TEXT(Call_Center[[#This Row],[Date of Call]],"DDDD")</f>
        <v>Saturday</v>
      </c>
      <c r="J570" t="str" cm="1">
        <f t="array" ref="J570">_xlfn.IFS(Call_Center[[#This Row],[Duration]]&lt;=10,"Under 10 mins",Call_Center[[#This Row],[Duration]]&lt;=30,"10 to 30 min",Call_Center[[#This Row],[Duration]]&lt;=60,"30 to 60 min",Call_Center[[#This Row],[Duration]]&lt;=120,"1 to 2 hours",TRUE,"More than 2 hours")</f>
        <v>More than 2 hours</v>
      </c>
      <c r="K570">
        <f>ROUND(Call_Center[[#This Row],[Satisfaction Rating]],0)</f>
        <v>5</v>
      </c>
    </row>
    <row r="571" spans="1:11" x14ac:dyDescent="0.35">
      <c r="A571" s="21" t="s">
        <v>1554</v>
      </c>
      <c r="B571" s="18" t="s">
        <v>997</v>
      </c>
      <c r="C571" s="18">
        <v>100</v>
      </c>
      <c r="D571" s="19" t="s">
        <v>982</v>
      </c>
      <c r="E571" s="20">
        <v>45101</v>
      </c>
      <c r="F571" s="18">
        <v>69</v>
      </c>
      <c r="G571" s="22">
        <v>3</v>
      </c>
      <c r="H571">
        <f>IF(MONTH(Call_Center[[#This Row],[Date of Call]])&lt;=6,2023,2024)</f>
        <v>2023</v>
      </c>
      <c r="I571" t="str">
        <f>TEXT(Call_Center[[#This Row],[Date of Call]],"DDDD")</f>
        <v>Saturday</v>
      </c>
      <c r="J571" t="str" cm="1">
        <f t="array" ref="J571">_xlfn.IFS(Call_Center[[#This Row],[Duration]]&lt;=10,"Under 10 mins",Call_Center[[#This Row],[Duration]]&lt;=30,"10 to 30 min",Call_Center[[#This Row],[Duration]]&lt;=60,"30 to 60 min",Call_Center[[#This Row],[Duration]]&lt;=120,"1 to 2 hours",TRUE,"More than 2 hours")</f>
        <v>1 to 2 hours</v>
      </c>
      <c r="K571">
        <f>ROUND(Call_Center[[#This Row],[Satisfaction Rating]],0)</f>
        <v>3</v>
      </c>
    </row>
    <row r="572" spans="1:11" x14ac:dyDescent="0.35">
      <c r="A572" s="21" t="s">
        <v>1555</v>
      </c>
      <c r="B572" s="18" t="s">
        <v>989</v>
      </c>
      <c r="C572" s="18">
        <v>35</v>
      </c>
      <c r="D572" s="19" t="s">
        <v>977</v>
      </c>
      <c r="E572" s="20">
        <v>45102</v>
      </c>
      <c r="F572" s="18">
        <v>86</v>
      </c>
      <c r="G572" s="22">
        <v>4.5999999999999996</v>
      </c>
      <c r="H572">
        <f>IF(MONTH(Call_Center[[#This Row],[Date of Call]])&lt;=6,2023,2024)</f>
        <v>2023</v>
      </c>
      <c r="I572" t="str">
        <f>TEXT(Call_Center[[#This Row],[Date of Call]],"DDDD")</f>
        <v>Sunday</v>
      </c>
      <c r="J572" t="str" cm="1">
        <f t="array" ref="J572">_xlfn.IFS(Call_Center[[#This Row],[Duration]]&lt;=10,"Under 10 mins",Call_Center[[#This Row],[Duration]]&lt;=30,"10 to 30 min",Call_Center[[#This Row],[Duration]]&lt;=60,"30 to 60 min",Call_Center[[#This Row],[Duration]]&lt;=120,"1 to 2 hours",TRUE,"More than 2 hours")</f>
        <v>30 to 60 min</v>
      </c>
      <c r="K572">
        <f>ROUND(Call_Center[[#This Row],[Satisfaction Rating]],0)</f>
        <v>5</v>
      </c>
    </row>
    <row r="573" spans="1:11" x14ac:dyDescent="0.35">
      <c r="A573" s="21" t="s">
        <v>1556</v>
      </c>
      <c r="B573" s="18" t="s">
        <v>980</v>
      </c>
      <c r="C573" s="18">
        <v>123</v>
      </c>
      <c r="D573" s="19" t="s">
        <v>986</v>
      </c>
      <c r="E573" s="20">
        <v>45102</v>
      </c>
      <c r="F573" s="18">
        <v>68</v>
      </c>
      <c r="G573" s="22">
        <v>4.5</v>
      </c>
      <c r="H573">
        <f>IF(MONTH(Call_Center[[#This Row],[Date of Call]])&lt;=6,2023,2024)</f>
        <v>2023</v>
      </c>
      <c r="I573" t="str">
        <f>TEXT(Call_Center[[#This Row],[Date of Call]],"DDDD")</f>
        <v>Sunday</v>
      </c>
      <c r="J573" t="str" cm="1">
        <f t="array" ref="J573">_xlfn.IFS(Call_Center[[#This Row],[Duration]]&lt;=10,"Under 10 mins",Call_Center[[#This Row],[Duration]]&lt;=30,"10 to 30 min",Call_Center[[#This Row],[Duration]]&lt;=60,"30 to 60 min",Call_Center[[#This Row],[Duration]]&lt;=120,"1 to 2 hours",TRUE,"More than 2 hours")</f>
        <v>More than 2 hours</v>
      </c>
      <c r="K573">
        <f>ROUND(Call_Center[[#This Row],[Satisfaction Rating]],0)</f>
        <v>5</v>
      </c>
    </row>
    <row r="574" spans="1:11" x14ac:dyDescent="0.35">
      <c r="A574" s="21" t="s">
        <v>1557</v>
      </c>
      <c r="B574" s="18" t="s">
        <v>991</v>
      </c>
      <c r="C574" s="18">
        <v>133</v>
      </c>
      <c r="D574" s="19" t="s">
        <v>977</v>
      </c>
      <c r="E574" s="20">
        <v>45103</v>
      </c>
      <c r="F574" s="18">
        <v>21</v>
      </c>
      <c r="G574" s="22">
        <v>3.7</v>
      </c>
      <c r="H574">
        <f>IF(MONTH(Call_Center[[#This Row],[Date of Call]])&lt;=6,2023,2024)</f>
        <v>2023</v>
      </c>
      <c r="I574" t="str">
        <f>TEXT(Call_Center[[#This Row],[Date of Call]],"DDDD")</f>
        <v>Monday</v>
      </c>
      <c r="J574" t="str" cm="1">
        <f t="array" ref="J574">_xlfn.IFS(Call_Center[[#This Row],[Duration]]&lt;=10,"Under 10 mins",Call_Center[[#This Row],[Duration]]&lt;=30,"10 to 30 min",Call_Center[[#This Row],[Duration]]&lt;=60,"30 to 60 min",Call_Center[[#This Row],[Duration]]&lt;=120,"1 to 2 hours",TRUE,"More than 2 hours")</f>
        <v>More than 2 hours</v>
      </c>
      <c r="K574">
        <f>ROUND(Call_Center[[#This Row],[Satisfaction Rating]],0)</f>
        <v>4</v>
      </c>
    </row>
    <row r="575" spans="1:11" x14ac:dyDescent="0.35">
      <c r="A575" s="21" t="s">
        <v>1558</v>
      </c>
      <c r="B575" s="18" t="s">
        <v>971</v>
      </c>
      <c r="C575" s="18">
        <v>126</v>
      </c>
      <c r="D575" s="19" t="s">
        <v>972</v>
      </c>
      <c r="E575" s="20">
        <v>45103</v>
      </c>
      <c r="F575" s="18">
        <v>190</v>
      </c>
      <c r="G575" s="22">
        <v>2.4</v>
      </c>
      <c r="H575">
        <f>IF(MONTH(Call_Center[[#This Row],[Date of Call]])&lt;=6,2023,2024)</f>
        <v>2023</v>
      </c>
      <c r="I575" t="str">
        <f>TEXT(Call_Center[[#This Row],[Date of Call]],"DDDD")</f>
        <v>Monday</v>
      </c>
      <c r="J575" t="str" cm="1">
        <f t="array" ref="J575">_xlfn.IFS(Call_Center[[#This Row],[Duration]]&lt;=10,"Under 10 mins",Call_Center[[#This Row],[Duration]]&lt;=30,"10 to 30 min",Call_Center[[#This Row],[Duration]]&lt;=60,"30 to 60 min",Call_Center[[#This Row],[Duration]]&lt;=120,"1 to 2 hours",TRUE,"More than 2 hours")</f>
        <v>More than 2 hours</v>
      </c>
      <c r="K575">
        <f>ROUND(Call_Center[[#This Row],[Satisfaction Rating]],0)</f>
        <v>2</v>
      </c>
    </row>
    <row r="576" spans="1:11" x14ac:dyDescent="0.35">
      <c r="A576" s="21" t="s">
        <v>1559</v>
      </c>
      <c r="B576" s="18" t="s">
        <v>980</v>
      </c>
      <c r="C576" s="18">
        <v>39</v>
      </c>
      <c r="D576" s="19" t="s">
        <v>967</v>
      </c>
      <c r="E576" s="20">
        <v>45103</v>
      </c>
      <c r="F576" s="18">
        <v>176</v>
      </c>
      <c r="G576" s="22">
        <v>4.3</v>
      </c>
      <c r="H576">
        <f>IF(MONTH(Call_Center[[#This Row],[Date of Call]])&lt;=6,2023,2024)</f>
        <v>2023</v>
      </c>
      <c r="I576" t="str">
        <f>TEXT(Call_Center[[#This Row],[Date of Call]],"DDDD")</f>
        <v>Monday</v>
      </c>
      <c r="J576" t="str" cm="1">
        <f t="array" ref="J576">_xlfn.IFS(Call_Center[[#This Row],[Duration]]&lt;=10,"Under 10 mins",Call_Center[[#This Row],[Duration]]&lt;=30,"10 to 30 min",Call_Center[[#This Row],[Duration]]&lt;=60,"30 to 60 min",Call_Center[[#This Row],[Duration]]&lt;=120,"1 to 2 hours",TRUE,"More than 2 hours")</f>
        <v>30 to 60 min</v>
      </c>
      <c r="K576">
        <f>ROUND(Call_Center[[#This Row],[Satisfaction Rating]],0)</f>
        <v>4</v>
      </c>
    </row>
    <row r="577" spans="1:11" x14ac:dyDescent="0.35">
      <c r="A577" s="21" t="s">
        <v>1560</v>
      </c>
      <c r="B577" s="18" t="s">
        <v>1005</v>
      </c>
      <c r="C577" s="18">
        <v>31</v>
      </c>
      <c r="D577" s="19" t="s">
        <v>986</v>
      </c>
      <c r="E577" s="20">
        <v>45103</v>
      </c>
      <c r="F577" s="18">
        <v>172</v>
      </c>
      <c r="G577" s="22">
        <v>3.9</v>
      </c>
      <c r="H577">
        <f>IF(MONTH(Call_Center[[#This Row],[Date of Call]])&lt;=6,2023,2024)</f>
        <v>2023</v>
      </c>
      <c r="I577" t="str">
        <f>TEXT(Call_Center[[#This Row],[Date of Call]],"DDDD")</f>
        <v>Monday</v>
      </c>
      <c r="J577" t="str" cm="1">
        <f t="array" ref="J577">_xlfn.IFS(Call_Center[[#This Row],[Duration]]&lt;=10,"Under 10 mins",Call_Center[[#This Row],[Duration]]&lt;=30,"10 to 30 min",Call_Center[[#This Row],[Duration]]&lt;=60,"30 to 60 min",Call_Center[[#This Row],[Duration]]&lt;=120,"1 to 2 hours",TRUE,"More than 2 hours")</f>
        <v>30 to 60 min</v>
      </c>
      <c r="K577">
        <f>ROUND(Call_Center[[#This Row],[Satisfaction Rating]],0)</f>
        <v>4</v>
      </c>
    </row>
    <row r="578" spans="1:11" x14ac:dyDescent="0.35">
      <c r="A578" s="21" t="s">
        <v>1561</v>
      </c>
      <c r="B578" s="18" t="s">
        <v>976</v>
      </c>
      <c r="C578" s="18">
        <v>25</v>
      </c>
      <c r="D578" s="19" t="s">
        <v>977</v>
      </c>
      <c r="E578" s="20">
        <v>45103</v>
      </c>
      <c r="F578" s="18">
        <v>84</v>
      </c>
      <c r="G578" s="22">
        <v>4.5</v>
      </c>
      <c r="H578">
        <f>IF(MONTH(Call_Center[[#This Row],[Date of Call]])&lt;=6,2023,2024)</f>
        <v>2023</v>
      </c>
      <c r="I578" t="str">
        <f>TEXT(Call_Center[[#This Row],[Date of Call]],"DDDD")</f>
        <v>Monday</v>
      </c>
      <c r="J578" t="str" cm="1">
        <f t="array" ref="J578">_xlfn.IFS(Call_Center[[#This Row],[Duration]]&lt;=10,"Under 10 mins",Call_Center[[#This Row],[Duration]]&lt;=30,"10 to 30 min",Call_Center[[#This Row],[Duration]]&lt;=60,"30 to 60 min",Call_Center[[#This Row],[Duration]]&lt;=120,"1 to 2 hours",TRUE,"More than 2 hours")</f>
        <v>10 to 30 min</v>
      </c>
      <c r="K578">
        <f>ROUND(Call_Center[[#This Row],[Satisfaction Rating]],0)</f>
        <v>5</v>
      </c>
    </row>
    <row r="579" spans="1:11" x14ac:dyDescent="0.35">
      <c r="A579" s="21" t="s">
        <v>1562</v>
      </c>
      <c r="B579" s="18" t="s">
        <v>969</v>
      </c>
      <c r="C579" s="18">
        <v>132</v>
      </c>
      <c r="D579" s="19" t="s">
        <v>982</v>
      </c>
      <c r="E579" s="20">
        <v>45104</v>
      </c>
      <c r="F579" s="18">
        <v>42</v>
      </c>
      <c r="G579" s="22">
        <v>5</v>
      </c>
      <c r="H579">
        <f>IF(MONTH(Call_Center[[#This Row],[Date of Call]])&lt;=6,2023,2024)</f>
        <v>2023</v>
      </c>
      <c r="I579" t="str">
        <f>TEXT(Call_Center[[#This Row],[Date of Call]],"DDDD")</f>
        <v>Tuesday</v>
      </c>
      <c r="J579" t="str" cm="1">
        <f t="array" ref="J579">_xlfn.IFS(Call_Center[[#This Row],[Duration]]&lt;=10,"Under 10 mins",Call_Center[[#This Row],[Duration]]&lt;=30,"10 to 30 min",Call_Center[[#This Row],[Duration]]&lt;=60,"30 to 60 min",Call_Center[[#This Row],[Duration]]&lt;=120,"1 to 2 hours",TRUE,"More than 2 hours")</f>
        <v>More than 2 hours</v>
      </c>
      <c r="K579">
        <f>ROUND(Call_Center[[#This Row],[Satisfaction Rating]],0)</f>
        <v>5</v>
      </c>
    </row>
    <row r="580" spans="1:11" x14ac:dyDescent="0.35">
      <c r="A580" s="21" t="s">
        <v>1563</v>
      </c>
      <c r="B580" s="18" t="s">
        <v>989</v>
      </c>
      <c r="C580" s="18">
        <v>63</v>
      </c>
      <c r="D580" s="19" t="s">
        <v>972</v>
      </c>
      <c r="E580" s="20">
        <v>45104</v>
      </c>
      <c r="F580" s="18">
        <v>70</v>
      </c>
      <c r="G580" s="22">
        <v>1.6</v>
      </c>
      <c r="H580">
        <f>IF(MONTH(Call_Center[[#This Row],[Date of Call]])&lt;=6,2023,2024)</f>
        <v>2023</v>
      </c>
      <c r="I580" t="str">
        <f>TEXT(Call_Center[[#This Row],[Date of Call]],"DDDD")</f>
        <v>Tuesday</v>
      </c>
      <c r="J580" t="str" cm="1">
        <f t="array" ref="J580">_xlfn.IFS(Call_Center[[#This Row],[Duration]]&lt;=10,"Under 10 mins",Call_Center[[#This Row],[Duration]]&lt;=30,"10 to 30 min",Call_Center[[#This Row],[Duration]]&lt;=60,"30 to 60 min",Call_Center[[#This Row],[Duration]]&lt;=120,"1 to 2 hours",TRUE,"More than 2 hours")</f>
        <v>1 to 2 hours</v>
      </c>
      <c r="K580">
        <f>ROUND(Call_Center[[#This Row],[Satisfaction Rating]],0)</f>
        <v>2</v>
      </c>
    </row>
    <row r="581" spans="1:11" x14ac:dyDescent="0.35">
      <c r="A581" s="21" t="s">
        <v>1564</v>
      </c>
      <c r="B581" s="18" t="s">
        <v>997</v>
      </c>
      <c r="C581" s="18">
        <v>135</v>
      </c>
      <c r="D581" s="19" t="s">
        <v>982</v>
      </c>
      <c r="E581" s="20">
        <v>45104</v>
      </c>
      <c r="F581" s="18">
        <v>60</v>
      </c>
      <c r="G581" s="22">
        <v>4.3</v>
      </c>
      <c r="H581">
        <f>IF(MONTH(Call_Center[[#This Row],[Date of Call]])&lt;=6,2023,2024)</f>
        <v>2023</v>
      </c>
      <c r="I581" t="str">
        <f>TEXT(Call_Center[[#This Row],[Date of Call]],"DDDD")</f>
        <v>Tuesday</v>
      </c>
      <c r="J581" t="str" cm="1">
        <f t="array" ref="J581">_xlfn.IFS(Call_Center[[#This Row],[Duration]]&lt;=10,"Under 10 mins",Call_Center[[#This Row],[Duration]]&lt;=30,"10 to 30 min",Call_Center[[#This Row],[Duration]]&lt;=60,"30 to 60 min",Call_Center[[#This Row],[Duration]]&lt;=120,"1 to 2 hours",TRUE,"More than 2 hours")</f>
        <v>More than 2 hours</v>
      </c>
      <c r="K581">
        <f>ROUND(Call_Center[[#This Row],[Satisfaction Rating]],0)</f>
        <v>4</v>
      </c>
    </row>
    <row r="582" spans="1:11" x14ac:dyDescent="0.35">
      <c r="A582" s="21" t="s">
        <v>1565</v>
      </c>
      <c r="B582" s="18" t="s">
        <v>985</v>
      </c>
      <c r="C582" s="18">
        <v>101</v>
      </c>
      <c r="D582" s="19" t="s">
        <v>972</v>
      </c>
      <c r="E582" s="20">
        <v>45104</v>
      </c>
      <c r="F582" s="18">
        <v>84</v>
      </c>
      <c r="G582" s="22">
        <v>3.5</v>
      </c>
      <c r="H582">
        <f>IF(MONTH(Call_Center[[#This Row],[Date of Call]])&lt;=6,2023,2024)</f>
        <v>2023</v>
      </c>
      <c r="I582" t="str">
        <f>TEXT(Call_Center[[#This Row],[Date of Call]],"DDDD")</f>
        <v>Tuesday</v>
      </c>
      <c r="J582" t="str" cm="1">
        <f t="array" ref="J582">_xlfn.IFS(Call_Center[[#This Row],[Duration]]&lt;=10,"Under 10 mins",Call_Center[[#This Row],[Duration]]&lt;=30,"10 to 30 min",Call_Center[[#This Row],[Duration]]&lt;=60,"30 to 60 min",Call_Center[[#This Row],[Duration]]&lt;=120,"1 to 2 hours",TRUE,"More than 2 hours")</f>
        <v>1 to 2 hours</v>
      </c>
      <c r="K582">
        <f>ROUND(Call_Center[[#This Row],[Satisfaction Rating]],0)</f>
        <v>4</v>
      </c>
    </row>
    <row r="583" spans="1:11" x14ac:dyDescent="0.35">
      <c r="A583" s="21" t="s">
        <v>1566</v>
      </c>
      <c r="B583" s="18" t="s">
        <v>991</v>
      </c>
      <c r="C583" s="18">
        <v>80</v>
      </c>
      <c r="D583" s="19" t="s">
        <v>967</v>
      </c>
      <c r="E583" s="20">
        <v>45105</v>
      </c>
      <c r="F583" s="18">
        <v>68</v>
      </c>
      <c r="G583" s="22">
        <v>3.1</v>
      </c>
      <c r="H583">
        <f>IF(MONTH(Call_Center[[#This Row],[Date of Call]])&lt;=6,2023,2024)</f>
        <v>2023</v>
      </c>
      <c r="I583" t="str">
        <f>TEXT(Call_Center[[#This Row],[Date of Call]],"DDDD")</f>
        <v>Wednesday</v>
      </c>
      <c r="J583" t="str" cm="1">
        <f t="array" ref="J583">_xlfn.IFS(Call_Center[[#This Row],[Duration]]&lt;=10,"Under 10 mins",Call_Center[[#This Row],[Duration]]&lt;=30,"10 to 30 min",Call_Center[[#This Row],[Duration]]&lt;=60,"30 to 60 min",Call_Center[[#This Row],[Duration]]&lt;=120,"1 to 2 hours",TRUE,"More than 2 hours")</f>
        <v>1 to 2 hours</v>
      </c>
      <c r="K583">
        <f>ROUND(Call_Center[[#This Row],[Satisfaction Rating]],0)</f>
        <v>3</v>
      </c>
    </row>
    <row r="584" spans="1:11" x14ac:dyDescent="0.35">
      <c r="A584" s="21" t="s">
        <v>1567</v>
      </c>
      <c r="B584" s="18" t="s">
        <v>1018</v>
      </c>
      <c r="C584" s="18">
        <v>28</v>
      </c>
      <c r="D584" s="19" t="s">
        <v>967</v>
      </c>
      <c r="E584" s="20">
        <v>45105</v>
      </c>
      <c r="F584" s="18">
        <v>44</v>
      </c>
      <c r="G584" s="22">
        <v>2.9</v>
      </c>
      <c r="H584">
        <f>IF(MONTH(Call_Center[[#This Row],[Date of Call]])&lt;=6,2023,2024)</f>
        <v>2023</v>
      </c>
      <c r="I584" t="str">
        <f>TEXT(Call_Center[[#This Row],[Date of Call]],"DDDD")</f>
        <v>Wednesday</v>
      </c>
      <c r="J584" t="str" cm="1">
        <f t="array" ref="J584">_xlfn.IFS(Call_Center[[#This Row],[Duration]]&lt;=10,"Under 10 mins",Call_Center[[#This Row],[Duration]]&lt;=30,"10 to 30 min",Call_Center[[#This Row],[Duration]]&lt;=60,"30 to 60 min",Call_Center[[#This Row],[Duration]]&lt;=120,"1 to 2 hours",TRUE,"More than 2 hours")</f>
        <v>10 to 30 min</v>
      </c>
      <c r="K584">
        <f>ROUND(Call_Center[[#This Row],[Satisfaction Rating]],0)</f>
        <v>3</v>
      </c>
    </row>
    <row r="585" spans="1:11" x14ac:dyDescent="0.35">
      <c r="A585" s="21" t="s">
        <v>1568</v>
      </c>
      <c r="B585" s="18" t="s">
        <v>985</v>
      </c>
      <c r="C585" s="18">
        <v>102</v>
      </c>
      <c r="D585" s="19" t="s">
        <v>982</v>
      </c>
      <c r="E585" s="20">
        <v>45106</v>
      </c>
      <c r="F585" s="18">
        <v>99</v>
      </c>
      <c r="G585" s="22">
        <v>3.2</v>
      </c>
      <c r="H585">
        <f>IF(MONTH(Call_Center[[#This Row],[Date of Call]])&lt;=6,2023,2024)</f>
        <v>2023</v>
      </c>
      <c r="I585" t="str">
        <f>TEXT(Call_Center[[#This Row],[Date of Call]],"DDDD")</f>
        <v>Thursday</v>
      </c>
      <c r="J585" t="str" cm="1">
        <f t="array" ref="J585">_xlfn.IFS(Call_Center[[#This Row],[Duration]]&lt;=10,"Under 10 mins",Call_Center[[#This Row],[Duration]]&lt;=30,"10 to 30 min",Call_Center[[#This Row],[Duration]]&lt;=60,"30 to 60 min",Call_Center[[#This Row],[Duration]]&lt;=120,"1 to 2 hours",TRUE,"More than 2 hours")</f>
        <v>1 to 2 hours</v>
      </c>
      <c r="K585">
        <f>ROUND(Call_Center[[#This Row],[Satisfaction Rating]],0)</f>
        <v>3</v>
      </c>
    </row>
    <row r="586" spans="1:11" x14ac:dyDescent="0.35">
      <c r="A586" s="21" t="s">
        <v>1569</v>
      </c>
      <c r="B586" s="18" t="s">
        <v>989</v>
      </c>
      <c r="C586" s="18">
        <v>60</v>
      </c>
      <c r="D586" s="19" t="s">
        <v>982</v>
      </c>
      <c r="E586" s="20">
        <v>45107</v>
      </c>
      <c r="F586" s="18">
        <v>66</v>
      </c>
      <c r="G586" s="22">
        <v>3.2</v>
      </c>
      <c r="H586">
        <f>IF(MONTH(Call_Center[[#This Row],[Date of Call]])&lt;=6,2023,2024)</f>
        <v>2023</v>
      </c>
      <c r="I586" t="str">
        <f>TEXT(Call_Center[[#This Row],[Date of Call]],"DDDD")</f>
        <v>Friday</v>
      </c>
      <c r="J586" t="str" cm="1">
        <f t="array" ref="J586">_xlfn.IFS(Call_Center[[#This Row],[Duration]]&lt;=10,"Under 10 mins",Call_Center[[#This Row],[Duration]]&lt;=30,"10 to 30 min",Call_Center[[#This Row],[Duration]]&lt;=60,"30 to 60 min",Call_Center[[#This Row],[Duration]]&lt;=120,"1 to 2 hours",TRUE,"More than 2 hours")</f>
        <v>30 to 60 min</v>
      </c>
      <c r="K586">
        <f>ROUND(Call_Center[[#This Row],[Satisfaction Rating]],0)</f>
        <v>3</v>
      </c>
    </row>
    <row r="587" spans="1:11" x14ac:dyDescent="0.35">
      <c r="A587" s="21" t="s">
        <v>1570</v>
      </c>
      <c r="B587" s="18" t="s">
        <v>974</v>
      </c>
      <c r="C587" s="18">
        <v>103</v>
      </c>
      <c r="D587" s="19" t="s">
        <v>982</v>
      </c>
      <c r="E587" s="20">
        <v>45107</v>
      </c>
      <c r="F587" s="18">
        <v>102</v>
      </c>
      <c r="G587" s="22">
        <v>4.5</v>
      </c>
      <c r="H587">
        <f>IF(MONTH(Call_Center[[#This Row],[Date of Call]])&lt;=6,2023,2024)</f>
        <v>2023</v>
      </c>
      <c r="I587" t="str">
        <f>TEXT(Call_Center[[#This Row],[Date of Call]],"DDDD")</f>
        <v>Friday</v>
      </c>
      <c r="J587" t="str" cm="1">
        <f t="array" ref="J587">_xlfn.IFS(Call_Center[[#This Row],[Duration]]&lt;=10,"Under 10 mins",Call_Center[[#This Row],[Duration]]&lt;=30,"10 to 30 min",Call_Center[[#This Row],[Duration]]&lt;=60,"30 to 60 min",Call_Center[[#This Row],[Duration]]&lt;=120,"1 to 2 hours",TRUE,"More than 2 hours")</f>
        <v>1 to 2 hours</v>
      </c>
      <c r="K587">
        <f>ROUND(Call_Center[[#This Row],[Satisfaction Rating]],0)</f>
        <v>5</v>
      </c>
    </row>
    <row r="588" spans="1:11" x14ac:dyDescent="0.35">
      <c r="A588" s="21" t="s">
        <v>1571</v>
      </c>
      <c r="B588" s="18" t="s">
        <v>991</v>
      </c>
      <c r="C588" s="18">
        <v>90</v>
      </c>
      <c r="D588" s="19" t="s">
        <v>967</v>
      </c>
      <c r="E588" s="20">
        <v>45108</v>
      </c>
      <c r="F588" s="18">
        <v>129</v>
      </c>
      <c r="G588" s="22">
        <v>3.9</v>
      </c>
      <c r="H588">
        <f>IF(MONTH(Call_Center[[#This Row],[Date of Call]])&lt;=6,2023,2024)</f>
        <v>2024</v>
      </c>
      <c r="I588" t="str">
        <f>TEXT(Call_Center[[#This Row],[Date of Call]],"DDDD")</f>
        <v>Saturday</v>
      </c>
      <c r="J588" t="str" cm="1">
        <f t="array" ref="J588">_xlfn.IFS(Call_Center[[#This Row],[Duration]]&lt;=10,"Under 10 mins",Call_Center[[#This Row],[Duration]]&lt;=30,"10 to 30 min",Call_Center[[#This Row],[Duration]]&lt;=60,"30 to 60 min",Call_Center[[#This Row],[Duration]]&lt;=120,"1 to 2 hours",TRUE,"More than 2 hours")</f>
        <v>1 to 2 hours</v>
      </c>
      <c r="K588">
        <f>ROUND(Call_Center[[#This Row],[Satisfaction Rating]],0)</f>
        <v>4</v>
      </c>
    </row>
    <row r="589" spans="1:11" x14ac:dyDescent="0.35">
      <c r="A589" s="21" t="s">
        <v>1572</v>
      </c>
      <c r="B589" s="18" t="s">
        <v>1008</v>
      </c>
      <c r="C589" s="18">
        <v>88</v>
      </c>
      <c r="D589" s="19" t="s">
        <v>982</v>
      </c>
      <c r="E589" s="20">
        <v>45108</v>
      </c>
      <c r="F589" s="18">
        <v>80</v>
      </c>
      <c r="G589" s="22">
        <v>4.2</v>
      </c>
      <c r="H589">
        <f>IF(MONTH(Call_Center[[#This Row],[Date of Call]])&lt;=6,2023,2024)</f>
        <v>2024</v>
      </c>
      <c r="I589" t="str">
        <f>TEXT(Call_Center[[#This Row],[Date of Call]],"DDDD")</f>
        <v>Saturday</v>
      </c>
      <c r="J589" t="str" cm="1">
        <f t="array" ref="J589">_xlfn.IFS(Call_Center[[#This Row],[Duration]]&lt;=10,"Under 10 mins",Call_Center[[#This Row],[Duration]]&lt;=30,"10 to 30 min",Call_Center[[#This Row],[Duration]]&lt;=60,"30 to 60 min",Call_Center[[#This Row],[Duration]]&lt;=120,"1 to 2 hours",TRUE,"More than 2 hours")</f>
        <v>1 to 2 hours</v>
      </c>
      <c r="K589">
        <f>ROUND(Call_Center[[#This Row],[Satisfaction Rating]],0)</f>
        <v>4</v>
      </c>
    </row>
    <row r="590" spans="1:11" x14ac:dyDescent="0.35">
      <c r="A590" s="21" t="s">
        <v>1573</v>
      </c>
      <c r="B590" s="18" t="s">
        <v>974</v>
      </c>
      <c r="C590" s="18">
        <v>37</v>
      </c>
      <c r="D590" s="19" t="s">
        <v>982</v>
      </c>
      <c r="E590" s="20">
        <v>45108</v>
      </c>
      <c r="F590" s="18">
        <v>54</v>
      </c>
      <c r="G590" s="22">
        <v>1.8</v>
      </c>
      <c r="H590">
        <f>IF(MONTH(Call_Center[[#This Row],[Date of Call]])&lt;=6,2023,2024)</f>
        <v>2024</v>
      </c>
      <c r="I590" t="str">
        <f>TEXT(Call_Center[[#This Row],[Date of Call]],"DDDD")</f>
        <v>Saturday</v>
      </c>
      <c r="J590" t="str" cm="1">
        <f t="array" ref="J590">_xlfn.IFS(Call_Center[[#This Row],[Duration]]&lt;=10,"Under 10 mins",Call_Center[[#This Row],[Duration]]&lt;=30,"10 to 30 min",Call_Center[[#This Row],[Duration]]&lt;=60,"30 to 60 min",Call_Center[[#This Row],[Duration]]&lt;=120,"1 to 2 hours",TRUE,"More than 2 hours")</f>
        <v>30 to 60 min</v>
      </c>
      <c r="K590">
        <f>ROUND(Call_Center[[#This Row],[Satisfaction Rating]],0)</f>
        <v>2</v>
      </c>
    </row>
    <row r="591" spans="1:11" x14ac:dyDescent="0.35">
      <c r="A591" s="21" t="s">
        <v>1574</v>
      </c>
      <c r="B591" s="18" t="s">
        <v>1018</v>
      </c>
      <c r="C591" s="18">
        <v>142</v>
      </c>
      <c r="D591" s="19" t="s">
        <v>967</v>
      </c>
      <c r="E591" s="20">
        <v>45108</v>
      </c>
      <c r="F591" s="18">
        <v>116</v>
      </c>
      <c r="G591" s="22">
        <v>4.2</v>
      </c>
      <c r="H591">
        <f>IF(MONTH(Call_Center[[#This Row],[Date of Call]])&lt;=6,2023,2024)</f>
        <v>2024</v>
      </c>
      <c r="I591" t="str">
        <f>TEXT(Call_Center[[#This Row],[Date of Call]],"DDDD")</f>
        <v>Saturday</v>
      </c>
      <c r="J591" t="str" cm="1">
        <f t="array" ref="J591">_xlfn.IFS(Call_Center[[#This Row],[Duration]]&lt;=10,"Under 10 mins",Call_Center[[#This Row],[Duration]]&lt;=30,"10 to 30 min",Call_Center[[#This Row],[Duration]]&lt;=60,"30 to 60 min",Call_Center[[#This Row],[Duration]]&lt;=120,"1 to 2 hours",TRUE,"More than 2 hours")</f>
        <v>More than 2 hours</v>
      </c>
      <c r="K591">
        <f>ROUND(Call_Center[[#This Row],[Satisfaction Rating]],0)</f>
        <v>4</v>
      </c>
    </row>
    <row r="592" spans="1:11" x14ac:dyDescent="0.35">
      <c r="A592" s="21" t="s">
        <v>1575</v>
      </c>
      <c r="B592" s="18" t="s">
        <v>1018</v>
      </c>
      <c r="C592" s="18">
        <v>153</v>
      </c>
      <c r="D592" s="19" t="s">
        <v>977</v>
      </c>
      <c r="E592" s="20">
        <v>45108</v>
      </c>
      <c r="F592" s="18">
        <v>102</v>
      </c>
      <c r="G592" s="22">
        <v>3.1</v>
      </c>
      <c r="H592">
        <f>IF(MONTH(Call_Center[[#This Row],[Date of Call]])&lt;=6,2023,2024)</f>
        <v>2024</v>
      </c>
      <c r="I592" t="str">
        <f>TEXT(Call_Center[[#This Row],[Date of Call]],"DDDD")</f>
        <v>Saturday</v>
      </c>
      <c r="J592" t="str" cm="1">
        <f t="array" ref="J592">_xlfn.IFS(Call_Center[[#This Row],[Duration]]&lt;=10,"Under 10 mins",Call_Center[[#This Row],[Duration]]&lt;=30,"10 to 30 min",Call_Center[[#This Row],[Duration]]&lt;=60,"30 to 60 min",Call_Center[[#This Row],[Duration]]&lt;=120,"1 to 2 hours",TRUE,"More than 2 hours")</f>
        <v>More than 2 hours</v>
      </c>
      <c r="K592">
        <f>ROUND(Call_Center[[#This Row],[Satisfaction Rating]],0)</f>
        <v>3</v>
      </c>
    </row>
    <row r="593" spans="1:11" x14ac:dyDescent="0.35">
      <c r="A593" s="21" t="s">
        <v>1576</v>
      </c>
      <c r="B593" s="18" t="s">
        <v>1000</v>
      </c>
      <c r="C593" s="18">
        <v>128</v>
      </c>
      <c r="D593" s="19" t="s">
        <v>972</v>
      </c>
      <c r="E593" s="20">
        <v>45108</v>
      </c>
      <c r="F593" s="18">
        <v>140</v>
      </c>
      <c r="G593" s="22">
        <v>4.3</v>
      </c>
      <c r="H593">
        <f>IF(MONTH(Call_Center[[#This Row],[Date of Call]])&lt;=6,2023,2024)</f>
        <v>2024</v>
      </c>
      <c r="I593" t="str">
        <f>TEXT(Call_Center[[#This Row],[Date of Call]],"DDDD")</f>
        <v>Saturday</v>
      </c>
      <c r="J593" t="str" cm="1">
        <f t="array" ref="J593">_xlfn.IFS(Call_Center[[#This Row],[Duration]]&lt;=10,"Under 10 mins",Call_Center[[#This Row],[Duration]]&lt;=30,"10 to 30 min",Call_Center[[#This Row],[Duration]]&lt;=60,"30 to 60 min",Call_Center[[#This Row],[Duration]]&lt;=120,"1 to 2 hours",TRUE,"More than 2 hours")</f>
        <v>More than 2 hours</v>
      </c>
      <c r="K593">
        <f>ROUND(Call_Center[[#This Row],[Satisfaction Rating]],0)</f>
        <v>4</v>
      </c>
    </row>
    <row r="594" spans="1:11" x14ac:dyDescent="0.35">
      <c r="A594" s="21" t="s">
        <v>1577</v>
      </c>
      <c r="B594" s="18" t="s">
        <v>989</v>
      </c>
      <c r="C594" s="18">
        <v>110</v>
      </c>
      <c r="D594" s="19" t="s">
        <v>972</v>
      </c>
      <c r="E594" s="20">
        <v>45109</v>
      </c>
      <c r="F594" s="18">
        <v>104</v>
      </c>
      <c r="G594" s="22">
        <v>4.4000000000000004</v>
      </c>
      <c r="H594">
        <f>IF(MONTH(Call_Center[[#This Row],[Date of Call]])&lt;=6,2023,2024)</f>
        <v>2024</v>
      </c>
      <c r="I594" t="str">
        <f>TEXT(Call_Center[[#This Row],[Date of Call]],"DDDD")</f>
        <v>Sunday</v>
      </c>
      <c r="J594" t="str" cm="1">
        <f t="array" ref="J594">_xlfn.IFS(Call_Center[[#This Row],[Duration]]&lt;=10,"Under 10 mins",Call_Center[[#This Row],[Duration]]&lt;=30,"10 to 30 min",Call_Center[[#This Row],[Duration]]&lt;=60,"30 to 60 min",Call_Center[[#This Row],[Duration]]&lt;=120,"1 to 2 hours",TRUE,"More than 2 hours")</f>
        <v>1 to 2 hours</v>
      </c>
      <c r="K594">
        <f>ROUND(Call_Center[[#This Row],[Satisfaction Rating]],0)</f>
        <v>4</v>
      </c>
    </row>
    <row r="595" spans="1:11" x14ac:dyDescent="0.35">
      <c r="A595" s="21" t="s">
        <v>1578</v>
      </c>
      <c r="B595" s="18" t="s">
        <v>1000</v>
      </c>
      <c r="C595" s="18">
        <v>139</v>
      </c>
      <c r="D595" s="19" t="s">
        <v>982</v>
      </c>
      <c r="E595" s="20">
        <v>45109</v>
      </c>
      <c r="F595" s="18">
        <v>81</v>
      </c>
      <c r="G595" s="22">
        <v>4.4000000000000004</v>
      </c>
      <c r="H595">
        <f>IF(MONTH(Call_Center[[#This Row],[Date of Call]])&lt;=6,2023,2024)</f>
        <v>2024</v>
      </c>
      <c r="I595" t="str">
        <f>TEXT(Call_Center[[#This Row],[Date of Call]],"DDDD")</f>
        <v>Sunday</v>
      </c>
      <c r="J595" t="str" cm="1">
        <f t="array" ref="J595">_xlfn.IFS(Call_Center[[#This Row],[Duration]]&lt;=10,"Under 10 mins",Call_Center[[#This Row],[Duration]]&lt;=30,"10 to 30 min",Call_Center[[#This Row],[Duration]]&lt;=60,"30 to 60 min",Call_Center[[#This Row],[Duration]]&lt;=120,"1 to 2 hours",TRUE,"More than 2 hours")</f>
        <v>More than 2 hours</v>
      </c>
      <c r="K595">
        <f>ROUND(Call_Center[[#This Row],[Satisfaction Rating]],0)</f>
        <v>4</v>
      </c>
    </row>
    <row r="596" spans="1:11" x14ac:dyDescent="0.35">
      <c r="A596" s="21" t="s">
        <v>1579</v>
      </c>
      <c r="B596" s="18" t="s">
        <v>985</v>
      </c>
      <c r="C596" s="18">
        <v>109</v>
      </c>
      <c r="D596" s="19" t="s">
        <v>986</v>
      </c>
      <c r="E596" s="20">
        <v>45111</v>
      </c>
      <c r="F596" s="18">
        <v>140</v>
      </c>
      <c r="G596" s="22">
        <v>2.4</v>
      </c>
      <c r="H596">
        <f>IF(MONTH(Call_Center[[#This Row],[Date of Call]])&lt;=6,2023,2024)</f>
        <v>2024</v>
      </c>
      <c r="I596" t="str">
        <f>TEXT(Call_Center[[#This Row],[Date of Call]],"DDDD")</f>
        <v>Tuesday</v>
      </c>
      <c r="J596" t="str" cm="1">
        <f t="array" ref="J596">_xlfn.IFS(Call_Center[[#This Row],[Duration]]&lt;=10,"Under 10 mins",Call_Center[[#This Row],[Duration]]&lt;=30,"10 to 30 min",Call_Center[[#This Row],[Duration]]&lt;=60,"30 to 60 min",Call_Center[[#This Row],[Duration]]&lt;=120,"1 to 2 hours",TRUE,"More than 2 hours")</f>
        <v>1 to 2 hours</v>
      </c>
      <c r="K596">
        <f>ROUND(Call_Center[[#This Row],[Satisfaction Rating]],0)</f>
        <v>2</v>
      </c>
    </row>
    <row r="597" spans="1:11" x14ac:dyDescent="0.35">
      <c r="A597" s="21" t="s">
        <v>1580</v>
      </c>
      <c r="B597" s="18" t="s">
        <v>969</v>
      </c>
      <c r="C597" s="18">
        <v>57</v>
      </c>
      <c r="D597" s="19" t="s">
        <v>967</v>
      </c>
      <c r="E597" s="20">
        <v>45112</v>
      </c>
      <c r="F597" s="18">
        <v>120</v>
      </c>
      <c r="G597" s="22">
        <v>3.5</v>
      </c>
      <c r="H597">
        <f>IF(MONTH(Call_Center[[#This Row],[Date of Call]])&lt;=6,2023,2024)</f>
        <v>2024</v>
      </c>
      <c r="I597" t="str">
        <f>TEXT(Call_Center[[#This Row],[Date of Call]],"DDDD")</f>
        <v>Wednesday</v>
      </c>
      <c r="J597" t="str" cm="1">
        <f t="array" ref="J597">_xlfn.IFS(Call_Center[[#This Row],[Duration]]&lt;=10,"Under 10 mins",Call_Center[[#This Row],[Duration]]&lt;=30,"10 to 30 min",Call_Center[[#This Row],[Duration]]&lt;=60,"30 to 60 min",Call_Center[[#This Row],[Duration]]&lt;=120,"1 to 2 hours",TRUE,"More than 2 hours")</f>
        <v>30 to 60 min</v>
      </c>
      <c r="K597">
        <f>ROUND(Call_Center[[#This Row],[Satisfaction Rating]],0)</f>
        <v>4</v>
      </c>
    </row>
    <row r="598" spans="1:11" x14ac:dyDescent="0.35">
      <c r="A598" s="21" t="s">
        <v>1581</v>
      </c>
      <c r="B598" s="18" t="s">
        <v>985</v>
      </c>
      <c r="C598" s="18">
        <v>68</v>
      </c>
      <c r="D598" s="19" t="s">
        <v>982</v>
      </c>
      <c r="E598" s="20">
        <v>45112</v>
      </c>
      <c r="F598" s="18">
        <v>41</v>
      </c>
      <c r="G598" s="22">
        <v>3.1</v>
      </c>
      <c r="H598">
        <f>IF(MONTH(Call_Center[[#This Row],[Date of Call]])&lt;=6,2023,2024)</f>
        <v>2024</v>
      </c>
      <c r="I598" t="str">
        <f>TEXT(Call_Center[[#This Row],[Date of Call]],"DDDD")</f>
        <v>Wednesday</v>
      </c>
      <c r="J598" t="str" cm="1">
        <f t="array" ref="J598">_xlfn.IFS(Call_Center[[#This Row],[Duration]]&lt;=10,"Under 10 mins",Call_Center[[#This Row],[Duration]]&lt;=30,"10 to 30 min",Call_Center[[#This Row],[Duration]]&lt;=60,"30 to 60 min",Call_Center[[#This Row],[Duration]]&lt;=120,"1 to 2 hours",TRUE,"More than 2 hours")</f>
        <v>1 to 2 hours</v>
      </c>
      <c r="K598">
        <f>ROUND(Call_Center[[#This Row],[Satisfaction Rating]],0)</f>
        <v>3</v>
      </c>
    </row>
    <row r="599" spans="1:11" x14ac:dyDescent="0.35">
      <c r="A599" s="21" t="s">
        <v>1582</v>
      </c>
      <c r="B599" s="18" t="s">
        <v>976</v>
      </c>
      <c r="C599" s="18">
        <v>128</v>
      </c>
      <c r="D599" s="19" t="s">
        <v>982</v>
      </c>
      <c r="E599" s="20">
        <v>45112</v>
      </c>
      <c r="F599" s="18">
        <v>116</v>
      </c>
      <c r="G599" s="22">
        <v>2.2999999999999998</v>
      </c>
      <c r="H599">
        <f>IF(MONTH(Call_Center[[#This Row],[Date of Call]])&lt;=6,2023,2024)</f>
        <v>2024</v>
      </c>
      <c r="I599" t="str">
        <f>TEXT(Call_Center[[#This Row],[Date of Call]],"DDDD")</f>
        <v>Wednesday</v>
      </c>
      <c r="J599" t="str" cm="1">
        <f t="array" ref="J599">_xlfn.IFS(Call_Center[[#This Row],[Duration]]&lt;=10,"Under 10 mins",Call_Center[[#This Row],[Duration]]&lt;=30,"10 to 30 min",Call_Center[[#This Row],[Duration]]&lt;=60,"30 to 60 min",Call_Center[[#This Row],[Duration]]&lt;=120,"1 to 2 hours",TRUE,"More than 2 hours")</f>
        <v>More than 2 hours</v>
      </c>
      <c r="K599">
        <f>ROUND(Call_Center[[#This Row],[Satisfaction Rating]],0)</f>
        <v>2</v>
      </c>
    </row>
    <row r="600" spans="1:11" x14ac:dyDescent="0.35">
      <c r="A600" s="21" t="s">
        <v>1583</v>
      </c>
      <c r="B600" s="18" t="s">
        <v>966</v>
      </c>
      <c r="C600" s="18">
        <v>102</v>
      </c>
      <c r="D600" s="19" t="s">
        <v>967</v>
      </c>
      <c r="E600" s="20">
        <v>45113</v>
      </c>
      <c r="F600" s="18">
        <v>70</v>
      </c>
      <c r="G600" s="22">
        <v>2.8</v>
      </c>
      <c r="H600">
        <f>IF(MONTH(Call_Center[[#This Row],[Date of Call]])&lt;=6,2023,2024)</f>
        <v>2024</v>
      </c>
      <c r="I600" t="str">
        <f>TEXT(Call_Center[[#This Row],[Date of Call]],"DDDD")</f>
        <v>Thursday</v>
      </c>
      <c r="J600" t="str" cm="1">
        <f t="array" ref="J600">_xlfn.IFS(Call_Center[[#This Row],[Duration]]&lt;=10,"Under 10 mins",Call_Center[[#This Row],[Duration]]&lt;=30,"10 to 30 min",Call_Center[[#This Row],[Duration]]&lt;=60,"30 to 60 min",Call_Center[[#This Row],[Duration]]&lt;=120,"1 to 2 hours",TRUE,"More than 2 hours")</f>
        <v>1 to 2 hours</v>
      </c>
      <c r="K600">
        <f>ROUND(Call_Center[[#This Row],[Satisfaction Rating]],0)</f>
        <v>3</v>
      </c>
    </row>
    <row r="601" spans="1:11" x14ac:dyDescent="0.35">
      <c r="A601" s="21" t="s">
        <v>1584</v>
      </c>
      <c r="B601" s="18" t="s">
        <v>1000</v>
      </c>
      <c r="C601" s="18">
        <v>52</v>
      </c>
      <c r="D601" s="19" t="s">
        <v>977</v>
      </c>
      <c r="E601" s="20">
        <v>45113</v>
      </c>
      <c r="F601" s="18">
        <v>42</v>
      </c>
      <c r="G601" s="22">
        <v>4.5</v>
      </c>
      <c r="H601">
        <f>IF(MONTH(Call_Center[[#This Row],[Date of Call]])&lt;=6,2023,2024)</f>
        <v>2024</v>
      </c>
      <c r="I601" t="str">
        <f>TEXT(Call_Center[[#This Row],[Date of Call]],"DDDD")</f>
        <v>Thursday</v>
      </c>
      <c r="J601" t="str" cm="1">
        <f t="array" ref="J601">_xlfn.IFS(Call_Center[[#This Row],[Duration]]&lt;=10,"Under 10 mins",Call_Center[[#This Row],[Duration]]&lt;=30,"10 to 30 min",Call_Center[[#This Row],[Duration]]&lt;=60,"30 to 60 min",Call_Center[[#This Row],[Duration]]&lt;=120,"1 to 2 hours",TRUE,"More than 2 hours")</f>
        <v>30 to 60 min</v>
      </c>
      <c r="K601">
        <f>ROUND(Call_Center[[#This Row],[Satisfaction Rating]],0)</f>
        <v>5</v>
      </c>
    </row>
    <row r="602" spans="1:11" x14ac:dyDescent="0.35">
      <c r="A602" s="21" t="s">
        <v>1585</v>
      </c>
      <c r="B602" s="18" t="s">
        <v>976</v>
      </c>
      <c r="C602" s="18">
        <v>55</v>
      </c>
      <c r="D602" s="19" t="s">
        <v>972</v>
      </c>
      <c r="E602" s="20">
        <v>45114</v>
      </c>
      <c r="F602" s="18">
        <v>112</v>
      </c>
      <c r="G602" s="22">
        <v>4.5</v>
      </c>
      <c r="H602">
        <f>IF(MONTH(Call_Center[[#This Row],[Date of Call]])&lt;=6,2023,2024)</f>
        <v>2024</v>
      </c>
      <c r="I602" t="str">
        <f>TEXT(Call_Center[[#This Row],[Date of Call]],"DDDD")</f>
        <v>Friday</v>
      </c>
      <c r="J602" t="str" cm="1">
        <f t="array" ref="J602">_xlfn.IFS(Call_Center[[#This Row],[Duration]]&lt;=10,"Under 10 mins",Call_Center[[#This Row],[Duration]]&lt;=30,"10 to 30 min",Call_Center[[#This Row],[Duration]]&lt;=60,"30 to 60 min",Call_Center[[#This Row],[Duration]]&lt;=120,"1 to 2 hours",TRUE,"More than 2 hours")</f>
        <v>30 to 60 min</v>
      </c>
      <c r="K602">
        <f>ROUND(Call_Center[[#This Row],[Satisfaction Rating]],0)</f>
        <v>5</v>
      </c>
    </row>
    <row r="603" spans="1:11" x14ac:dyDescent="0.35">
      <c r="A603" s="21" t="s">
        <v>1586</v>
      </c>
      <c r="B603" s="18" t="s">
        <v>974</v>
      </c>
      <c r="C603" s="18">
        <v>107</v>
      </c>
      <c r="D603" s="19" t="s">
        <v>982</v>
      </c>
      <c r="E603" s="20">
        <v>45114</v>
      </c>
      <c r="F603" s="18">
        <v>20</v>
      </c>
      <c r="G603" s="22">
        <v>4.5</v>
      </c>
      <c r="H603">
        <f>IF(MONTH(Call_Center[[#This Row],[Date of Call]])&lt;=6,2023,2024)</f>
        <v>2024</v>
      </c>
      <c r="I603" t="str">
        <f>TEXT(Call_Center[[#This Row],[Date of Call]],"DDDD")</f>
        <v>Friday</v>
      </c>
      <c r="J603" t="str" cm="1">
        <f t="array" ref="J603">_xlfn.IFS(Call_Center[[#This Row],[Duration]]&lt;=10,"Under 10 mins",Call_Center[[#This Row],[Duration]]&lt;=30,"10 to 30 min",Call_Center[[#This Row],[Duration]]&lt;=60,"30 to 60 min",Call_Center[[#This Row],[Duration]]&lt;=120,"1 to 2 hours",TRUE,"More than 2 hours")</f>
        <v>1 to 2 hours</v>
      </c>
      <c r="K603">
        <f>ROUND(Call_Center[[#This Row],[Satisfaction Rating]],0)</f>
        <v>5</v>
      </c>
    </row>
    <row r="604" spans="1:11" x14ac:dyDescent="0.35">
      <c r="A604" s="21" t="s">
        <v>1587</v>
      </c>
      <c r="B604" s="18" t="s">
        <v>991</v>
      </c>
      <c r="C604" s="18">
        <v>88</v>
      </c>
      <c r="D604" s="19" t="s">
        <v>977</v>
      </c>
      <c r="E604" s="20">
        <v>45115</v>
      </c>
      <c r="F604" s="18">
        <v>110</v>
      </c>
      <c r="G604" s="22">
        <v>4.8</v>
      </c>
      <c r="H604">
        <f>IF(MONTH(Call_Center[[#This Row],[Date of Call]])&lt;=6,2023,2024)</f>
        <v>2024</v>
      </c>
      <c r="I604" t="str">
        <f>TEXT(Call_Center[[#This Row],[Date of Call]],"DDDD")</f>
        <v>Saturday</v>
      </c>
      <c r="J604" t="str" cm="1">
        <f t="array" ref="J604">_xlfn.IFS(Call_Center[[#This Row],[Duration]]&lt;=10,"Under 10 mins",Call_Center[[#This Row],[Duration]]&lt;=30,"10 to 30 min",Call_Center[[#This Row],[Duration]]&lt;=60,"30 to 60 min",Call_Center[[#This Row],[Duration]]&lt;=120,"1 to 2 hours",TRUE,"More than 2 hours")</f>
        <v>1 to 2 hours</v>
      </c>
      <c r="K604">
        <f>ROUND(Call_Center[[#This Row],[Satisfaction Rating]],0)</f>
        <v>5</v>
      </c>
    </row>
    <row r="605" spans="1:11" x14ac:dyDescent="0.35">
      <c r="A605" s="21" t="s">
        <v>1588</v>
      </c>
      <c r="B605" s="18" t="s">
        <v>980</v>
      </c>
      <c r="C605" s="18">
        <v>49</v>
      </c>
      <c r="D605" s="19" t="s">
        <v>977</v>
      </c>
      <c r="E605" s="20">
        <v>45115</v>
      </c>
      <c r="F605" s="18">
        <v>39</v>
      </c>
      <c r="G605" s="22">
        <v>4.5999999999999996</v>
      </c>
      <c r="H605">
        <f>IF(MONTH(Call_Center[[#This Row],[Date of Call]])&lt;=6,2023,2024)</f>
        <v>2024</v>
      </c>
      <c r="I605" t="str">
        <f>TEXT(Call_Center[[#This Row],[Date of Call]],"DDDD")</f>
        <v>Saturday</v>
      </c>
      <c r="J605" t="str" cm="1">
        <f t="array" ref="J605">_xlfn.IFS(Call_Center[[#This Row],[Duration]]&lt;=10,"Under 10 mins",Call_Center[[#This Row],[Duration]]&lt;=30,"10 to 30 min",Call_Center[[#This Row],[Duration]]&lt;=60,"30 to 60 min",Call_Center[[#This Row],[Duration]]&lt;=120,"1 to 2 hours",TRUE,"More than 2 hours")</f>
        <v>30 to 60 min</v>
      </c>
      <c r="K605">
        <f>ROUND(Call_Center[[#This Row],[Satisfaction Rating]],0)</f>
        <v>5</v>
      </c>
    </row>
    <row r="606" spans="1:11" x14ac:dyDescent="0.35">
      <c r="A606" s="21" t="s">
        <v>1589</v>
      </c>
      <c r="B606" s="18" t="s">
        <v>991</v>
      </c>
      <c r="C606" s="18">
        <v>72</v>
      </c>
      <c r="D606" s="19" t="s">
        <v>967</v>
      </c>
      <c r="E606" s="20">
        <v>45115</v>
      </c>
      <c r="F606" s="18">
        <v>76</v>
      </c>
      <c r="G606" s="22">
        <v>4.5</v>
      </c>
      <c r="H606">
        <f>IF(MONTH(Call_Center[[#This Row],[Date of Call]])&lt;=6,2023,2024)</f>
        <v>2024</v>
      </c>
      <c r="I606" t="str">
        <f>TEXT(Call_Center[[#This Row],[Date of Call]],"DDDD")</f>
        <v>Saturday</v>
      </c>
      <c r="J606" t="str" cm="1">
        <f t="array" ref="J606">_xlfn.IFS(Call_Center[[#This Row],[Duration]]&lt;=10,"Under 10 mins",Call_Center[[#This Row],[Duration]]&lt;=30,"10 to 30 min",Call_Center[[#This Row],[Duration]]&lt;=60,"30 to 60 min",Call_Center[[#This Row],[Duration]]&lt;=120,"1 to 2 hours",TRUE,"More than 2 hours")</f>
        <v>1 to 2 hours</v>
      </c>
      <c r="K606">
        <f>ROUND(Call_Center[[#This Row],[Satisfaction Rating]],0)</f>
        <v>5</v>
      </c>
    </row>
    <row r="607" spans="1:11" x14ac:dyDescent="0.35">
      <c r="A607" s="21" t="s">
        <v>1590</v>
      </c>
      <c r="B607" s="18" t="s">
        <v>969</v>
      </c>
      <c r="C607" s="18">
        <v>50</v>
      </c>
      <c r="D607" s="19" t="s">
        <v>967</v>
      </c>
      <c r="E607" s="20">
        <v>45115</v>
      </c>
      <c r="F607" s="18">
        <v>40</v>
      </c>
      <c r="G607" s="22">
        <v>5</v>
      </c>
      <c r="H607">
        <f>IF(MONTH(Call_Center[[#This Row],[Date of Call]])&lt;=6,2023,2024)</f>
        <v>2024</v>
      </c>
      <c r="I607" t="str">
        <f>TEXT(Call_Center[[#This Row],[Date of Call]],"DDDD")</f>
        <v>Saturday</v>
      </c>
      <c r="J607" t="str" cm="1">
        <f t="array" ref="J607">_xlfn.IFS(Call_Center[[#This Row],[Duration]]&lt;=10,"Under 10 mins",Call_Center[[#This Row],[Duration]]&lt;=30,"10 to 30 min",Call_Center[[#This Row],[Duration]]&lt;=60,"30 to 60 min",Call_Center[[#This Row],[Duration]]&lt;=120,"1 to 2 hours",TRUE,"More than 2 hours")</f>
        <v>30 to 60 min</v>
      </c>
      <c r="K607">
        <f>ROUND(Call_Center[[#This Row],[Satisfaction Rating]],0)</f>
        <v>5</v>
      </c>
    </row>
    <row r="608" spans="1:11" x14ac:dyDescent="0.35">
      <c r="A608" s="21" t="s">
        <v>1591</v>
      </c>
      <c r="B608" s="18" t="s">
        <v>991</v>
      </c>
      <c r="C608" s="18">
        <v>52</v>
      </c>
      <c r="D608" s="19" t="s">
        <v>982</v>
      </c>
      <c r="E608" s="20">
        <v>45115</v>
      </c>
      <c r="F608" s="18">
        <v>42</v>
      </c>
      <c r="G608" s="22">
        <v>4.8</v>
      </c>
      <c r="H608">
        <f>IF(MONTH(Call_Center[[#This Row],[Date of Call]])&lt;=6,2023,2024)</f>
        <v>2024</v>
      </c>
      <c r="I608" t="str">
        <f>TEXT(Call_Center[[#This Row],[Date of Call]],"DDDD")</f>
        <v>Saturday</v>
      </c>
      <c r="J608" t="str" cm="1">
        <f t="array" ref="J608">_xlfn.IFS(Call_Center[[#This Row],[Duration]]&lt;=10,"Under 10 mins",Call_Center[[#This Row],[Duration]]&lt;=30,"10 to 30 min",Call_Center[[#This Row],[Duration]]&lt;=60,"30 to 60 min",Call_Center[[#This Row],[Duration]]&lt;=120,"1 to 2 hours",TRUE,"More than 2 hours")</f>
        <v>30 to 60 min</v>
      </c>
      <c r="K608">
        <f>ROUND(Call_Center[[#This Row],[Satisfaction Rating]],0)</f>
        <v>5</v>
      </c>
    </row>
    <row r="609" spans="1:11" x14ac:dyDescent="0.35">
      <c r="A609" s="21" t="s">
        <v>1592</v>
      </c>
      <c r="B609" s="18" t="s">
        <v>971</v>
      </c>
      <c r="C609" s="18">
        <v>85</v>
      </c>
      <c r="D609" s="19" t="s">
        <v>986</v>
      </c>
      <c r="E609" s="20">
        <v>45116</v>
      </c>
      <c r="F609" s="18">
        <v>215</v>
      </c>
      <c r="G609" s="22">
        <v>3.5</v>
      </c>
      <c r="H609">
        <f>IF(MONTH(Call_Center[[#This Row],[Date of Call]])&lt;=6,2023,2024)</f>
        <v>2024</v>
      </c>
      <c r="I609" t="str">
        <f>TEXT(Call_Center[[#This Row],[Date of Call]],"DDDD")</f>
        <v>Sunday</v>
      </c>
      <c r="J609" t="str" cm="1">
        <f t="array" ref="J609">_xlfn.IFS(Call_Center[[#This Row],[Duration]]&lt;=10,"Under 10 mins",Call_Center[[#This Row],[Duration]]&lt;=30,"10 to 30 min",Call_Center[[#This Row],[Duration]]&lt;=60,"30 to 60 min",Call_Center[[#This Row],[Duration]]&lt;=120,"1 to 2 hours",TRUE,"More than 2 hours")</f>
        <v>1 to 2 hours</v>
      </c>
      <c r="K609">
        <f>ROUND(Call_Center[[#This Row],[Satisfaction Rating]],0)</f>
        <v>4</v>
      </c>
    </row>
    <row r="610" spans="1:11" x14ac:dyDescent="0.35">
      <c r="A610" s="21" t="s">
        <v>1593</v>
      </c>
      <c r="B610" s="18" t="s">
        <v>997</v>
      </c>
      <c r="C610" s="18">
        <v>98</v>
      </c>
      <c r="D610" s="19" t="s">
        <v>986</v>
      </c>
      <c r="E610" s="20">
        <v>45117</v>
      </c>
      <c r="F610" s="18">
        <v>130</v>
      </c>
      <c r="G610" s="22">
        <v>3.4</v>
      </c>
      <c r="H610">
        <f>IF(MONTH(Call_Center[[#This Row],[Date of Call]])&lt;=6,2023,2024)</f>
        <v>2024</v>
      </c>
      <c r="I610" t="str">
        <f>TEXT(Call_Center[[#This Row],[Date of Call]],"DDDD")</f>
        <v>Monday</v>
      </c>
      <c r="J610" t="str" cm="1">
        <f t="array" ref="J610">_xlfn.IFS(Call_Center[[#This Row],[Duration]]&lt;=10,"Under 10 mins",Call_Center[[#This Row],[Duration]]&lt;=30,"10 to 30 min",Call_Center[[#This Row],[Duration]]&lt;=60,"30 to 60 min",Call_Center[[#This Row],[Duration]]&lt;=120,"1 to 2 hours",TRUE,"More than 2 hours")</f>
        <v>1 to 2 hours</v>
      </c>
      <c r="K610">
        <f>ROUND(Call_Center[[#This Row],[Satisfaction Rating]],0)</f>
        <v>3</v>
      </c>
    </row>
    <row r="611" spans="1:11" x14ac:dyDescent="0.35">
      <c r="A611" s="21" t="s">
        <v>1594</v>
      </c>
      <c r="B611" s="18" t="s">
        <v>1005</v>
      </c>
      <c r="C611" s="18">
        <v>52</v>
      </c>
      <c r="D611" s="19" t="s">
        <v>986</v>
      </c>
      <c r="E611" s="20">
        <v>45117</v>
      </c>
      <c r="F611" s="18">
        <v>190</v>
      </c>
      <c r="G611" s="22">
        <v>3.3</v>
      </c>
      <c r="H611">
        <f>IF(MONTH(Call_Center[[#This Row],[Date of Call]])&lt;=6,2023,2024)</f>
        <v>2024</v>
      </c>
      <c r="I611" t="str">
        <f>TEXT(Call_Center[[#This Row],[Date of Call]],"DDDD")</f>
        <v>Monday</v>
      </c>
      <c r="J611" t="str" cm="1">
        <f t="array" ref="J611">_xlfn.IFS(Call_Center[[#This Row],[Duration]]&lt;=10,"Under 10 mins",Call_Center[[#This Row],[Duration]]&lt;=30,"10 to 30 min",Call_Center[[#This Row],[Duration]]&lt;=60,"30 to 60 min",Call_Center[[#This Row],[Duration]]&lt;=120,"1 to 2 hours",TRUE,"More than 2 hours")</f>
        <v>30 to 60 min</v>
      </c>
      <c r="K611">
        <f>ROUND(Call_Center[[#This Row],[Satisfaction Rating]],0)</f>
        <v>3</v>
      </c>
    </row>
    <row r="612" spans="1:11" x14ac:dyDescent="0.35">
      <c r="A612" s="21" t="s">
        <v>1595</v>
      </c>
      <c r="B612" s="18" t="s">
        <v>976</v>
      </c>
      <c r="C612" s="18">
        <v>154</v>
      </c>
      <c r="D612" s="19" t="s">
        <v>977</v>
      </c>
      <c r="E612" s="20">
        <v>45117</v>
      </c>
      <c r="F612" s="18">
        <v>164</v>
      </c>
      <c r="G612" s="22">
        <v>4.9000000000000004</v>
      </c>
      <c r="H612">
        <f>IF(MONTH(Call_Center[[#This Row],[Date of Call]])&lt;=6,2023,2024)</f>
        <v>2024</v>
      </c>
      <c r="I612" t="str">
        <f>TEXT(Call_Center[[#This Row],[Date of Call]],"DDDD")</f>
        <v>Monday</v>
      </c>
      <c r="J612" t="str" cm="1">
        <f t="array" ref="J612">_xlfn.IFS(Call_Center[[#This Row],[Duration]]&lt;=10,"Under 10 mins",Call_Center[[#This Row],[Duration]]&lt;=30,"10 to 30 min",Call_Center[[#This Row],[Duration]]&lt;=60,"30 to 60 min",Call_Center[[#This Row],[Duration]]&lt;=120,"1 to 2 hours",TRUE,"More than 2 hours")</f>
        <v>More than 2 hours</v>
      </c>
      <c r="K612">
        <f>ROUND(Call_Center[[#This Row],[Satisfaction Rating]],0)</f>
        <v>5</v>
      </c>
    </row>
    <row r="613" spans="1:11" x14ac:dyDescent="0.35">
      <c r="A613" s="21" t="s">
        <v>1596</v>
      </c>
      <c r="B613" s="18" t="s">
        <v>1038</v>
      </c>
      <c r="C613" s="18">
        <v>131</v>
      </c>
      <c r="D613" s="19" t="s">
        <v>972</v>
      </c>
      <c r="E613" s="20">
        <v>45118</v>
      </c>
      <c r="F613" s="18">
        <v>76</v>
      </c>
      <c r="G613" s="22">
        <v>4.5</v>
      </c>
      <c r="H613">
        <f>IF(MONTH(Call_Center[[#This Row],[Date of Call]])&lt;=6,2023,2024)</f>
        <v>2024</v>
      </c>
      <c r="I613" t="str">
        <f>TEXT(Call_Center[[#This Row],[Date of Call]],"DDDD")</f>
        <v>Tuesday</v>
      </c>
      <c r="J613" t="str" cm="1">
        <f t="array" ref="J613">_xlfn.IFS(Call_Center[[#This Row],[Duration]]&lt;=10,"Under 10 mins",Call_Center[[#This Row],[Duration]]&lt;=30,"10 to 30 min",Call_Center[[#This Row],[Duration]]&lt;=60,"30 to 60 min",Call_Center[[#This Row],[Duration]]&lt;=120,"1 to 2 hours",TRUE,"More than 2 hours")</f>
        <v>More than 2 hours</v>
      </c>
      <c r="K613">
        <f>ROUND(Call_Center[[#This Row],[Satisfaction Rating]],0)</f>
        <v>5</v>
      </c>
    </row>
    <row r="614" spans="1:11" x14ac:dyDescent="0.35">
      <c r="A614" s="21" t="s">
        <v>1597</v>
      </c>
      <c r="B614" s="18" t="s">
        <v>971</v>
      </c>
      <c r="C614" s="18">
        <v>73</v>
      </c>
      <c r="D614" s="19" t="s">
        <v>972</v>
      </c>
      <c r="E614" s="20">
        <v>45119</v>
      </c>
      <c r="F614" s="18">
        <v>87</v>
      </c>
      <c r="G614" s="22">
        <v>4.8</v>
      </c>
      <c r="H614">
        <f>IF(MONTH(Call_Center[[#This Row],[Date of Call]])&lt;=6,2023,2024)</f>
        <v>2024</v>
      </c>
      <c r="I614" t="str">
        <f>TEXT(Call_Center[[#This Row],[Date of Call]],"DDDD")</f>
        <v>Wednesday</v>
      </c>
      <c r="J614" t="str" cm="1">
        <f t="array" ref="J614">_xlfn.IFS(Call_Center[[#This Row],[Duration]]&lt;=10,"Under 10 mins",Call_Center[[#This Row],[Duration]]&lt;=30,"10 to 30 min",Call_Center[[#This Row],[Duration]]&lt;=60,"30 to 60 min",Call_Center[[#This Row],[Duration]]&lt;=120,"1 to 2 hours",TRUE,"More than 2 hours")</f>
        <v>1 to 2 hours</v>
      </c>
      <c r="K614">
        <f>ROUND(Call_Center[[#This Row],[Satisfaction Rating]],0)</f>
        <v>5</v>
      </c>
    </row>
    <row r="615" spans="1:11" x14ac:dyDescent="0.35">
      <c r="A615" s="21" t="s">
        <v>1598</v>
      </c>
      <c r="B615" s="18" t="s">
        <v>989</v>
      </c>
      <c r="C615" s="18">
        <v>45</v>
      </c>
      <c r="D615" s="19" t="s">
        <v>986</v>
      </c>
      <c r="E615" s="20">
        <v>45119</v>
      </c>
      <c r="F615" s="18">
        <v>84</v>
      </c>
      <c r="G615" s="22">
        <v>4.8</v>
      </c>
      <c r="H615">
        <f>IF(MONTH(Call_Center[[#This Row],[Date of Call]])&lt;=6,2023,2024)</f>
        <v>2024</v>
      </c>
      <c r="I615" t="str">
        <f>TEXT(Call_Center[[#This Row],[Date of Call]],"DDDD")</f>
        <v>Wednesday</v>
      </c>
      <c r="J615" t="str" cm="1">
        <f t="array" ref="J615">_xlfn.IFS(Call_Center[[#This Row],[Duration]]&lt;=10,"Under 10 mins",Call_Center[[#This Row],[Duration]]&lt;=30,"10 to 30 min",Call_Center[[#This Row],[Duration]]&lt;=60,"30 to 60 min",Call_Center[[#This Row],[Duration]]&lt;=120,"1 to 2 hours",TRUE,"More than 2 hours")</f>
        <v>30 to 60 min</v>
      </c>
      <c r="K615">
        <f>ROUND(Call_Center[[#This Row],[Satisfaction Rating]],0)</f>
        <v>5</v>
      </c>
    </row>
    <row r="616" spans="1:11" x14ac:dyDescent="0.35">
      <c r="A616" s="21" t="s">
        <v>1599</v>
      </c>
      <c r="B616" s="18" t="s">
        <v>1000</v>
      </c>
      <c r="C616" s="18">
        <v>114</v>
      </c>
      <c r="D616" s="19" t="s">
        <v>982</v>
      </c>
      <c r="E616" s="20">
        <v>45119</v>
      </c>
      <c r="F616" s="18">
        <v>114</v>
      </c>
      <c r="G616" s="22">
        <v>3.9</v>
      </c>
      <c r="H616">
        <f>IF(MONTH(Call_Center[[#This Row],[Date of Call]])&lt;=6,2023,2024)</f>
        <v>2024</v>
      </c>
      <c r="I616" t="str">
        <f>TEXT(Call_Center[[#This Row],[Date of Call]],"DDDD")</f>
        <v>Wednesday</v>
      </c>
      <c r="J616" t="str" cm="1">
        <f t="array" ref="J616">_xlfn.IFS(Call_Center[[#This Row],[Duration]]&lt;=10,"Under 10 mins",Call_Center[[#This Row],[Duration]]&lt;=30,"10 to 30 min",Call_Center[[#This Row],[Duration]]&lt;=60,"30 to 60 min",Call_Center[[#This Row],[Duration]]&lt;=120,"1 to 2 hours",TRUE,"More than 2 hours")</f>
        <v>1 to 2 hours</v>
      </c>
      <c r="K616">
        <f>ROUND(Call_Center[[#This Row],[Satisfaction Rating]],0)</f>
        <v>4</v>
      </c>
    </row>
    <row r="617" spans="1:11" x14ac:dyDescent="0.35">
      <c r="A617" s="21" t="s">
        <v>1600</v>
      </c>
      <c r="B617" s="18" t="s">
        <v>997</v>
      </c>
      <c r="C617" s="18">
        <v>69</v>
      </c>
      <c r="D617" s="19" t="s">
        <v>972</v>
      </c>
      <c r="E617" s="20">
        <v>45120</v>
      </c>
      <c r="F617" s="18">
        <v>56</v>
      </c>
      <c r="G617" s="22">
        <v>3.9</v>
      </c>
      <c r="H617">
        <f>IF(MONTH(Call_Center[[#This Row],[Date of Call]])&lt;=6,2023,2024)</f>
        <v>2024</v>
      </c>
      <c r="I617" t="str">
        <f>TEXT(Call_Center[[#This Row],[Date of Call]],"DDDD")</f>
        <v>Thursday</v>
      </c>
      <c r="J617" t="str" cm="1">
        <f t="array" ref="J617">_xlfn.IFS(Call_Center[[#This Row],[Duration]]&lt;=10,"Under 10 mins",Call_Center[[#This Row],[Duration]]&lt;=30,"10 to 30 min",Call_Center[[#This Row],[Duration]]&lt;=60,"30 to 60 min",Call_Center[[#This Row],[Duration]]&lt;=120,"1 to 2 hours",TRUE,"More than 2 hours")</f>
        <v>1 to 2 hours</v>
      </c>
      <c r="K617">
        <f>ROUND(Call_Center[[#This Row],[Satisfaction Rating]],0)</f>
        <v>4</v>
      </c>
    </row>
    <row r="618" spans="1:11" x14ac:dyDescent="0.35">
      <c r="A618" s="21" t="s">
        <v>1601</v>
      </c>
      <c r="B618" s="18" t="s">
        <v>1038</v>
      </c>
      <c r="C618" s="18">
        <v>33</v>
      </c>
      <c r="D618" s="19" t="s">
        <v>977</v>
      </c>
      <c r="E618" s="20">
        <v>45120</v>
      </c>
      <c r="F618" s="18">
        <v>27</v>
      </c>
      <c r="G618" s="22">
        <v>3.7</v>
      </c>
      <c r="H618">
        <f>IF(MONTH(Call_Center[[#This Row],[Date of Call]])&lt;=6,2023,2024)</f>
        <v>2024</v>
      </c>
      <c r="I618" t="str">
        <f>TEXT(Call_Center[[#This Row],[Date of Call]],"DDDD")</f>
        <v>Thursday</v>
      </c>
      <c r="J618" t="str" cm="1">
        <f t="array" ref="J618">_xlfn.IFS(Call_Center[[#This Row],[Duration]]&lt;=10,"Under 10 mins",Call_Center[[#This Row],[Duration]]&lt;=30,"10 to 30 min",Call_Center[[#This Row],[Duration]]&lt;=60,"30 to 60 min",Call_Center[[#This Row],[Duration]]&lt;=120,"1 to 2 hours",TRUE,"More than 2 hours")</f>
        <v>30 to 60 min</v>
      </c>
      <c r="K618">
        <f>ROUND(Call_Center[[#This Row],[Satisfaction Rating]],0)</f>
        <v>4</v>
      </c>
    </row>
    <row r="619" spans="1:11" x14ac:dyDescent="0.35">
      <c r="A619" s="21" t="s">
        <v>1602</v>
      </c>
      <c r="B619" s="18" t="s">
        <v>969</v>
      </c>
      <c r="C619" s="18">
        <v>31</v>
      </c>
      <c r="D619" s="19" t="s">
        <v>967</v>
      </c>
      <c r="E619" s="20">
        <v>45121</v>
      </c>
      <c r="F619" s="18">
        <v>84</v>
      </c>
      <c r="G619" s="22">
        <v>4.8</v>
      </c>
      <c r="H619">
        <f>IF(MONTH(Call_Center[[#This Row],[Date of Call]])&lt;=6,2023,2024)</f>
        <v>2024</v>
      </c>
      <c r="I619" t="str">
        <f>TEXT(Call_Center[[#This Row],[Date of Call]],"DDDD")</f>
        <v>Friday</v>
      </c>
      <c r="J619" t="str" cm="1">
        <f t="array" ref="J619">_xlfn.IFS(Call_Center[[#This Row],[Duration]]&lt;=10,"Under 10 mins",Call_Center[[#This Row],[Duration]]&lt;=30,"10 to 30 min",Call_Center[[#This Row],[Duration]]&lt;=60,"30 to 60 min",Call_Center[[#This Row],[Duration]]&lt;=120,"1 to 2 hours",TRUE,"More than 2 hours")</f>
        <v>30 to 60 min</v>
      </c>
      <c r="K619">
        <f>ROUND(Call_Center[[#This Row],[Satisfaction Rating]],0)</f>
        <v>5</v>
      </c>
    </row>
    <row r="620" spans="1:11" x14ac:dyDescent="0.35">
      <c r="A620" s="21" t="s">
        <v>1603</v>
      </c>
      <c r="B620" s="18" t="s">
        <v>989</v>
      </c>
      <c r="C620" s="18">
        <v>168</v>
      </c>
      <c r="D620" s="19" t="s">
        <v>977</v>
      </c>
      <c r="E620" s="20">
        <v>45121</v>
      </c>
      <c r="F620" s="18">
        <v>72</v>
      </c>
      <c r="G620" s="22">
        <v>3.5</v>
      </c>
      <c r="H620">
        <f>IF(MONTH(Call_Center[[#This Row],[Date of Call]])&lt;=6,2023,2024)</f>
        <v>2024</v>
      </c>
      <c r="I620" t="str">
        <f>TEXT(Call_Center[[#This Row],[Date of Call]],"DDDD")</f>
        <v>Friday</v>
      </c>
      <c r="J620" t="str" cm="1">
        <f t="array" ref="J620">_xlfn.IFS(Call_Center[[#This Row],[Duration]]&lt;=10,"Under 10 mins",Call_Center[[#This Row],[Duration]]&lt;=30,"10 to 30 min",Call_Center[[#This Row],[Duration]]&lt;=60,"30 to 60 min",Call_Center[[#This Row],[Duration]]&lt;=120,"1 to 2 hours",TRUE,"More than 2 hours")</f>
        <v>More than 2 hours</v>
      </c>
      <c r="K620">
        <f>ROUND(Call_Center[[#This Row],[Satisfaction Rating]],0)</f>
        <v>4</v>
      </c>
    </row>
    <row r="621" spans="1:11" x14ac:dyDescent="0.35">
      <c r="A621" s="21" t="s">
        <v>1604</v>
      </c>
      <c r="B621" s="18" t="s">
        <v>971</v>
      </c>
      <c r="C621" s="18">
        <v>111</v>
      </c>
      <c r="D621" s="19" t="s">
        <v>982</v>
      </c>
      <c r="E621" s="20">
        <v>45122</v>
      </c>
      <c r="F621" s="18">
        <v>126</v>
      </c>
      <c r="G621" s="22">
        <v>4.2</v>
      </c>
      <c r="H621">
        <f>IF(MONTH(Call_Center[[#This Row],[Date of Call]])&lt;=6,2023,2024)</f>
        <v>2024</v>
      </c>
      <c r="I621" t="str">
        <f>TEXT(Call_Center[[#This Row],[Date of Call]],"DDDD")</f>
        <v>Saturday</v>
      </c>
      <c r="J621" t="str" cm="1">
        <f t="array" ref="J621">_xlfn.IFS(Call_Center[[#This Row],[Duration]]&lt;=10,"Under 10 mins",Call_Center[[#This Row],[Duration]]&lt;=30,"10 to 30 min",Call_Center[[#This Row],[Duration]]&lt;=60,"30 to 60 min",Call_Center[[#This Row],[Duration]]&lt;=120,"1 to 2 hours",TRUE,"More than 2 hours")</f>
        <v>1 to 2 hours</v>
      </c>
      <c r="K621">
        <f>ROUND(Call_Center[[#This Row],[Satisfaction Rating]],0)</f>
        <v>4</v>
      </c>
    </row>
    <row r="622" spans="1:11" x14ac:dyDescent="0.35">
      <c r="A622" s="21" t="s">
        <v>1605</v>
      </c>
      <c r="B622" s="18" t="s">
        <v>969</v>
      </c>
      <c r="C622" s="18">
        <v>80</v>
      </c>
      <c r="D622" s="19" t="s">
        <v>977</v>
      </c>
      <c r="E622" s="20">
        <v>45123</v>
      </c>
      <c r="F622" s="18">
        <v>88</v>
      </c>
      <c r="G622" s="22">
        <v>4.9000000000000004</v>
      </c>
      <c r="H622">
        <f>IF(MONTH(Call_Center[[#This Row],[Date of Call]])&lt;=6,2023,2024)</f>
        <v>2024</v>
      </c>
      <c r="I622" t="str">
        <f>TEXT(Call_Center[[#This Row],[Date of Call]],"DDDD")</f>
        <v>Sunday</v>
      </c>
      <c r="J622" t="str" cm="1">
        <f t="array" ref="J622">_xlfn.IFS(Call_Center[[#This Row],[Duration]]&lt;=10,"Under 10 mins",Call_Center[[#This Row],[Duration]]&lt;=30,"10 to 30 min",Call_Center[[#This Row],[Duration]]&lt;=60,"30 to 60 min",Call_Center[[#This Row],[Duration]]&lt;=120,"1 to 2 hours",TRUE,"More than 2 hours")</f>
        <v>1 to 2 hours</v>
      </c>
      <c r="K622">
        <f>ROUND(Call_Center[[#This Row],[Satisfaction Rating]],0)</f>
        <v>5</v>
      </c>
    </row>
    <row r="623" spans="1:11" x14ac:dyDescent="0.35">
      <c r="A623" s="21" t="s">
        <v>1606</v>
      </c>
      <c r="B623" s="18" t="s">
        <v>966</v>
      </c>
      <c r="C623" s="18">
        <v>37</v>
      </c>
      <c r="D623" s="19" t="s">
        <v>977</v>
      </c>
      <c r="E623" s="20">
        <v>45123</v>
      </c>
      <c r="F623" s="18">
        <v>124</v>
      </c>
      <c r="G623" s="22">
        <v>4.5999999999999996</v>
      </c>
      <c r="H623">
        <f>IF(MONTH(Call_Center[[#This Row],[Date of Call]])&lt;=6,2023,2024)</f>
        <v>2024</v>
      </c>
      <c r="I623" t="str">
        <f>TEXT(Call_Center[[#This Row],[Date of Call]],"DDDD")</f>
        <v>Sunday</v>
      </c>
      <c r="J623" t="str" cm="1">
        <f t="array" ref="J623">_xlfn.IFS(Call_Center[[#This Row],[Duration]]&lt;=10,"Under 10 mins",Call_Center[[#This Row],[Duration]]&lt;=30,"10 to 30 min",Call_Center[[#This Row],[Duration]]&lt;=60,"30 to 60 min",Call_Center[[#This Row],[Duration]]&lt;=120,"1 to 2 hours",TRUE,"More than 2 hours")</f>
        <v>30 to 60 min</v>
      </c>
      <c r="K623">
        <f>ROUND(Call_Center[[#This Row],[Satisfaction Rating]],0)</f>
        <v>5</v>
      </c>
    </row>
    <row r="624" spans="1:11" x14ac:dyDescent="0.35">
      <c r="A624" s="21" t="s">
        <v>1607</v>
      </c>
      <c r="B624" s="18" t="s">
        <v>1018</v>
      </c>
      <c r="C624" s="18">
        <v>137</v>
      </c>
      <c r="D624" s="19" t="s">
        <v>977</v>
      </c>
      <c r="E624" s="20">
        <v>45124</v>
      </c>
      <c r="F624" s="18">
        <v>84</v>
      </c>
      <c r="G624" s="22">
        <v>2.6</v>
      </c>
      <c r="H624">
        <f>IF(MONTH(Call_Center[[#This Row],[Date of Call]])&lt;=6,2023,2024)</f>
        <v>2024</v>
      </c>
      <c r="I624" t="str">
        <f>TEXT(Call_Center[[#This Row],[Date of Call]],"DDDD")</f>
        <v>Monday</v>
      </c>
      <c r="J624" t="str" cm="1">
        <f t="array" ref="J624">_xlfn.IFS(Call_Center[[#This Row],[Duration]]&lt;=10,"Under 10 mins",Call_Center[[#This Row],[Duration]]&lt;=30,"10 to 30 min",Call_Center[[#This Row],[Duration]]&lt;=60,"30 to 60 min",Call_Center[[#This Row],[Duration]]&lt;=120,"1 to 2 hours",TRUE,"More than 2 hours")</f>
        <v>More than 2 hours</v>
      </c>
      <c r="K624">
        <f>ROUND(Call_Center[[#This Row],[Satisfaction Rating]],0)</f>
        <v>3</v>
      </c>
    </row>
    <row r="625" spans="1:11" x14ac:dyDescent="0.35">
      <c r="A625" s="21" t="s">
        <v>1608</v>
      </c>
      <c r="B625" s="18" t="s">
        <v>997</v>
      </c>
      <c r="C625" s="18">
        <v>123</v>
      </c>
      <c r="D625" s="19" t="s">
        <v>982</v>
      </c>
      <c r="E625" s="20">
        <v>45124</v>
      </c>
      <c r="F625" s="18">
        <v>80</v>
      </c>
      <c r="G625" s="22">
        <v>2.7</v>
      </c>
      <c r="H625">
        <f>IF(MONTH(Call_Center[[#This Row],[Date of Call]])&lt;=6,2023,2024)</f>
        <v>2024</v>
      </c>
      <c r="I625" t="str">
        <f>TEXT(Call_Center[[#This Row],[Date of Call]],"DDDD")</f>
        <v>Monday</v>
      </c>
      <c r="J625" t="str" cm="1">
        <f t="array" ref="J625">_xlfn.IFS(Call_Center[[#This Row],[Duration]]&lt;=10,"Under 10 mins",Call_Center[[#This Row],[Duration]]&lt;=30,"10 to 30 min",Call_Center[[#This Row],[Duration]]&lt;=60,"30 to 60 min",Call_Center[[#This Row],[Duration]]&lt;=120,"1 to 2 hours",TRUE,"More than 2 hours")</f>
        <v>More than 2 hours</v>
      </c>
      <c r="K625">
        <f>ROUND(Call_Center[[#This Row],[Satisfaction Rating]],0)</f>
        <v>3</v>
      </c>
    </row>
    <row r="626" spans="1:11" x14ac:dyDescent="0.35">
      <c r="A626" s="21" t="s">
        <v>1609</v>
      </c>
      <c r="B626" s="18" t="s">
        <v>1008</v>
      </c>
      <c r="C626" s="18">
        <v>105</v>
      </c>
      <c r="D626" s="19" t="s">
        <v>982</v>
      </c>
      <c r="E626" s="20">
        <v>45125</v>
      </c>
      <c r="F626" s="18">
        <v>176</v>
      </c>
      <c r="G626" s="22">
        <v>4.7</v>
      </c>
      <c r="H626">
        <f>IF(MONTH(Call_Center[[#This Row],[Date of Call]])&lt;=6,2023,2024)</f>
        <v>2024</v>
      </c>
      <c r="I626" t="str">
        <f>TEXT(Call_Center[[#This Row],[Date of Call]],"DDDD")</f>
        <v>Tuesday</v>
      </c>
      <c r="J626" t="str" cm="1">
        <f t="array" ref="J626">_xlfn.IFS(Call_Center[[#This Row],[Duration]]&lt;=10,"Under 10 mins",Call_Center[[#This Row],[Duration]]&lt;=30,"10 to 30 min",Call_Center[[#This Row],[Duration]]&lt;=60,"30 to 60 min",Call_Center[[#This Row],[Duration]]&lt;=120,"1 to 2 hours",TRUE,"More than 2 hours")</f>
        <v>1 to 2 hours</v>
      </c>
      <c r="K626">
        <f>ROUND(Call_Center[[#This Row],[Satisfaction Rating]],0)</f>
        <v>5</v>
      </c>
    </row>
    <row r="627" spans="1:11" x14ac:dyDescent="0.35">
      <c r="A627" s="21" t="s">
        <v>1610</v>
      </c>
      <c r="B627" s="18" t="s">
        <v>966</v>
      </c>
      <c r="C627" s="18">
        <v>76</v>
      </c>
      <c r="D627" s="19" t="s">
        <v>986</v>
      </c>
      <c r="E627" s="20">
        <v>45126</v>
      </c>
      <c r="F627" s="18">
        <v>84</v>
      </c>
      <c r="G627" s="22">
        <v>3.9</v>
      </c>
      <c r="H627">
        <f>IF(MONTH(Call_Center[[#This Row],[Date of Call]])&lt;=6,2023,2024)</f>
        <v>2024</v>
      </c>
      <c r="I627" t="str">
        <f>TEXT(Call_Center[[#This Row],[Date of Call]],"DDDD")</f>
        <v>Wednesday</v>
      </c>
      <c r="J627" t="str" cm="1">
        <f t="array" ref="J627">_xlfn.IFS(Call_Center[[#This Row],[Duration]]&lt;=10,"Under 10 mins",Call_Center[[#This Row],[Duration]]&lt;=30,"10 to 30 min",Call_Center[[#This Row],[Duration]]&lt;=60,"30 to 60 min",Call_Center[[#This Row],[Duration]]&lt;=120,"1 to 2 hours",TRUE,"More than 2 hours")</f>
        <v>1 to 2 hours</v>
      </c>
      <c r="K627">
        <f>ROUND(Call_Center[[#This Row],[Satisfaction Rating]],0)</f>
        <v>4</v>
      </c>
    </row>
    <row r="628" spans="1:11" x14ac:dyDescent="0.35">
      <c r="A628" s="21" t="s">
        <v>1611</v>
      </c>
      <c r="B628" s="18" t="s">
        <v>969</v>
      </c>
      <c r="C628" s="18">
        <v>144</v>
      </c>
      <c r="D628" s="19" t="s">
        <v>986</v>
      </c>
      <c r="E628" s="20">
        <v>45126</v>
      </c>
      <c r="F628" s="18">
        <v>164</v>
      </c>
      <c r="G628" s="22">
        <v>2.8</v>
      </c>
      <c r="H628">
        <f>IF(MONTH(Call_Center[[#This Row],[Date of Call]])&lt;=6,2023,2024)</f>
        <v>2024</v>
      </c>
      <c r="I628" t="str">
        <f>TEXT(Call_Center[[#This Row],[Date of Call]],"DDDD")</f>
        <v>Wednesday</v>
      </c>
      <c r="J628" t="str" cm="1">
        <f t="array" ref="J628">_xlfn.IFS(Call_Center[[#This Row],[Duration]]&lt;=10,"Under 10 mins",Call_Center[[#This Row],[Duration]]&lt;=30,"10 to 30 min",Call_Center[[#This Row],[Duration]]&lt;=60,"30 to 60 min",Call_Center[[#This Row],[Duration]]&lt;=120,"1 to 2 hours",TRUE,"More than 2 hours")</f>
        <v>More than 2 hours</v>
      </c>
      <c r="K628">
        <f>ROUND(Call_Center[[#This Row],[Satisfaction Rating]],0)</f>
        <v>3</v>
      </c>
    </row>
    <row r="629" spans="1:11" x14ac:dyDescent="0.35">
      <c r="A629" s="21" t="s">
        <v>1612</v>
      </c>
      <c r="B629" s="18" t="s">
        <v>1038</v>
      </c>
      <c r="C629" s="18">
        <v>109</v>
      </c>
      <c r="D629" s="19" t="s">
        <v>967</v>
      </c>
      <c r="E629" s="20">
        <v>45126</v>
      </c>
      <c r="F629" s="18">
        <v>132</v>
      </c>
      <c r="G629" s="22">
        <v>3.1</v>
      </c>
      <c r="H629">
        <f>IF(MONTH(Call_Center[[#This Row],[Date of Call]])&lt;=6,2023,2024)</f>
        <v>2024</v>
      </c>
      <c r="I629" t="str">
        <f>TEXT(Call_Center[[#This Row],[Date of Call]],"DDDD")</f>
        <v>Wednesday</v>
      </c>
      <c r="J629" t="str" cm="1">
        <f t="array" ref="J629">_xlfn.IFS(Call_Center[[#This Row],[Duration]]&lt;=10,"Under 10 mins",Call_Center[[#This Row],[Duration]]&lt;=30,"10 to 30 min",Call_Center[[#This Row],[Duration]]&lt;=60,"30 to 60 min",Call_Center[[#This Row],[Duration]]&lt;=120,"1 to 2 hours",TRUE,"More than 2 hours")</f>
        <v>1 to 2 hours</v>
      </c>
      <c r="K629">
        <f>ROUND(Call_Center[[#This Row],[Satisfaction Rating]],0)</f>
        <v>3</v>
      </c>
    </row>
    <row r="630" spans="1:11" x14ac:dyDescent="0.35">
      <c r="A630" s="21" t="s">
        <v>1613</v>
      </c>
      <c r="B630" s="18" t="s">
        <v>997</v>
      </c>
      <c r="C630" s="18">
        <v>172</v>
      </c>
      <c r="D630" s="19" t="s">
        <v>977</v>
      </c>
      <c r="E630" s="20">
        <v>45127</v>
      </c>
      <c r="F630" s="18">
        <v>27</v>
      </c>
      <c r="G630" s="22">
        <v>4.2</v>
      </c>
      <c r="H630">
        <f>IF(MONTH(Call_Center[[#This Row],[Date of Call]])&lt;=6,2023,2024)</f>
        <v>2024</v>
      </c>
      <c r="I630" t="str">
        <f>TEXT(Call_Center[[#This Row],[Date of Call]],"DDDD")</f>
        <v>Thursday</v>
      </c>
      <c r="J630" t="str" cm="1">
        <f t="array" ref="J630">_xlfn.IFS(Call_Center[[#This Row],[Duration]]&lt;=10,"Under 10 mins",Call_Center[[#This Row],[Duration]]&lt;=30,"10 to 30 min",Call_Center[[#This Row],[Duration]]&lt;=60,"30 to 60 min",Call_Center[[#This Row],[Duration]]&lt;=120,"1 to 2 hours",TRUE,"More than 2 hours")</f>
        <v>More than 2 hours</v>
      </c>
      <c r="K630">
        <f>ROUND(Call_Center[[#This Row],[Satisfaction Rating]],0)</f>
        <v>4</v>
      </c>
    </row>
    <row r="631" spans="1:11" x14ac:dyDescent="0.35">
      <c r="A631" s="21" t="s">
        <v>1614</v>
      </c>
      <c r="B631" s="18" t="s">
        <v>969</v>
      </c>
      <c r="C631" s="18">
        <v>56</v>
      </c>
      <c r="D631" s="19" t="s">
        <v>982</v>
      </c>
      <c r="E631" s="20">
        <v>45127</v>
      </c>
      <c r="F631" s="18">
        <v>27</v>
      </c>
      <c r="G631" s="22">
        <v>4.3</v>
      </c>
      <c r="H631">
        <f>IF(MONTH(Call_Center[[#This Row],[Date of Call]])&lt;=6,2023,2024)</f>
        <v>2024</v>
      </c>
      <c r="I631" t="str">
        <f>TEXT(Call_Center[[#This Row],[Date of Call]],"DDDD")</f>
        <v>Thursday</v>
      </c>
      <c r="J631" t="str" cm="1">
        <f t="array" ref="J631">_xlfn.IFS(Call_Center[[#This Row],[Duration]]&lt;=10,"Under 10 mins",Call_Center[[#This Row],[Duration]]&lt;=30,"10 to 30 min",Call_Center[[#This Row],[Duration]]&lt;=60,"30 to 60 min",Call_Center[[#This Row],[Duration]]&lt;=120,"1 to 2 hours",TRUE,"More than 2 hours")</f>
        <v>30 to 60 min</v>
      </c>
      <c r="K631">
        <f>ROUND(Call_Center[[#This Row],[Satisfaction Rating]],0)</f>
        <v>4</v>
      </c>
    </row>
    <row r="632" spans="1:11" x14ac:dyDescent="0.35">
      <c r="A632" s="21" t="s">
        <v>1615</v>
      </c>
      <c r="B632" s="18" t="s">
        <v>969</v>
      </c>
      <c r="C632" s="18">
        <v>121</v>
      </c>
      <c r="D632" s="19" t="s">
        <v>972</v>
      </c>
      <c r="E632" s="20">
        <v>45127</v>
      </c>
      <c r="F632" s="18">
        <v>20</v>
      </c>
      <c r="G632" s="22">
        <v>2.7</v>
      </c>
      <c r="H632">
        <f>IF(MONTH(Call_Center[[#This Row],[Date of Call]])&lt;=6,2023,2024)</f>
        <v>2024</v>
      </c>
      <c r="I632" t="str">
        <f>TEXT(Call_Center[[#This Row],[Date of Call]],"DDDD")</f>
        <v>Thursday</v>
      </c>
      <c r="J632" t="str" cm="1">
        <f t="array" ref="J632">_xlfn.IFS(Call_Center[[#This Row],[Duration]]&lt;=10,"Under 10 mins",Call_Center[[#This Row],[Duration]]&lt;=30,"10 to 30 min",Call_Center[[#This Row],[Duration]]&lt;=60,"30 to 60 min",Call_Center[[#This Row],[Duration]]&lt;=120,"1 to 2 hours",TRUE,"More than 2 hours")</f>
        <v>More than 2 hours</v>
      </c>
      <c r="K632">
        <f>ROUND(Call_Center[[#This Row],[Satisfaction Rating]],0)</f>
        <v>3</v>
      </c>
    </row>
    <row r="633" spans="1:11" x14ac:dyDescent="0.35">
      <c r="A633" s="21" t="s">
        <v>1616</v>
      </c>
      <c r="B633" s="18" t="s">
        <v>997</v>
      </c>
      <c r="C633" s="18">
        <v>41</v>
      </c>
      <c r="D633" s="19" t="s">
        <v>982</v>
      </c>
      <c r="E633" s="20">
        <v>45128</v>
      </c>
      <c r="F633" s="18">
        <v>112</v>
      </c>
      <c r="G633" s="22">
        <v>2.2999999999999998</v>
      </c>
      <c r="H633">
        <f>IF(MONTH(Call_Center[[#This Row],[Date of Call]])&lt;=6,2023,2024)</f>
        <v>2024</v>
      </c>
      <c r="I633" t="str">
        <f>TEXT(Call_Center[[#This Row],[Date of Call]],"DDDD")</f>
        <v>Friday</v>
      </c>
      <c r="J633" t="str" cm="1">
        <f t="array" ref="J633">_xlfn.IFS(Call_Center[[#This Row],[Duration]]&lt;=10,"Under 10 mins",Call_Center[[#This Row],[Duration]]&lt;=30,"10 to 30 min",Call_Center[[#This Row],[Duration]]&lt;=60,"30 to 60 min",Call_Center[[#This Row],[Duration]]&lt;=120,"1 to 2 hours",TRUE,"More than 2 hours")</f>
        <v>30 to 60 min</v>
      </c>
      <c r="K633">
        <f>ROUND(Call_Center[[#This Row],[Satisfaction Rating]],0)</f>
        <v>2</v>
      </c>
    </row>
    <row r="634" spans="1:11" x14ac:dyDescent="0.35">
      <c r="A634" s="21" t="s">
        <v>1617</v>
      </c>
      <c r="B634" s="18" t="s">
        <v>974</v>
      </c>
      <c r="C634" s="18">
        <v>60</v>
      </c>
      <c r="D634" s="19" t="s">
        <v>977</v>
      </c>
      <c r="E634" s="20">
        <v>45128</v>
      </c>
      <c r="F634" s="18">
        <v>60</v>
      </c>
      <c r="G634" s="22">
        <v>2.2999999999999998</v>
      </c>
      <c r="H634">
        <f>IF(MONTH(Call_Center[[#This Row],[Date of Call]])&lt;=6,2023,2024)</f>
        <v>2024</v>
      </c>
      <c r="I634" t="str">
        <f>TEXT(Call_Center[[#This Row],[Date of Call]],"DDDD")</f>
        <v>Friday</v>
      </c>
      <c r="J634" t="str" cm="1">
        <f t="array" ref="J634">_xlfn.IFS(Call_Center[[#This Row],[Duration]]&lt;=10,"Under 10 mins",Call_Center[[#This Row],[Duration]]&lt;=30,"10 to 30 min",Call_Center[[#This Row],[Duration]]&lt;=60,"30 to 60 min",Call_Center[[#This Row],[Duration]]&lt;=120,"1 to 2 hours",TRUE,"More than 2 hours")</f>
        <v>30 to 60 min</v>
      </c>
      <c r="K634">
        <f>ROUND(Call_Center[[#This Row],[Satisfaction Rating]],0)</f>
        <v>2</v>
      </c>
    </row>
    <row r="635" spans="1:11" x14ac:dyDescent="0.35">
      <c r="A635" s="21" t="s">
        <v>1618</v>
      </c>
      <c r="B635" s="18" t="s">
        <v>974</v>
      </c>
      <c r="C635" s="18">
        <v>144</v>
      </c>
      <c r="D635" s="19" t="s">
        <v>977</v>
      </c>
      <c r="E635" s="20">
        <v>45129</v>
      </c>
      <c r="F635" s="18">
        <v>102</v>
      </c>
      <c r="G635" s="22">
        <v>2.9</v>
      </c>
      <c r="H635">
        <f>IF(MONTH(Call_Center[[#This Row],[Date of Call]])&lt;=6,2023,2024)</f>
        <v>2024</v>
      </c>
      <c r="I635" t="str">
        <f>TEXT(Call_Center[[#This Row],[Date of Call]],"DDDD")</f>
        <v>Saturday</v>
      </c>
      <c r="J635" t="str" cm="1">
        <f t="array" ref="J635">_xlfn.IFS(Call_Center[[#This Row],[Duration]]&lt;=10,"Under 10 mins",Call_Center[[#This Row],[Duration]]&lt;=30,"10 to 30 min",Call_Center[[#This Row],[Duration]]&lt;=60,"30 to 60 min",Call_Center[[#This Row],[Duration]]&lt;=120,"1 to 2 hours",TRUE,"More than 2 hours")</f>
        <v>More than 2 hours</v>
      </c>
      <c r="K635">
        <f>ROUND(Call_Center[[#This Row],[Satisfaction Rating]],0)</f>
        <v>3</v>
      </c>
    </row>
    <row r="636" spans="1:11" x14ac:dyDescent="0.35">
      <c r="A636" s="21" t="s">
        <v>1619</v>
      </c>
      <c r="B636" s="18" t="s">
        <v>976</v>
      </c>
      <c r="C636" s="18">
        <v>67</v>
      </c>
      <c r="D636" s="19" t="s">
        <v>977</v>
      </c>
      <c r="E636" s="20">
        <v>45129</v>
      </c>
      <c r="F636" s="18">
        <v>38</v>
      </c>
      <c r="G636" s="22">
        <v>4.2</v>
      </c>
      <c r="H636">
        <f>IF(MONTH(Call_Center[[#This Row],[Date of Call]])&lt;=6,2023,2024)</f>
        <v>2024</v>
      </c>
      <c r="I636" t="str">
        <f>TEXT(Call_Center[[#This Row],[Date of Call]],"DDDD")</f>
        <v>Saturday</v>
      </c>
      <c r="J636" t="str" cm="1">
        <f t="array" ref="J636">_xlfn.IFS(Call_Center[[#This Row],[Duration]]&lt;=10,"Under 10 mins",Call_Center[[#This Row],[Duration]]&lt;=30,"10 to 30 min",Call_Center[[#This Row],[Duration]]&lt;=60,"30 to 60 min",Call_Center[[#This Row],[Duration]]&lt;=120,"1 to 2 hours",TRUE,"More than 2 hours")</f>
        <v>1 to 2 hours</v>
      </c>
      <c r="K636">
        <f>ROUND(Call_Center[[#This Row],[Satisfaction Rating]],0)</f>
        <v>4</v>
      </c>
    </row>
    <row r="637" spans="1:11" x14ac:dyDescent="0.35">
      <c r="A637" s="21" t="s">
        <v>1620</v>
      </c>
      <c r="B637" s="18" t="s">
        <v>997</v>
      </c>
      <c r="C637" s="18">
        <v>162</v>
      </c>
      <c r="D637" s="19" t="s">
        <v>967</v>
      </c>
      <c r="E637" s="20">
        <v>45129</v>
      </c>
      <c r="F637" s="18">
        <v>82</v>
      </c>
      <c r="G637" s="22">
        <v>4.5999999999999996</v>
      </c>
      <c r="H637">
        <f>IF(MONTH(Call_Center[[#This Row],[Date of Call]])&lt;=6,2023,2024)</f>
        <v>2024</v>
      </c>
      <c r="I637" t="str">
        <f>TEXT(Call_Center[[#This Row],[Date of Call]],"DDDD")</f>
        <v>Saturday</v>
      </c>
      <c r="J637" t="str" cm="1">
        <f t="array" ref="J637">_xlfn.IFS(Call_Center[[#This Row],[Duration]]&lt;=10,"Under 10 mins",Call_Center[[#This Row],[Duration]]&lt;=30,"10 to 30 min",Call_Center[[#This Row],[Duration]]&lt;=60,"30 to 60 min",Call_Center[[#This Row],[Duration]]&lt;=120,"1 to 2 hours",TRUE,"More than 2 hours")</f>
        <v>More than 2 hours</v>
      </c>
      <c r="K637">
        <f>ROUND(Call_Center[[#This Row],[Satisfaction Rating]],0)</f>
        <v>5</v>
      </c>
    </row>
    <row r="638" spans="1:11" x14ac:dyDescent="0.35">
      <c r="A638" s="21" t="s">
        <v>1621</v>
      </c>
      <c r="B638" s="18" t="s">
        <v>974</v>
      </c>
      <c r="C638" s="18">
        <v>87</v>
      </c>
      <c r="D638" s="19" t="s">
        <v>972</v>
      </c>
      <c r="E638" s="20">
        <v>45132</v>
      </c>
      <c r="F638" s="18">
        <v>125</v>
      </c>
      <c r="G638" s="22">
        <v>4.5</v>
      </c>
      <c r="H638">
        <f>IF(MONTH(Call_Center[[#This Row],[Date of Call]])&lt;=6,2023,2024)</f>
        <v>2024</v>
      </c>
      <c r="I638" t="str">
        <f>TEXT(Call_Center[[#This Row],[Date of Call]],"DDDD")</f>
        <v>Tuesday</v>
      </c>
      <c r="J638" t="str" cm="1">
        <f t="array" ref="J638">_xlfn.IFS(Call_Center[[#This Row],[Duration]]&lt;=10,"Under 10 mins",Call_Center[[#This Row],[Duration]]&lt;=30,"10 to 30 min",Call_Center[[#This Row],[Duration]]&lt;=60,"30 to 60 min",Call_Center[[#This Row],[Duration]]&lt;=120,"1 to 2 hours",TRUE,"More than 2 hours")</f>
        <v>1 to 2 hours</v>
      </c>
      <c r="K638">
        <f>ROUND(Call_Center[[#This Row],[Satisfaction Rating]],0)</f>
        <v>5</v>
      </c>
    </row>
    <row r="639" spans="1:11" x14ac:dyDescent="0.35">
      <c r="A639" s="21" t="s">
        <v>1622</v>
      </c>
      <c r="B639" s="18" t="s">
        <v>1005</v>
      </c>
      <c r="C639" s="18">
        <v>10</v>
      </c>
      <c r="D639" s="19" t="s">
        <v>986</v>
      </c>
      <c r="E639" s="20">
        <v>45133</v>
      </c>
      <c r="F639" s="18">
        <v>72</v>
      </c>
      <c r="G639" s="22">
        <v>3.7</v>
      </c>
      <c r="H639">
        <f>IF(MONTH(Call_Center[[#This Row],[Date of Call]])&lt;=6,2023,2024)</f>
        <v>2024</v>
      </c>
      <c r="I639" t="str">
        <f>TEXT(Call_Center[[#This Row],[Date of Call]],"DDDD")</f>
        <v>Wednesday</v>
      </c>
      <c r="J639" t="str" cm="1">
        <f t="array" ref="J639">_xlfn.IFS(Call_Center[[#This Row],[Duration]]&lt;=10,"Under 10 mins",Call_Center[[#This Row],[Duration]]&lt;=30,"10 to 30 min",Call_Center[[#This Row],[Duration]]&lt;=60,"30 to 60 min",Call_Center[[#This Row],[Duration]]&lt;=120,"1 to 2 hours",TRUE,"More than 2 hours")</f>
        <v>Under 10 mins</v>
      </c>
      <c r="K639">
        <f>ROUND(Call_Center[[#This Row],[Satisfaction Rating]],0)</f>
        <v>4</v>
      </c>
    </row>
    <row r="640" spans="1:11" x14ac:dyDescent="0.35">
      <c r="A640" s="21" t="s">
        <v>1623</v>
      </c>
      <c r="B640" s="18" t="s">
        <v>969</v>
      </c>
      <c r="C640" s="18">
        <v>138</v>
      </c>
      <c r="D640" s="19" t="s">
        <v>986</v>
      </c>
      <c r="E640" s="20">
        <v>45133</v>
      </c>
      <c r="F640" s="18">
        <v>195</v>
      </c>
      <c r="G640" s="22">
        <v>4.0999999999999996</v>
      </c>
      <c r="H640">
        <f>IF(MONTH(Call_Center[[#This Row],[Date of Call]])&lt;=6,2023,2024)</f>
        <v>2024</v>
      </c>
      <c r="I640" t="str">
        <f>TEXT(Call_Center[[#This Row],[Date of Call]],"DDDD")</f>
        <v>Wednesday</v>
      </c>
      <c r="J640" t="str" cm="1">
        <f t="array" ref="J640">_xlfn.IFS(Call_Center[[#This Row],[Duration]]&lt;=10,"Under 10 mins",Call_Center[[#This Row],[Duration]]&lt;=30,"10 to 30 min",Call_Center[[#This Row],[Duration]]&lt;=60,"30 to 60 min",Call_Center[[#This Row],[Duration]]&lt;=120,"1 to 2 hours",TRUE,"More than 2 hours")</f>
        <v>More than 2 hours</v>
      </c>
      <c r="K640">
        <f>ROUND(Call_Center[[#This Row],[Satisfaction Rating]],0)</f>
        <v>4</v>
      </c>
    </row>
    <row r="641" spans="1:11" x14ac:dyDescent="0.35">
      <c r="A641" s="21" t="s">
        <v>1624</v>
      </c>
      <c r="B641" s="18" t="s">
        <v>997</v>
      </c>
      <c r="C641" s="18">
        <v>31</v>
      </c>
      <c r="D641" s="19" t="s">
        <v>986</v>
      </c>
      <c r="E641" s="20">
        <v>45134</v>
      </c>
      <c r="F641" s="18">
        <v>160</v>
      </c>
      <c r="G641" s="22">
        <v>3.4</v>
      </c>
      <c r="H641">
        <f>IF(MONTH(Call_Center[[#This Row],[Date of Call]])&lt;=6,2023,2024)</f>
        <v>2024</v>
      </c>
      <c r="I641" t="str">
        <f>TEXT(Call_Center[[#This Row],[Date of Call]],"DDDD")</f>
        <v>Thursday</v>
      </c>
      <c r="J641" t="str" cm="1">
        <f t="array" ref="J641">_xlfn.IFS(Call_Center[[#This Row],[Duration]]&lt;=10,"Under 10 mins",Call_Center[[#This Row],[Duration]]&lt;=30,"10 to 30 min",Call_Center[[#This Row],[Duration]]&lt;=60,"30 to 60 min",Call_Center[[#This Row],[Duration]]&lt;=120,"1 to 2 hours",TRUE,"More than 2 hours")</f>
        <v>30 to 60 min</v>
      </c>
      <c r="K641">
        <f>ROUND(Call_Center[[#This Row],[Satisfaction Rating]],0)</f>
        <v>3</v>
      </c>
    </row>
    <row r="642" spans="1:11" x14ac:dyDescent="0.35">
      <c r="A642" s="21" t="s">
        <v>1625</v>
      </c>
      <c r="B642" s="18" t="s">
        <v>1008</v>
      </c>
      <c r="C642" s="18">
        <v>75</v>
      </c>
      <c r="D642" s="19" t="s">
        <v>967</v>
      </c>
      <c r="E642" s="20">
        <v>45134</v>
      </c>
      <c r="F642" s="18">
        <v>78</v>
      </c>
      <c r="G642" s="22">
        <v>3.3</v>
      </c>
      <c r="H642">
        <f>IF(MONTH(Call_Center[[#This Row],[Date of Call]])&lt;=6,2023,2024)</f>
        <v>2024</v>
      </c>
      <c r="I642" t="str">
        <f>TEXT(Call_Center[[#This Row],[Date of Call]],"DDDD")</f>
        <v>Thursday</v>
      </c>
      <c r="J642" t="str" cm="1">
        <f t="array" ref="J642">_xlfn.IFS(Call_Center[[#This Row],[Duration]]&lt;=10,"Under 10 mins",Call_Center[[#This Row],[Duration]]&lt;=30,"10 to 30 min",Call_Center[[#This Row],[Duration]]&lt;=60,"30 to 60 min",Call_Center[[#This Row],[Duration]]&lt;=120,"1 to 2 hours",TRUE,"More than 2 hours")</f>
        <v>1 to 2 hours</v>
      </c>
      <c r="K642">
        <f>ROUND(Call_Center[[#This Row],[Satisfaction Rating]],0)</f>
        <v>3</v>
      </c>
    </row>
    <row r="643" spans="1:11" x14ac:dyDescent="0.35">
      <c r="A643" s="21" t="s">
        <v>1626</v>
      </c>
      <c r="B643" s="18" t="s">
        <v>966</v>
      </c>
      <c r="C643" s="18">
        <v>65</v>
      </c>
      <c r="D643" s="19" t="s">
        <v>967</v>
      </c>
      <c r="E643" s="20">
        <v>45135</v>
      </c>
      <c r="F643" s="18">
        <v>70</v>
      </c>
      <c r="G643" s="22">
        <v>4.4000000000000004</v>
      </c>
      <c r="H643">
        <f>IF(MONTH(Call_Center[[#This Row],[Date of Call]])&lt;=6,2023,2024)</f>
        <v>2024</v>
      </c>
      <c r="I643" t="str">
        <f>TEXT(Call_Center[[#This Row],[Date of Call]],"DDDD")</f>
        <v>Friday</v>
      </c>
      <c r="J643" t="str" cm="1">
        <f t="array" ref="J643">_xlfn.IFS(Call_Center[[#This Row],[Duration]]&lt;=10,"Under 10 mins",Call_Center[[#This Row],[Duration]]&lt;=30,"10 to 30 min",Call_Center[[#This Row],[Duration]]&lt;=60,"30 to 60 min",Call_Center[[#This Row],[Duration]]&lt;=120,"1 to 2 hours",TRUE,"More than 2 hours")</f>
        <v>1 to 2 hours</v>
      </c>
      <c r="K643">
        <f>ROUND(Call_Center[[#This Row],[Satisfaction Rating]],0)</f>
        <v>4</v>
      </c>
    </row>
    <row r="644" spans="1:11" x14ac:dyDescent="0.35">
      <c r="A644" s="21" t="s">
        <v>1627</v>
      </c>
      <c r="B644" s="18" t="s">
        <v>971</v>
      </c>
      <c r="C644" s="18">
        <v>106</v>
      </c>
      <c r="D644" s="19" t="s">
        <v>982</v>
      </c>
      <c r="E644" s="20">
        <v>45135</v>
      </c>
      <c r="F644" s="18">
        <v>105</v>
      </c>
      <c r="G644" s="22">
        <v>4.2</v>
      </c>
      <c r="H644">
        <f>IF(MONTH(Call_Center[[#This Row],[Date of Call]])&lt;=6,2023,2024)</f>
        <v>2024</v>
      </c>
      <c r="I644" t="str">
        <f>TEXT(Call_Center[[#This Row],[Date of Call]],"DDDD")</f>
        <v>Friday</v>
      </c>
      <c r="J644" t="str" cm="1">
        <f t="array" ref="J644">_xlfn.IFS(Call_Center[[#This Row],[Duration]]&lt;=10,"Under 10 mins",Call_Center[[#This Row],[Duration]]&lt;=30,"10 to 30 min",Call_Center[[#This Row],[Duration]]&lt;=60,"30 to 60 min",Call_Center[[#This Row],[Duration]]&lt;=120,"1 to 2 hours",TRUE,"More than 2 hours")</f>
        <v>1 to 2 hours</v>
      </c>
      <c r="K644">
        <f>ROUND(Call_Center[[#This Row],[Satisfaction Rating]],0)</f>
        <v>4</v>
      </c>
    </row>
    <row r="645" spans="1:11" x14ac:dyDescent="0.35">
      <c r="A645" s="21" t="s">
        <v>1628</v>
      </c>
      <c r="B645" s="18" t="s">
        <v>966</v>
      </c>
      <c r="C645" s="18">
        <v>107</v>
      </c>
      <c r="D645" s="19" t="s">
        <v>982</v>
      </c>
      <c r="E645" s="20">
        <v>45136</v>
      </c>
      <c r="F645" s="18">
        <v>78</v>
      </c>
      <c r="G645" s="22">
        <v>3.4</v>
      </c>
      <c r="H645">
        <f>IF(MONTH(Call_Center[[#This Row],[Date of Call]])&lt;=6,2023,2024)</f>
        <v>2024</v>
      </c>
      <c r="I645" t="str">
        <f>TEXT(Call_Center[[#This Row],[Date of Call]],"DDDD")</f>
        <v>Saturday</v>
      </c>
      <c r="J645" t="str" cm="1">
        <f t="array" ref="J645">_xlfn.IFS(Call_Center[[#This Row],[Duration]]&lt;=10,"Under 10 mins",Call_Center[[#This Row],[Duration]]&lt;=30,"10 to 30 min",Call_Center[[#This Row],[Duration]]&lt;=60,"30 to 60 min",Call_Center[[#This Row],[Duration]]&lt;=120,"1 to 2 hours",TRUE,"More than 2 hours")</f>
        <v>1 to 2 hours</v>
      </c>
      <c r="K645">
        <f>ROUND(Call_Center[[#This Row],[Satisfaction Rating]],0)</f>
        <v>3</v>
      </c>
    </row>
    <row r="646" spans="1:11" x14ac:dyDescent="0.35">
      <c r="A646" s="21" t="s">
        <v>1629</v>
      </c>
      <c r="B646" s="18" t="s">
        <v>1018</v>
      </c>
      <c r="C646" s="18">
        <v>78</v>
      </c>
      <c r="D646" s="19" t="s">
        <v>982</v>
      </c>
      <c r="E646" s="20">
        <v>45138</v>
      </c>
      <c r="F646" s="18">
        <v>205</v>
      </c>
      <c r="G646" s="22">
        <v>4.4000000000000004</v>
      </c>
      <c r="H646">
        <f>IF(MONTH(Call_Center[[#This Row],[Date of Call]])&lt;=6,2023,2024)</f>
        <v>2024</v>
      </c>
      <c r="I646" t="str">
        <f>TEXT(Call_Center[[#This Row],[Date of Call]],"DDDD")</f>
        <v>Monday</v>
      </c>
      <c r="J646" t="str" cm="1">
        <f t="array" ref="J646">_xlfn.IFS(Call_Center[[#This Row],[Duration]]&lt;=10,"Under 10 mins",Call_Center[[#This Row],[Duration]]&lt;=30,"10 to 30 min",Call_Center[[#This Row],[Duration]]&lt;=60,"30 to 60 min",Call_Center[[#This Row],[Duration]]&lt;=120,"1 to 2 hours",TRUE,"More than 2 hours")</f>
        <v>1 to 2 hours</v>
      </c>
      <c r="K646">
        <f>ROUND(Call_Center[[#This Row],[Satisfaction Rating]],0)</f>
        <v>4</v>
      </c>
    </row>
    <row r="647" spans="1:11" x14ac:dyDescent="0.35">
      <c r="A647" s="21" t="s">
        <v>1630</v>
      </c>
      <c r="B647" s="18" t="s">
        <v>991</v>
      </c>
      <c r="C647" s="18">
        <v>122</v>
      </c>
      <c r="D647" s="19" t="s">
        <v>982</v>
      </c>
      <c r="E647" s="20">
        <v>45138</v>
      </c>
      <c r="F647" s="18">
        <v>78</v>
      </c>
      <c r="G647" s="22">
        <v>2.7</v>
      </c>
      <c r="H647">
        <f>IF(MONTH(Call_Center[[#This Row],[Date of Call]])&lt;=6,2023,2024)</f>
        <v>2024</v>
      </c>
      <c r="I647" t="str">
        <f>TEXT(Call_Center[[#This Row],[Date of Call]],"DDDD")</f>
        <v>Monday</v>
      </c>
      <c r="J647" t="str" cm="1">
        <f t="array" ref="J647">_xlfn.IFS(Call_Center[[#This Row],[Duration]]&lt;=10,"Under 10 mins",Call_Center[[#This Row],[Duration]]&lt;=30,"10 to 30 min",Call_Center[[#This Row],[Duration]]&lt;=60,"30 to 60 min",Call_Center[[#This Row],[Duration]]&lt;=120,"1 to 2 hours",TRUE,"More than 2 hours")</f>
        <v>More than 2 hours</v>
      </c>
      <c r="K647">
        <f>ROUND(Call_Center[[#This Row],[Satisfaction Rating]],0)</f>
        <v>3</v>
      </c>
    </row>
    <row r="648" spans="1:11" x14ac:dyDescent="0.35">
      <c r="A648" s="21" t="s">
        <v>1631</v>
      </c>
      <c r="B648" s="18" t="s">
        <v>969</v>
      </c>
      <c r="C648" s="18">
        <v>58</v>
      </c>
      <c r="D648" s="19" t="s">
        <v>986</v>
      </c>
      <c r="E648" s="20">
        <v>45138</v>
      </c>
      <c r="F648" s="18">
        <v>38</v>
      </c>
      <c r="G648" s="22">
        <v>4.5</v>
      </c>
      <c r="H648">
        <f>IF(MONTH(Call_Center[[#This Row],[Date of Call]])&lt;=6,2023,2024)</f>
        <v>2024</v>
      </c>
      <c r="I648" t="str">
        <f>TEXT(Call_Center[[#This Row],[Date of Call]],"DDDD")</f>
        <v>Monday</v>
      </c>
      <c r="J648" t="str" cm="1">
        <f t="array" ref="J648">_xlfn.IFS(Call_Center[[#This Row],[Duration]]&lt;=10,"Under 10 mins",Call_Center[[#This Row],[Duration]]&lt;=30,"10 to 30 min",Call_Center[[#This Row],[Duration]]&lt;=60,"30 to 60 min",Call_Center[[#This Row],[Duration]]&lt;=120,"1 to 2 hours",TRUE,"More than 2 hours")</f>
        <v>30 to 60 min</v>
      </c>
      <c r="K648">
        <f>ROUND(Call_Center[[#This Row],[Satisfaction Rating]],0)</f>
        <v>5</v>
      </c>
    </row>
    <row r="649" spans="1:11" x14ac:dyDescent="0.35">
      <c r="A649" s="21" t="s">
        <v>1632</v>
      </c>
      <c r="B649" s="18" t="s">
        <v>1018</v>
      </c>
      <c r="C649" s="18">
        <v>33</v>
      </c>
      <c r="D649" s="19" t="s">
        <v>977</v>
      </c>
      <c r="E649" s="20">
        <v>45138</v>
      </c>
      <c r="F649" s="18">
        <v>92</v>
      </c>
      <c r="G649" s="22">
        <v>1.7</v>
      </c>
      <c r="H649">
        <f>IF(MONTH(Call_Center[[#This Row],[Date of Call]])&lt;=6,2023,2024)</f>
        <v>2024</v>
      </c>
      <c r="I649" t="str">
        <f>TEXT(Call_Center[[#This Row],[Date of Call]],"DDDD")</f>
        <v>Monday</v>
      </c>
      <c r="J649" t="str" cm="1">
        <f t="array" ref="J649">_xlfn.IFS(Call_Center[[#This Row],[Duration]]&lt;=10,"Under 10 mins",Call_Center[[#This Row],[Duration]]&lt;=30,"10 to 30 min",Call_Center[[#This Row],[Duration]]&lt;=60,"30 to 60 min",Call_Center[[#This Row],[Duration]]&lt;=120,"1 to 2 hours",TRUE,"More than 2 hours")</f>
        <v>30 to 60 min</v>
      </c>
      <c r="K649">
        <f>ROUND(Call_Center[[#This Row],[Satisfaction Rating]],0)</f>
        <v>2</v>
      </c>
    </row>
    <row r="650" spans="1:11" x14ac:dyDescent="0.35">
      <c r="A650" s="21" t="s">
        <v>1633</v>
      </c>
      <c r="B650" s="18" t="s">
        <v>1038</v>
      </c>
      <c r="C650" s="18">
        <v>164</v>
      </c>
      <c r="D650" s="19" t="s">
        <v>967</v>
      </c>
      <c r="E650" s="20">
        <v>45138</v>
      </c>
      <c r="F650" s="18">
        <v>36</v>
      </c>
      <c r="G650" s="22">
        <v>4.7</v>
      </c>
      <c r="H650">
        <f>IF(MONTH(Call_Center[[#This Row],[Date of Call]])&lt;=6,2023,2024)</f>
        <v>2024</v>
      </c>
      <c r="I650" t="str">
        <f>TEXT(Call_Center[[#This Row],[Date of Call]],"DDDD")</f>
        <v>Monday</v>
      </c>
      <c r="J650" t="str" cm="1">
        <f t="array" ref="J650">_xlfn.IFS(Call_Center[[#This Row],[Duration]]&lt;=10,"Under 10 mins",Call_Center[[#This Row],[Duration]]&lt;=30,"10 to 30 min",Call_Center[[#This Row],[Duration]]&lt;=60,"30 to 60 min",Call_Center[[#This Row],[Duration]]&lt;=120,"1 to 2 hours",TRUE,"More than 2 hours")</f>
        <v>More than 2 hours</v>
      </c>
      <c r="K650">
        <f>ROUND(Call_Center[[#This Row],[Satisfaction Rating]],0)</f>
        <v>5</v>
      </c>
    </row>
    <row r="651" spans="1:11" x14ac:dyDescent="0.35">
      <c r="A651" s="21" t="s">
        <v>1634</v>
      </c>
      <c r="B651" s="18" t="s">
        <v>1008</v>
      </c>
      <c r="C651" s="18">
        <v>163</v>
      </c>
      <c r="D651" s="19" t="s">
        <v>972</v>
      </c>
      <c r="E651" s="20">
        <v>45138</v>
      </c>
      <c r="F651" s="18">
        <v>76</v>
      </c>
      <c r="G651" s="22">
        <v>4.4000000000000004</v>
      </c>
      <c r="H651">
        <f>IF(MONTH(Call_Center[[#This Row],[Date of Call]])&lt;=6,2023,2024)</f>
        <v>2024</v>
      </c>
      <c r="I651" t="str">
        <f>TEXT(Call_Center[[#This Row],[Date of Call]],"DDDD")</f>
        <v>Monday</v>
      </c>
      <c r="J651" t="str" cm="1">
        <f t="array" ref="J651">_xlfn.IFS(Call_Center[[#This Row],[Duration]]&lt;=10,"Under 10 mins",Call_Center[[#This Row],[Duration]]&lt;=30,"10 to 30 min",Call_Center[[#This Row],[Duration]]&lt;=60,"30 to 60 min",Call_Center[[#This Row],[Duration]]&lt;=120,"1 to 2 hours",TRUE,"More than 2 hours")</f>
        <v>More than 2 hours</v>
      </c>
      <c r="K651">
        <f>ROUND(Call_Center[[#This Row],[Satisfaction Rating]],0)</f>
        <v>4</v>
      </c>
    </row>
    <row r="652" spans="1:11" x14ac:dyDescent="0.35">
      <c r="A652" s="21" t="s">
        <v>1635</v>
      </c>
      <c r="B652" s="18" t="s">
        <v>980</v>
      </c>
      <c r="C652" s="18">
        <v>71</v>
      </c>
      <c r="D652" s="19" t="s">
        <v>967</v>
      </c>
      <c r="E652" s="20">
        <v>45140</v>
      </c>
      <c r="F652" s="18">
        <v>170</v>
      </c>
      <c r="G652" s="22">
        <v>3.5</v>
      </c>
      <c r="H652">
        <f>IF(MONTH(Call_Center[[#This Row],[Date of Call]])&lt;=6,2023,2024)</f>
        <v>2024</v>
      </c>
      <c r="I652" t="str">
        <f>TEXT(Call_Center[[#This Row],[Date of Call]],"DDDD")</f>
        <v>Wednesday</v>
      </c>
      <c r="J652" t="str" cm="1">
        <f t="array" ref="J652">_xlfn.IFS(Call_Center[[#This Row],[Duration]]&lt;=10,"Under 10 mins",Call_Center[[#This Row],[Duration]]&lt;=30,"10 to 30 min",Call_Center[[#This Row],[Duration]]&lt;=60,"30 to 60 min",Call_Center[[#This Row],[Duration]]&lt;=120,"1 to 2 hours",TRUE,"More than 2 hours")</f>
        <v>1 to 2 hours</v>
      </c>
      <c r="K652">
        <f>ROUND(Call_Center[[#This Row],[Satisfaction Rating]],0)</f>
        <v>4</v>
      </c>
    </row>
    <row r="653" spans="1:11" x14ac:dyDescent="0.35">
      <c r="A653" s="21" t="s">
        <v>1636</v>
      </c>
      <c r="B653" s="18" t="s">
        <v>1018</v>
      </c>
      <c r="C653" s="18">
        <v>103</v>
      </c>
      <c r="D653" s="19" t="s">
        <v>986</v>
      </c>
      <c r="E653" s="20">
        <v>45141</v>
      </c>
      <c r="F653" s="18">
        <v>117</v>
      </c>
      <c r="G653" s="22">
        <v>4.7</v>
      </c>
      <c r="H653">
        <f>IF(MONTH(Call_Center[[#This Row],[Date of Call]])&lt;=6,2023,2024)</f>
        <v>2024</v>
      </c>
      <c r="I653" t="str">
        <f>TEXT(Call_Center[[#This Row],[Date of Call]],"DDDD")</f>
        <v>Thursday</v>
      </c>
      <c r="J653" t="str" cm="1">
        <f t="array" ref="J653">_xlfn.IFS(Call_Center[[#This Row],[Duration]]&lt;=10,"Under 10 mins",Call_Center[[#This Row],[Duration]]&lt;=30,"10 to 30 min",Call_Center[[#This Row],[Duration]]&lt;=60,"30 to 60 min",Call_Center[[#This Row],[Duration]]&lt;=120,"1 to 2 hours",TRUE,"More than 2 hours")</f>
        <v>1 to 2 hours</v>
      </c>
      <c r="K653">
        <f>ROUND(Call_Center[[#This Row],[Satisfaction Rating]],0)</f>
        <v>5</v>
      </c>
    </row>
    <row r="654" spans="1:11" x14ac:dyDescent="0.35">
      <c r="A654" s="21" t="s">
        <v>1637</v>
      </c>
      <c r="B654" s="18" t="s">
        <v>1000</v>
      </c>
      <c r="C654" s="18">
        <v>69</v>
      </c>
      <c r="D654" s="19" t="s">
        <v>972</v>
      </c>
      <c r="E654" s="20">
        <v>45141</v>
      </c>
      <c r="F654" s="18">
        <v>20</v>
      </c>
      <c r="G654" s="22">
        <v>4.3</v>
      </c>
      <c r="H654">
        <f>IF(MONTH(Call_Center[[#This Row],[Date of Call]])&lt;=6,2023,2024)</f>
        <v>2024</v>
      </c>
      <c r="I654" t="str">
        <f>TEXT(Call_Center[[#This Row],[Date of Call]],"DDDD")</f>
        <v>Thursday</v>
      </c>
      <c r="J654" t="str" cm="1">
        <f t="array" ref="J654">_xlfn.IFS(Call_Center[[#This Row],[Duration]]&lt;=10,"Under 10 mins",Call_Center[[#This Row],[Duration]]&lt;=30,"10 to 30 min",Call_Center[[#This Row],[Duration]]&lt;=60,"30 to 60 min",Call_Center[[#This Row],[Duration]]&lt;=120,"1 to 2 hours",TRUE,"More than 2 hours")</f>
        <v>1 to 2 hours</v>
      </c>
      <c r="K654">
        <f>ROUND(Call_Center[[#This Row],[Satisfaction Rating]],0)</f>
        <v>4</v>
      </c>
    </row>
    <row r="655" spans="1:11" x14ac:dyDescent="0.35">
      <c r="A655" s="21" t="s">
        <v>1638</v>
      </c>
      <c r="B655" s="18" t="s">
        <v>1008</v>
      </c>
      <c r="C655" s="18">
        <v>111</v>
      </c>
      <c r="D655" s="19" t="s">
        <v>986</v>
      </c>
      <c r="E655" s="20">
        <v>45141</v>
      </c>
      <c r="F655" s="18">
        <v>99</v>
      </c>
      <c r="G655" s="22">
        <v>4.0999999999999996</v>
      </c>
      <c r="H655">
        <f>IF(MONTH(Call_Center[[#This Row],[Date of Call]])&lt;=6,2023,2024)</f>
        <v>2024</v>
      </c>
      <c r="I655" t="str">
        <f>TEXT(Call_Center[[#This Row],[Date of Call]],"DDDD")</f>
        <v>Thursday</v>
      </c>
      <c r="J655" t="str" cm="1">
        <f t="array" ref="J655">_xlfn.IFS(Call_Center[[#This Row],[Duration]]&lt;=10,"Under 10 mins",Call_Center[[#This Row],[Duration]]&lt;=30,"10 to 30 min",Call_Center[[#This Row],[Duration]]&lt;=60,"30 to 60 min",Call_Center[[#This Row],[Duration]]&lt;=120,"1 to 2 hours",TRUE,"More than 2 hours")</f>
        <v>1 to 2 hours</v>
      </c>
      <c r="K655">
        <f>ROUND(Call_Center[[#This Row],[Satisfaction Rating]],0)</f>
        <v>4</v>
      </c>
    </row>
    <row r="656" spans="1:11" x14ac:dyDescent="0.35">
      <c r="A656" s="21" t="s">
        <v>1639</v>
      </c>
      <c r="B656" s="18" t="s">
        <v>985</v>
      </c>
      <c r="C656" s="18">
        <v>97</v>
      </c>
      <c r="D656" s="19" t="s">
        <v>972</v>
      </c>
      <c r="E656" s="20">
        <v>45142</v>
      </c>
      <c r="F656" s="18">
        <v>105</v>
      </c>
      <c r="G656" s="22">
        <v>2.9</v>
      </c>
      <c r="H656">
        <f>IF(MONTH(Call_Center[[#This Row],[Date of Call]])&lt;=6,2023,2024)</f>
        <v>2024</v>
      </c>
      <c r="I656" t="str">
        <f>TEXT(Call_Center[[#This Row],[Date of Call]],"DDDD")</f>
        <v>Friday</v>
      </c>
      <c r="J656" t="str" cm="1">
        <f t="array" ref="J656">_xlfn.IFS(Call_Center[[#This Row],[Duration]]&lt;=10,"Under 10 mins",Call_Center[[#This Row],[Duration]]&lt;=30,"10 to 30 min",Call_Center[[#This Row],[Duration]]&lt;=60,"30 to 60 min",Call_Center[[#This Row],[Duration]]&lt;=120,"1 to 2 hours",TRUE,"More than 2 hours")</f>
        <v>1 to 2 hours</v>
      </c>
      <c r="K656">
        <f>ROUND(Call_Center[[#This Row],[Satisfaction Rating]],0)</f>
        <v>3</v>
      </c>
    </row>
    <row r="657" spans="1:11" x14ac:dyDescent="0.35">
      <c r="A657" s="21" t="s">
        <v>1640</v>
      </c>
      <c r="B657" s="18" t="s">
        <v>989</v>
      </c>
      <c r="C657" s="18">
        <v>144</v>
      </c>
      <c r="D657" s="19" t="s">
        <v>982</v>
      </c>
      <c r="E657" s="20">
        <v>45142</v>
      </c>
      <c r="F657" s="18">
        <v>195</v>
      </c>
      <c r="G657" s="22">
        <v>3.4</v>
      </c>
      <c r="H657">
        <f>IF(MONTH(Call_Center[[#This Row],[Date of Call]])&lt;=6,2023,2024)</f>
        <v>2024</v>
      </c>
      <c r="I657" t="str">
        <f>TEXT(Call_Center[[#This Row],[Date of Call]],"DDDD")</f>
        <v>Friday</v>
      </c>
      <c r="J657" t="str" cm="1">
        <f t="array" ref="J657">_xlfn.IFS(Call_Center[[#This Row],[Duration]]&lt;=10,"Under 10 mins",Call_Center[[#This Row],[Duration]]&lt;=30,"10 to 30 min",Call_Center[[#This Row],[Duration]]&lt;=60,"30 to 60 min",Call_Center[[#This Row],[Duration]]&lt;=120,"1 to 2 hours",TRUE,"More than 2 hours")</f>
        <v>More than 2 hours</v>
      </c>
      <c r="K657">
        <f>ROUND(Call_Center[[#This Row],[Satisfaction Rating]],0)</f>
        <v>3</v>
      </c>
    </row>
    <row r="658" spans="1:11" x14ac:dyDescent="0.35">
      <c r="A658" s="21" t="s">
        <v>1641</v>
      </c>
      <c r="B658" s="18" t="s">
        <v>971</v>
      </c>
      <c r="C658" s="18">
        <v>56</v>
      </c>
      <c r="D658" s="19" t="s">
        <v>972</v>
      </c>
      <c r="E658" s="20">
        <v>45143</v>
      </c>
      <c r="F658" s="18">
        <v>152</v>
      </c>
      <c r="G658" s="22">
        <v>4.5999999999999996</v>
      </c>
      <c r="H658">
        <f>IF(MONTH(Call_Center[[#This Row],[Date of Call]])&lt;=6,2023,2024)</f>
        <v>2024</v>
      </c>
      <c r="I658" t="str">
        <f>TEXT(Call_Center[[#This Row],[Date of Call]],"DDDD")</f>
        <v>Saturday</v>
      </c>
      <c r="J658" t="str" cm="1">
        <f t="array" ref="J658">_xlfn.IFS(Call_Center[[#This Row],[Duration]]&lt;=10,"Under 10 mins",Call_Center[[#This Row],[Duration]]&lt;=30,"10 to 30 min",Call_Center[[#This Row],[Duration]]&lt;=60,"30 to 60 min",Call_Center[[#This Row],[Duration]]&lt;=120,"1 to 2 hours",TRUE,"More than 2 hours")</f>
        <v>30 to 60 min</v>
      </c>
      <c r="K658">
        <f>ROUND(Call_Center[[#This Row],[Satisfaction Rating]],0)</f>
        <v>5</v>
      </c>
    </row>
    <row r="659" spans="1:11" x14ac:dyDescent="0.35">
      <c r="A659" s="21" t="s">
        <v>1642</v>
      </c>
      <c r="B659" s="18" t="s">
        <v>989</v>
      </c>
      <c r="C659" s="18">
        <v>132</v>
      </c>
      <c r="D659" s="19" t="s">
        <v>982</v>
      </c>
      <c r="E659" s="20">
        <v>45144</v>
      </c>
      <c r="F659" s="18">
        <v>195</v>
      </c>
      <c r="G659" s="22">
        <v>4.9000000000000004</v>
      </c>
      <c r="H659">
        <f>IF(MONTH(Call_Center[[#This Row],[Date of Call]])&lt;=6,2023,2024)</f>
        <v>2024</v>
      </c>
      <c r="I659" t="str">
        <f>TEXT(Call_Center[[#This Row],[Date of Call]],"DDDD")</f>
        <v>Sunday</v>
      </c>
      <c r="J659" t="str" cm="1">
        <f t="array" ref="J659">_xlfn.IFS(Call_Center[[#This Row],[Duration]]&lt;=10,"Under 10 mins",Call_Center[[#This Row],[Duration]]&lt;=30,"10 to 30 min",Call_Center[[#This Row],[Duration]]&lt;=60,"30 to 60 min",Call_Center[[#This Row],[Duration]]&lt;=120,"1 to 2 hours",TRUE,"More than 2 hours")</f>
        <v>More than 2 hours</v>
      </c>
      <c r="K659">
        <f>ROUND(Call_Center[[#This Row],[Satisfaction Rating]],0)</f>
        <v>5</v>
      </c>
    </row>
    <row r="660" spans="1:11" x14ac:dyDescent="0.35">
      <c r="A660" s="21" t="s">
        <v>1643</v>
      </c>
      <c r="B660" s="18" t="s">
        <v>980</v>
      </c>
      <c r="C660" s="18">
        <v>72</v>
      </c>
      <c r="D660" s="19" t="s">
        <v>977</v>
      </c>
      <c r="E660" s="20">
        <v>45144</v>
      </c>
      <c r="F660" s="18">
        <v>70</v>
      </c>
      <c r="G660" s="22">
        <v>3.6</v>
      </c>
      <c r="H660">
        <f>IF(MONTH(Call_Center[[#This Row],[Date of Call]])&lt;=6,2023,2024)</f>
        <v>2024</v>
      </c>
      <c r="I660" t="str">
        <f>TEXT(Call_Center[[#This Row],[Date of Call]],"DDDD")</f>
        <v>Sunday</v>
      </c>
      <c r="J660" t="str" cm="1">
        <f t="array" ref="J660">_xlfn.IFS(Call_Center[[#This Row],[Duration]]&lt;=10,"Under 10 mins",Call_Center[[#This Row],[Duration]]&lt;=30,"10 to 30 min",Call_Center[[#This Row],[Duration]]&lt;=60,"30 to 60 min",Call_Center[[#This Row],[Duration]]&lt;=120,"1 to 2 hours",TRUE,"More than 2 hours")</f>
        <v>1 to 2 hours</v>
      </c>
      <c r="K660">
        <f>ROUND(Call_Center[[#This Row],[Satisfaction Rating]],0)</f>
        <v>4</v>
      </c>
    </row>
    <row r="661" spans="1:11" x14ac:dyDescent="0.35">
      <c r="A661" s="21" t="s">
        <v>1644</v>
      </c>
      <c r="B661" s="18" t="s">
        <v>1008</v>
      </c>
      <c r="C661" s="18">
        <v>18</v>
      </c>
      <c r="D661" s="19" t="s">
        <v>977</v>
      </c>
      <c r="E661" s="20">
        <v>45144</v>
      </c>
      <c r="F661" s="18">
        <v>22</v>
      </c>
      <c r="G661" s="22">
        <v>3.5</v>
      </c>
      <c r="H661">
        <f>IF(MONTH(Call_Center[[#This Row],[Date of Call]])&lt;=6,2023,2024)</f>
        <v>2024</v>
      </c>
      <c r="I661" t="str">
        <f>TEXT(Call_Center[[#This Row],[Date of Call]],"DDDD")</f>
        <v>Sunday</v>
      </c>
      <c r="J661" t="str" cm="1">
        <f t="array" ref="J661">_xlfn.IFS(Call_Center[[#This Row],[Duration]]&lt;=10,"Under 10 mins",Call_Center[[#This Row],[Duration]]&lt;=30,"10 to 30 min",Call_Center[[#This Row],[Duration]]&lt;=60,"30 to 60 min",Call_Center[[#This Row],[Duration]]&lt;=120,"1 to 2 hours",TRUE,"More than 2 hours")</f>
        <v>10 to 30 min</v>
      </c>
      <c r="K661">
        <f>ROUND(Call_Center[[#This Row],[Satisfaction Rating]],0)</f>
        <v>4</v>
      </c>
    </row>
    <row r="662" spans="1:11" x14ac:dyDescent="0.35">
      <c r="A662" s="21" t="s">
        <v>1645</v>
      </c>
      <c r="B662" s="18" t="s">
        <v>976</v>
      </c>
      <c r="C662" s="18">
        <v>115</v>
      </c>
      <c r="D662" s="19" t="s">
        <v>986</v>
      </c>
      <c r="E662" s="20">
        <v>45145</v>
      </c>
      <c r="F662" s="18">
        <v>40</v>
      </c>
      <c r="G662" s="22">
        <v>3.3</v>
      </c>
      <c r="H662">
        <f>IF(MONTH(Call_Center[[#This Row],[Date of Call]])&lt;=6,2023,2024)</f>
        <v>2024</v>
      </c>
      <c r="I662" t="str">
        <f>TEXT(Call_Center[[#This Row],[Date of Call]],"DDDD")</f>
        <v>Monday</v>
      </c>
      <c r="J662" t="str" cm="1">
        <f t="array" ref="J662">_xlfn.IFS(Call_Center[[#This Row],[Duration]]&lt;=10,"Under 10 mins",Call_Center[[#This Row],[Duration]]&lt;=30,"10 to 30 min",Call_Center[[#This Row],[Duration]]&lt;=60,"30 to 60 min",Call_Center[[#This Row],[Duration]]&lt;=120,"1 to 2 hours",TRUE,"More than 2 hours")</f>
        <v>1 to 2 hours</v>
      </c>
      <c r="K662">
        <f>ROUND(Call_Center[[#This Row],[Satisfaction Rating]],0)</f>
        <v>3</v>
      </c>
    </row>
    <row r="663" spans="1:11" x14ac:dyDescent="0.35">
      <c r="A663" s="21" t="s">
        <v>1646</v>
      </c>
      <c r="B663" s="18" t="s">
        <v>976</v>
      </c>
      <c r="C663" s="18">
        <v>124</v>
      </c>
      <c r="D663" s="19" t="s">
        <v>972</v>
      </c>
      <c r="E663" s="20">
        <v>45146</v>
      </c>
      <c r="F663" s="18">
        <v>54</v>
      </c>
      <c r="G663" s="22">
        <v>3.8</v>
      </c>
      <c r="H663">
        <f>IF(MONTH(Call_Center[[#This Row],[Date of Call]])&lt;=6,2023,2024)</f>
        <v>2024</v>
      </c>
      <c r="I663" t="str">
        <f>TEXT(Call_Center[[#This Row],[Date of Call]],"DDDD")</f>
        <v>Tuesday</v>
      </c>
      <c r="J663" t="str" cm="1">
        <f t="array" ref="J663">_xlfn.IFS(Call_Center[[#This Row],[Duration]]&lt;=10,"Under 10 mins",Call_Center[[#This Row],[Duration]]&lt;=30,"10 to 30 min",Call_Center[[#This Row],[Duration]]&lt;=60,"30 to 60 min",Call_Center[[#This Row],[Duration]]&lt;=120,"1 to 2 hours",TRUE,"More than 2 hours")</f>
        <v>More than 2 hours</v>
      </c>
      <c r="K663">
        <f>ROUND(Call_Center[[#This Row],[Satisfaction Rating]],0)</f>
        <v>4</v>
      </c>
    </row>
    <row r="664" spans="1:11" x14ac:dyDescent="0.35">
      <c r="A664" s="21" t="s">
        <v>1647</v>
      </c>
      <c r="B664" s="18" t="s">
        <v>969</v>
      </c>
      <c r="C664" s="18">
        <v>130</v>
      </c>
      <c r="D664" s="19" t="s">
        <v>972</v>
      </c>
      <c r="E664" s="20">
        <v>45146</v>
      </c>
      <c r="F664" s="18">
        <v>60</v>
      </c>
      <c r="G664" s="22">
        <v>2.5</v>
      </c>
      <c r="H664">
        <f>IF(MONTH(Call_Center[[#This Row],[Date of Call]])&lt;=6,2023,2024)</f>
        <v>2024</v>
      </c>
      <c r="I664" t="str">
        <f>TEXT(Call_Center[[#This Row],[Date of Call]],"DDDD")</f>
        <v>Tuesday</v>
      </c>
      <c r="J664" t="str" cm="1">
        <f t="array" ref="J664">_xlfn.IFS(Call_Center[[#This Row],[Duration]]&lt;=10,"Under 10 mins",Call_Center[[#This Row],[Duration]]&lt;=30,"10 to 30 min",Call_Center[[#This Row],[Duration]]&lt;=60,"30 to 60 min",Call_Center[[#This Row],[Duration]]&lt;=120,"1 to 2 hours",TRUE,"More than 2 hours")</f>
        <v>More than 2 hours</v>
      </c>
      <c r="K664">
        <f>ROUND(Call_Center[[#This Row],[Satisfaction Rating]],0)</f>
        <v>3</v>
      </c>
    </row>
    <row r="665" spans="1:11" x14ac:dyDescent="0.35">
      <c r="A665" s="21" t="s">
        <v>1648</v>
      </c>
      <c r="B665" s="18" t="s">
        <v>1005</v>
      </c>
      <c r="C665" s="18">
        <v>120</v>
      </c>
      <c r="D665" s="19" t="s">
        <v>967</v>
      </c>
      <c r="E665" s="20">
        <v>45148</v>
      </c>
      <c r="F665" s="18">
        <v>58</v>
      </c>
      <c r="G665" s="22">
        <v>4.5999999999999996</v>
      </c>
      <c r="H665">
        <f>IF(MONTH(Call_Center[[#This Row],[Date of Call]])&lt;=6,2023,2024)</f>
        <v>2024</v>
      </c>
      <c r="I665" t="str">
        <f>TEXT(Call_Center[[#This Row],[Date of Call]],"DDDD")</f>
        <v>Thursday</v>
      </c>
      <c r="J665" t="str" cm="1">
        <f t="array" ref="J665">_xlfn.IFS(Call_Center[[#This Row],[Duration]]&lt;=10,"Under 10 mins",Call_Center[[#This Row],[Duration]]&lt;=30,"10 to 30 min",Call_Center[[#This Row],[Duration]]&lt;=60,"30 to 60 min",Call_Center[[#This Row],[Duration]]&lt;=120,"1 to 2 hours",TRUE,"More than 2 hours")</f>
        <v>1 to 2 hours</v>
      </c>
      <c r="K665">
        <f>ROUND(Call_Center[[#This Row],[Satisfaction Rating]],0)</f>
        <v>5</v>
      </c>
    </row>
    <row r="666" spans="1:11" x14ac:dyDescent="0.35">
      <c r="A666" s="21" t="s">
        <v>1649</v>
      </c>
      <c r="B666" s="18" t="s">
        <v>985</v>
      </c>
      <c r="C666" s="18">
        <v>75</v>
      </c>
      <c r="D666" s="19" t="s">
        <v>986</v>
      </c>
      <c r="E666" s="20">
        <v>45148</v>
      </c>
      <c r="F666" s="18">
        <v>220</v>
      </c>
      <c r="G666" s="22">
        <v>4.7</v>
      </c>
      <c r="H666">
        <f>IF(MONTH(Call_Center[[#This Row],[Date of Call]])&lt;=6,2023,2024)</f>
        <v>2024</v>
      </c>
      <c r="I666" t="str">
        <f>TEXT(Call_Center[[#This Row],[Date of Call]],"DDDD")</f>
        <v>Thursday</v>
      </c>
      <c r="J666" t="str" cm="1">
        <f t="array" ref="J666">_xlfn.IFS(Call_Center[[#This Row],[Duration]]&lt;=10,"Under 10 mins",Call_Center[[#This Row],[Duration]]&lt;=30,"10 to 30 min",Call_Center[[#This Row],[Duration]]&lt;=60,"30 to 60 min",Call_Center[[#This Row],[Duration]]&lt;=120,"1 to 2 hours",TRUE,"More than 2 hours")</f>
        <v>1 to 2 hours</v>
      </c>
      <c r="K666">
        <f>ROUND(Call_Center[[#This Row],[Satisfaction Rating]],0)</f>
        <v>5</v>
      </c>
    </row>
    <row r="667" spans="1:11" x14ac:dyDescent="0.35">
      <c r="A667" s="21" t="s">
        <v>1650</v>
      </c>
      <c r="B667" s="18" t="s">
        <v>966</v>
      </c>
      <c r="C667" s="18">
        <v>63</v>
      </c>
      <c r="D667" s="19" t="s">
        <v>986</v>
      </c>
      <c r="E667" s="20">
        <v>45148</v>
      </c>
      <c r="F667" s="18">
        <v>27</v>
      </c>
      <c r="G667" s="22">
        <v>3.6</v>
      </c>
      <c r="H667">
        <f>IF(MONTH(Call_Center[[#This Row],[Date of Call]])&lt;=6,2023,2024)</f>
        <v>2024</v>
      </c>
      <c r="I667" t="str">
        <f>TEXT(Call_Center[[#This Row],[Date of Call]],"DDDD")</f>
        <v>Thursday</v>
      </c>
      <c r="J667" t="str" cm="1">
        <f t="array" ref="J667">_xlfn.IFS(Call_Center[[#This Row],[Duration]]&lt;=10,"Under 10 mins",Call_Center[[#This Row],[Duration]]&lt;=30,"10 to 30 min",Call_Center[[#This Row],[Duration]]&lt;=60,"30 to 60 min",Call_Center[[#This Row],[Duration]]&lt;=120,"1 to 2 hours",TRUE,"More than 2 hours")</f>
        <v>1 to 2 hours</v>
      </c>
      <c r="K667">
        <f>ROUND(Call_Center[[#This Row],[Satisfaction Rating]],0)</f>
        <v>4</v>
      </c>
    </row>
    <row r="668" spans="1:11" x14ac:dyDescent="0.35">
      <c r="A668" s="21" t="s">
        <v>1651</v>
      </c>
      <c r="B668" s="18" t="s">
        <v>989</v>
      </c>
      <c r="C668" s="18">
        <v>74</v>
      </c>
      <c r="D668" s="19" t="s">
        <v>986</v>
      </c>
      <c r="E668" s="20">
        <v>45150</v>
      </c>
      <c r="F668" s="18">
        <v>26</v>
      </c>
      <c r="G668" s="22">
        <v>4.3</v>
      </c>
      <c r="H668">
        <f>IF(MONTH(Call_Center[[#This Row],[Date of Call]])&lt;=6,2023,2024)</f>
        <v>2024</v>
      </c>
      <c r="I668" t="str">
        <f>TEXT(Call_Center[[#This Row],[Date of Call]],"DDDD")</f>
        <v>Saturday</v>
      </c>
      <c r="J668" t="str" cm="1">
        <f t="array" ref="J668">_xlfn.IFS(Call_Center[[#This Row],[Duration]]&lt;=10,"Under 10 mins",Call_Center[[#This Row],[Duration]]&lt;=30,"10 to 30 min",Call_Center[[#This Row],[Duration]]&lt;=60,"30 to 60 min",Call_Center[[#This Row],[Duration]]&lt;=120,"1 to 2 hours",TRUE,"More than 2 hours")</f>
        <v>1 to 2 hours</v>
      </c>
      <c r="K668">
        <f>ROUND(Call_Center[[#This Row],[Satisfaction Rating]],0)</f>
        <v>4</v>
      </c>
    </row>
    <row r="669" spans="1:11" x14ac:dyDescent="0.35">
      <c r="A669" s="21" t="s">
        <v>1652</v>
      </c>
      <c r="B669" s="18" t="s">
        <v>1000</v>
      </c>
      <c r="C669" s="18">
        <v>134</v>
      </c>
      <c r="D669" s="19" t="s">
        <v>982</v>
      </c>
      <c r="E669" s="20">
        <v>45151</v>
      </c>
      <c r="F669" s="18">
        <v>160</v>
      </c>
      <c r="G669" s="22">
        <v>4.7</v>
      </c>
      <c r="H669">
        <f>IF(MONTH(Call_Center[[#This Row],[Date of Call]])&lt;=6,2023,2024)</f>
        <v>2024</v>
      </c>
      <c r="I669" t="str">
        <f>TEXT(Call_Center[[#This Row],[Date of Call]],"DDDD")</f>
        <v>Sunday</v>
      </c>
      <c r="J669" t="str" cm="1">
        <f t="array" ref="J669">_xlfn.IFS(Call_Center[[#This Row],[Duration]]&lt;=10,"Under 10 mins",Call_Center[[#This Row],[Duration]]&lt;=30,"10 to 30 min",Call_Center[[#This Row],[Duration]]&lt;=60,"30 to 60 min",Call_Center[[#This Row],[Duration]]&lt;=120,"1 to 2 hours",TRUE,"More than 2 hours")</f>
        <v>More than 2 hours</v>
      </c>
      <c r="K669">
        <f>ROUND(Call_Center[[#This Row],[Satisfaction Rating]],0)</f>
        <v>5</v>
      </c>
    </row>
    <row r="670" spans="1:11" x14ac:dyDescent="0.35">
      <c r="A670" s="21" t="s">
        <v>1653</v>
      </c>
      <c r="B670" s="18" t="s">
        <v>1008</v>
      </c>
      <c r="C670" s="18">
        <v>103</v>
      </c>
      <c r="D670" s="19" t="s">
        <v>972</v>
      </c>
      <c r="E670" s="20">
        <v>45151</v>
      </c>
      <c r="F670" s="18">
        <v>200</v>
      </c>
      <c r="G670" s="22">
        <v>4.9000000000000004</v>
      </c>
      <c r="H670">
        <f>IF(MONTH(Call_Center[[#This Row],[Date of Call]])&lt;=6,2023,2024)</f>
        <v>2024</v>
      </c>
      <c r="I670" t="str">
        <f>TEXT(Call_Center[[#This Row],[Date of Call]],"DDDD")</f>
        <v>Sunday</v>
      </c>
      <c r="J670" t="str" cm="1">
        <f t="array" ref="J670">_xlfn.IFS(Call_Center[[#This Row],[Duration]]&lt;=10,"Under 10 mins",Call_Center[[#This Row],[Duration]]&lt;=30,"10 to 30 min",Call_Center[[#This Row],[Duration]]&lt;=60,"30 to 60 min",Call_Center[[#This Row],[Duration]]&lt;=120,"1 to 2 hours",TRUE,"More than 2 hours")</f>
        <v>1 to 2 hours</v>
      </c>
      <c r="K670">
        <f>ROUND(Call_Center[[#This Row],[Satisfaction Rating]],0)</f>
        <v>5</v>
      </c>
    </row>
    <row r="671" spans="1:11" x14ac:dyDescent="0.35">
      <c r="A671" s="21" t="s">
        <v>1654</v>
      </c>
      <c r="B671" s="18" t="s">
        <v>1008</v>
      </c>
      <c r="C671" s="18">
        <v>155</v>
      </c>
      <c r="D671" s="19" t="s">
        <v>967</v>
      </c>
      <c r="E671" s="20">
        <v>45154</v>
      </c>
      <c r="F671" s="18">
        <v>135</v>
      </c>
      <c r="G671" s="22">
        <v>4.9000000000000004</v>
      </c>
      <c r="H671">
        <f>IF(MONTH(Call_Center[[#This Row],[Date of Call]])&lt;=6,2023,2024)</f>
        <v>2024</v>
      </c>
      <c r="I671" t="str">
        <f>TEXT(Call_Center[[#This Row],[Date of Call]],"DDDD")</f>
        <v>Wednesday</v>
      </c>
      <c r="J671" t="str" cm="1">
        <f t="array" ref="J671">_xlfn.IFS(Call_Center[[#This Row],[Duration]]&lt;=10,"Under 10 mins",Call_Center[[#This Row],[Duration]]&lt;=30,"10 to 30 min",Call_Center[[#This Row],[Duration]]&lt;=60,"30 to 60 min",Call_Center[[#This Row],[Duration]]&lt;=120,"1 to 2 hours",TRUE,"More than 2 hours")</f>
        <v>More than 2 hours</v>
      </c>
      <c r="K671">
        <f>ROUND(Call_Center[[#This Row],[Satisfaction Rating]],0)</f>
        <v>5</v>
      </c>
    </row>
    <row r="672" spans="1:11" x14ac:dyDescent="0.35">
      <c r="A672" s="21" t="s">
        <v>1655</v>
      </c>
      <c r="B672" s="18" t="s">
        <v>966</v>
      </c>
      <c r="C672" s="18">
        <v>128</v>
      </c>
      <c r="D672" s="19" t="s">
        <v>972</v>
      </c>
      <c r="E672" s="20">
        <v>45155</v>
      </c>
      <c r="F672" s="18">
        <v>22</v>
      </c>
      <c r="G672" s="22">
        <v>1.9</v>
      </c>
      <c r="H672">
        <f>IF(MONTH(Call_Center[[#This Row],[Date of Call]])&lt;=6,2023,2024)</f>
        <v>2024</v>
      </c>
      <c r="I672" t="str">
        <f>TEXT(Call_Center[[#This Row],[Date of Call]],"DDDD")</f>
        <v>Thursday</v>
      </c>
      <c r="J672" t="str" cm="1">
        <f t="array" ref="J672">_xlfn.IFS(Call_Center[[#This Row],[Duration]]&lt;=10,"Under 10 mins",Call_Center[[#This Row],[Duration]]&lt;=30,"10 to 30 min",Call_Center[[#This Row],[Duration]]&lt;=60,"30 to 60 min",Call_Center[[#This Row],[Duration]]&lt;=120,"1 to 2 hours",TRUE,"More than 2 hours")</f>
        <v>More than 2 hours</v>
      </c>
      <c r="K672">
        <f>ROUND(Call_Center[[#This Row],[Satisfaction Rating]],0)</f>
        <v>2</v>
      </c>
    </row>
    <row r="673" spans="1:11" x14ac:dyDescent="0.35">
      <c r="A673" s="21" t="s">
        <v>1656</v>
      </c>
      <c r="B673" s="18" t="s">
        <v>985</v>
      </c>
      <c r="C673" s="18">
        <v>89</v>
      </c>
      <c r="D673" s="19" t="s">
        <v>982</v>
      </c>
      <c r="E673" s="20">
        <v>45156</v>
      </c>
      <c r="F673" s="18">
        <v>164</v>
      </c>
      <c r="G673" s="22">
        <v>4.5</v>
      </c>
      <c r="H673">
        <f>IF(MONTH(Call_Center[[#This Row],[Date of Call]])&lt;=6,2023,2024)</f>
        <v>2024</v>
      </c>
      <c r="I673" t="str">
        <f>TEXT(Call_Center[[#This Row],[Date of Call]],"DDDD")</f>
        <v>Friday</v>
      </c>
      <c r="J673" t="str" cm="1">
        <f t="array" ref="J673">_xlfn.IFS(Call_Center[[#This Row],[Duration]]&lt;=10,"Under 10 mins",Call_Center[[#This Row],[Duration]]&lt;=30,"10 to 30 min",Call_Center[[#This Row],[Duration]]&lt;=60,"30 to 60 min",Call_Center[[#This Row],[Duration]]&lt;=120,"1 to 2 hours",TRUE,"More than 2 hours")</f>
        <v>1 to 2 hours</v>
      </c>
      <c r="K673">
        <f>ROUND(Call_Center[[#This Row],[Satisfaction Rating]],0)</f>
        <v>5</v>
      </c>
    </row>
    <row r="674" spans="1:11" x14ac:dyDescent="0.35">
      <c r="A674" s="21" t="s">
        <v>1657</v>
      </c>
      <c r="B674" s="18" t="s">
        <v>976</v>
      </c>
      <c r="C674" s="18">
        <v>81</v>
      </c>
      <c r="D674" s="19" t="s">
        <v>967</v>
      </c>
      <c r="E674" s="20">
        <v>45156</v>
      </c>
      <c r="F674" s="18">
        <v>21</v>
      </c>
      <c r="G674" s="22">
        <v>4.9000000000000004</v>
      </c>
      <c r="H674">
        <f>IF(MONTH(Call_Center[[#This Row],[Date of Call]])&lt;=6,2023,2024)</f>
        <v>2024</v>
      </c>
      <c r="I674" t="str">
        <f>TEXT(Call_Center[[#This Row],[Date of Call]],"DDDD")</f>
        <v>Friday</v>
      </c>
      <c r="J674" t="str" cm="1">
        <f t="array" ref="J674">_xlfn.IFS(Call_Center[[#This Row],[Duration]]&lt;=10,"Under 10 mins",Call_Center[[#This Row],[Duration]]&lt;=30,"10 to 30 min",Call_Center[[#This Row],[Duration]]&lt;=60,"30 to 60 min",Call_Center[[#This Row],[Duration]]&lt;=120,"1 to 2 hours",TRUE,"More than 2 hours")</f>
        <v>1 to 2 hours</v>
      </c>
      <c r="K674">
        <f>ROUND(Call_Center[[#This Row],[Satisfaction Rating]],0)</f>
        <v>5</v>
      </c>
    </row>
    <row r="675" spans="1:11" x14ac:dyDescent="0.35">
      <c r="A675" s="21" t="s">
        <v>1658</v>
      </c>
      <c r="B675" s="18" t="s">
        <v>985</v>
      </c>
      <c r="C675" s="18">
        <v>66</v>
      </c>
      <c r="D675" s="19" t="s">
        <v>982</v>
      </c>
      <c r="E675" s="20">
        <v>45157</v>
      </c>
      <c r="F675" s="18">
        <v>120</v>
      </c>
      <c r="G675" s="22">
        <v>4.5</v>
      </c>
      <c r="H675">
        <f>IF(MONTH(Call_Center[[#This Row],[Date of Call]])&lt;=6,2023,2024)</f>
        <v>2024</v>
      </c>
      <c r="I675" t="str">
        <f>TEXT(Call_Center[[#This Row],[Date of Call]],"DDDD")</f>
        <v>Saturday</v>
      </c>
      <c r="J675" t="str" cm="1">
        <f t="array" ref="J675">_xlfn.IFS(Call_Center[[#This Row],[Duration]]&lt;=10,"Under 10 mins",Call_Center[[#This Row],[Duration]]&lt;=30,"10 to 30 min",Call_Center[[#This Row],[Duration]]&lt;=60,"30 to 60 min",Call_Center[[#This Row],[Duration]]&lt;=120,"1 to 2 hours",TRUE,"More than 2 hours")</f>
        <v>1 to 2 hours</v>
      </c>
      <c r="K675">
        <f>ROUND(Call_Center[[#This Row],[Satisfaction Rating]],0)</f>
        <v>5</v>
      </c>
    </row>
    <row r="676" spans="1:11" x14ac:dyDescent="0.35">
      <c r="A676" s="21" t="s">
        <v>1659</v>
      </c>
      <c r="B676" s="18" t="s">
        <v>980</v>
      </c>
      <c r="C676" s="18">
        <v>61</v>
      </c>
      <c r="D676" s="19" t="s">
        <v>977</v>
      </c>
      <c r="E676" s="20">
        <v>45157</v>
      </c>
      <c r="F676" s="18">
        <v>93</v>
      </c>
      <c r="G676" s="22">
        <v>2.7</v>
      </c>
      <c r="H676">
        <f>IF(MONTH(Call_Center[[#This Row],[Date of Call]])&lt;=6,2023,2024)</f>
        <v>2024</v>
      </c>
      <c r="I676" t="str">
        <f>TEXT(Call_Center[[#This Row],[Date of Call]],"DDDD")</f>
        <v>Saturday</v>
      </c>
      <c r="J676" t="str" cm="1">
        <f t="array" ref="J676">_xlfn.IFS(Call_Center[[#This Row],[Duration]]&lt;=10,"Under 10 mins",Call_Center[[#This Row],[Duration]]&lt;=30,"10 to 30 min",Call_Center[[#This Row],[Duration]]&lt;=60,"30 to 60 min",Call_Center[[#This Row],[Duration]]&lt;=120,"1 to 2 hours",TRUE,"More than 2 hours")</f>
        <v>1 to 2 hours</v>
      </c>
      <c r="K676">
        <f>ROUND(Call_Center[[#This Row],[Satisfaction Rating]],0)</f>
        <v>3</v>
      </c>
    </row>
    <row r="677" spans="1:11" x14ac:dyDescent="0.35">
      <c r="A677" s="21" t="s">
        <v>1660</v>
      </c>
      <c r="B677" s="18" t="s">
        <v>976</v>
      </c>
      <c r="C677" s="18">
        <v>128</v>
      </c>
      <c r="D677" s="19" t="s">
        <v>977</v>
      </c>
      <c r="E677" s="20">
        <v>45157</v>
      </c>
      <c r="F677" s="18">
        <v>135</v>
      </c>
      <c r="G677" s="22">
        <v>2.1</v>
      </c>
      <c r="H677">
        <f>IF(MONTH(Call_Center[[#This Row],[Date of Call]])&lt;=6,2023,2024)</f>
        <v>2024</v>
      </c>
      <c r="I677" t="str">
        <f>TEXT(Call_Center[[#This Row],[Date of Call]],"DDDD")</f>
        <v>Saturday</v>
      </c>
      <c r="J677" t="str" cm="1">
        <f t="array" ref="J677">_xlfn.IFS(Call_Center[[#This Row],[Duration]]&lt;=10,"Under 10 mins",Call_Center[[#This Row],[Duration]]&lt;=30,"10 to 30 min",Call_Center[[#This Row],[Duration]]&lt;=60,"30 to 60 min",Call_Center[[#This Row],[Duration]]&lt;=120,"1 to 2 hours",TRUE,"More than 2 hours")</f>
        <v>More than 2 hours</v>
      </c>
      <c r="K677">
        <f>ROUND(Call_Center[[#This Row],[Satisfaction Rating]],0)</f>
        <v>2</v>
      </c>
    </row>
    <row r="678" spans="1:11" x14ac:dyDescent="0.35">
      <c r="A678" s="21" t="s">
        <v>1661</v>
      </c>
      <c r="B678" s="18" t="s">
        <v>1008</v>
      </c>
      <c r="C678" s="18">
        <v>30</v>
      </c>
      <c r="D678" s="19" t="s">
        <v>967</v>
      </c>
      <c r="E678" s="20">
        <v>45157</v>
      </c>
      <c r="F678" s="18">
        <v>210</v>
      </c>
      <c r="G678" s="22">
        <v>4.2</v>
      </c>
      <c r="H678">
        <f>IF(MONTH(Call_Center[[#This Row],[Date of Call]])&lt;=6,2023,2024)</f>
        <v>2024</v>
      </c>
      <c r="I678" t="str">
        <f>TEXT(Call_Center[[#This Row],[Date of Call]],"DDDD")</f>
        <v>Saturday</v>
      </c>
      <c r="J678" t="str" cm="1">
        <f t="array" ref="J678">_xlfn.IFS(Call_Center[[#This Row],[Duration]]&lt;=10,"Under 10 mins",Call_Center[[#This Row],[Duration]]&lt;=30,"10 to 30 min",Call_Center[[#This Row],[Duration]]&lt;=60,"30 to 60 min",Call_Center[[#This Row],[Duration]]&lt;=120,"1 to 2 hours",TRUE,"More than 2 hours")</f>
        <v>10 to 30 min</v>
      </c>
      <c r="K678">
        <f>ROUND(Call_Center[[#This Row],[Satisfaction Rating]],0)</f>
        <v>4</v>
      </c>
    </row>
    <row r="679" spans="1:11" x14ac:dyDescent="0.35">
      <c r="A679" s="21" t="s">
        <v>1662</v>
      </c>
      <c r="B679" s="18" t="s">
        <v>1038</v>
      </c>
      <c r="C679" s="18">
        <v>63</v>
      </c>
      <c r="D679" s="19" t="s">
        <v>977</v>
      </c>
      <c r="E679" s="20">
        <v>45158</v>
      </c>
      <c r="F679" s="18">
        <v>29</v>
      </c>
      <c r="G679" s="22">
        <v>4.7</v>
      </c>
      <c r="H679">
        <f>IF(MONTH(Call_Center[[#This Row],[Date of Call]])&lt;=6,2023,2024)</f>
        <v>2024</v>
      </c>
      <c r="I679" t="str">
        <f>TEXT(Call_Center[[#This Row],[Date of Call]],"DDDD")</f>
        <v>Sunday</v>
      </c>
      <c r="J679" t="str" cm="1">
        <f t="array" ref="J679">_xlfn.IFS(Call_Center[[#This Row],[Duration]]&lt;=10,"Under 10 mins",Call_Center[[#This Row],[Duration]]&lt;=30,"10 to 30 min",Call_Center[[#This Row],[Duration]]&lt;=60,"30 to 60 min",Call_Center[[#This Row],[Duration]]&lt;=120,"1 to 2 hours",TRUE,"More than 2 hours")</f>
        <v>1 to 2 hours</v>
      </c>
      <c r="K679">
        <f>ROUND(Call_Center[[#This Row],[Satisfaction Rating]],0)</f>
        <v>5</v>
      </c>
    </row>
    <row r="680" spans="1:11" x14ac:dyDescent="0.35">
      <c r="A680" s="21" t="s">
        <v>1663</v>
      </c>
      <c r="B680" s="18" t="s">
        <v>991</v>
      </c>
      <c r="C680" s="18">
        <v>64</v>
      </c>
      <c r="D680" s="19" t="s">
        <v>986</v>
      </c>
      <c r="E680" s="20">
        <v>45158</v>
      </c>
      <c r="F680" s="18">
        <v>111</v>
      </c>
      <c r="G680" s="22">
        <v>3.9</v>
      </c>
      <c r="H680">
        <f>IF(MONTH(Call_Center[[#This Row],[Date of Call]])&lt;=6,2023,2024)</f>
        <v>2024</v>
      </c>
      <c r="I680" t="str">
        <f>TEXT(Call_Center[[#This Row],[Date of Call]],"DDDD")</f>
        <v>Sunday</v>
      </c>
      <c r="J680" t="str" cm="1">
        <f t="array" ref="J680">_xlfn.IFS(Call_Center[[#This Row],[Duration]]&lt;=10,"Under 10 mins",Call_Center[[#This Row],[Duration]]&lt;=30,"10 to 30 min",Call_Center[[#This Row],[Duration]]&lt;=60,"30 to 60 min",Call_Center[[#This Row],[Duration]]&lt;=120,"1 to 2 hours",TRUE,"More than 2 hours")</f>
        <v>1 to 2 hours</v>
      </c>
      <c r="K680">
        <f>ROUND(Call_Center[[#This Row],[Satisfaction Rating]],0)</f>
        <v>4</v>
      </c>
    </row>
    <row r="681" spans="1:11" x14ac:dyDescent="0.35">
      <c r="A681" s="21" t="s">
        <v>1664</v>
      </c>
      <c r="B681" s="18" t="s">
        <v>974</v>
      </c>
      <c r="C681" s="18">
        <v>151</v>
      </c>
      <c r="D681" s="19" t="s">
        <v>972</v>
      </c>
      <c r="E681" s="20">
        <v>45159</v>
      </c>
      <c r="F681" s="18">
        <v>63</v>
      </c>
      <c r="G681" s="22">
        <v>4.0999999999999996</v>
      </c>
      <c r="H681">
        <f>IF(MONTH(Call_Center[[#This Row],[Date of Call]])&lt;=6,2023,2024)</f>
        <v>2024</v>
      </c>
      <c r="I681" t="str">
        <f>TEXT(Call_Center[[#This Row],[Date of Call]],"DDDD")</f>
        <v>Monday</v>
      </c>
      <c r="J681" t="str" cm="1">
        <f t="array" ref="J681">_xlfn.IFS(Call_Center[[#This Row],[Duration]]&lt;=10,"Under 10 mins",Call_Center[[#This Row],[Duration]]&lt;=30,"10 to 30 min",Call_Center[[#This Row],[Duration]]&lt;=60,"30 to 60 min",Call_Center[[#This Row],[Duration]]&lt;=120,"1 to 2 hours",TRUE,"More than 2 hours")</f>
        <v>More than 2 hours</v>
      </c>
      <c r="K681">
        <f>ROUND(Call_Center[[#This Row],[Satisfaction Rating]],0)</f>
        <v>4</v>
      </c>
    </row>
    <row r="682" spans="1:11" x14ac:dyDescent="0.35">
      <c r="A682" s="21" t="s">
        <v>1665</v>
      </c>
      <c r="B682" s="18" t="s">
        <v>1018</v>
      </c>
      <c r="C682" s="18">
        <v>116</v>
      </c>
      <c r="D682" s="19" t="s">
        <v>982</v>
      </c>
      <c r="E682" s="20">
        <v>45159</v>
      </c>
      <c r="F682" s="18">
        <v>44</v>
      </c>
      <c r="G682" s="22">
        <v>3.8</v>
      </c>
      <c r="H682">
        <f>IF(MONTH(Call_Center[[#This Row],[Date of Call]])&lt;=6,2023,2024)</f>
        <v>2024</v>
      </c>
      <c r="I682" t="str">
        <f>TEXT(Call_Center[[#This Row],[Date of Call]],"DDDD")</f>
        <v>Monday</v>
      </c>
      <c r="J682" t="str" cm="1">
        <f t="array" ref="J682">_xlfn.IFS(Call_Center[[#This Row],[Duration]]&lt;=10,"Under 10 mins",Call_Center[[#This Row],[Duration]]&lt;=30,"10 to 30 min",Call_Center[[#This Row],[Duration]]&lt;=60,"30 to 60 min",Call_Center[[#This Row],[Duration]]&lt;=120,"1 to 2 hours",TRUE,"More than 2 hours")</f>
        <v>1 to 2 hours</v>
      </c>
      <c r="K682">
        <f>ROUND(Call_Center[[#This Row],[Satisfaction Rating]],0)</f>
        <v>4</v>
      </c>
    </row>
    <row r="683" spans="1:11" x14ac:dyDescent="0.35">
      <c r="A683" s="21" t="s">
        <v>1666</v>
      </c>
      <c r="B683" s="18" t="s">
        <v>974</v>
      </c>
      <c r="C683" s="18">
        <v>111</v>
      </c>
      <c r="D683" s="19" t="s">
        <v>982</v>
      </c>
      <c r="E683" s="20">
        <v>45161</v>
      </c>
      <c r="F683" s="18">
        <v>120</v>
      </c>
      <c r="G683" s="22">
        <v>1.8</v>
      </c>
      <c r="H683">
        <f>IF(MONTH(Call_Center[[#This Row],[Date of Call]])&lt;=6,2023,2024)</f>
        <v>2024</v>
      </c>
      <c r="I683" t="str">
        <f>TEXT(Call_Center[[#This Row],[Date of Call]],"DDDD")</f>
        <v>Wednesday</v>
      </c>
      <c r="J683" t="str" cm="1">
        <f t="array" ref="J683">_xlfn.IFS(Call_Center[[#This Row],[Duration]]&lt;=10,"Under 10 mins",Call_Center[[#This Row],[Duration]]&lt;=30,"10 to 30 min",Call_Center[[#This Row],[Duration]]&lt;=60,"30 to 60 min",Call_Center[[#This Row],[Duration]]&lt;=120,"1 to 2 hours",TRUE,"More than 2 hours")</f>
        <v>1 to 2 hours</v>
      </c>
      <c r="K683">
        <f>ROUND(Call_Center[[#This Row],[Satisfaction Rating]],0)</f>
        <v>2</v>
      </c>
    </row>
    <row r="684" spans="1:11" x14ac:dyDescent="0.35">
      <c r="A684" s="21" t="s">
        <v>1667</v>
      </c>
      <c r="B684" s="18" t="s">
        <v>976</v>
      </c>
      <c r="C684" s="18">
        <v>15</v>
      </c>
      <c r="D684" s="19" t="s">
        <v>982</v>
      </c>
      <c r="E684" s="20">
        <v>45161</v>
      </c>
      <c r="F684" s="18">
        <v>120</v>
      </c>
      <c r="G684" s="22">
        <v>4.0999999999999996</v>
      </c>
      <c r="H684">
        <f>IF(MONTH(Call_Center[[#This Row],[Date of Call]])&lt;=6,2023,2024)</f>
        <v>2024</v>
      </c>
      <c r="I684" t="str">
        <f>TEXT(Call_Center[[#This Row],[Date of Call]],"DDDD")</f>
        <v>Wednesday</v>
      </c>
      <c r="J684" t="str" cm="1">
        <f t="array" ref="J684">_xlfn.IFS(Call_Center[[#This Row],[Duration]]&lt;=10,"Under 10 mins",Call_Center[[#This Row],[Duration]]&lt;=30,"10 to 30 min",Call_Center[[#This Row],[Duration]]&lt;=60,"30 to 60 min",Call_Center[[#This Row],[Duration]]&lt;=120,"1 to 2 hours",TRUE,"More than 2 hours")</f>
        <v>10 to 30 min</v>
      </c>
      <c r="K684">
        <f>ROUND(Call_Center[[#This Row],[Satisfaction Rating]],0)</f>
        <v>4</v>
      </c>
    </row>
    <row r="685" spans="1:11" x14ac:dyDescent="0.35">
      <c r="A685" s="21" t="s">
        <v>1668</v>
      </c>
      <c r="B685" s="18" t="s">
        <v>991</v>
      </c>
      <c r="C685" s="18">
        <v>18</v>
      </c>
      <c r="D685" s="19" t="s">
        <v>972</v>
      </c>
      <c r="E685" s="20">
        <v>45162</v>
      </c>
      <c r="F685" s="18">
        <v>40</v>
      </c>
      <c r="G685" s="22">
        <v>4.4000000000000004</v>
      </c>
      <c r="H685">
        <f>IF(MONTH(Call_Center[[#This Row],[Date of Call]])&lt;=6,2023,2024)</f>
        <v>2024</v>
      </c>
      <c r="I685" t="str">
        <f>TEXT(Call_Center[[#This Row],[Date of Call]],"DDDD")</f>
        <v>Thursday</v>
      </c>
      <c r="J685" t="str" cm="1">
        <f t="array" ref="J685">_xlfn.IFS(Call_Center[[#This Row],[Duration]]&lt;=10,"Under 10 mins",Call_Center[[#This Row],[Duration]]&lt;=30,"10 to 30 min",Call_Center[[#This Row],[Duration]]&lt;=60,"30 to 60 min",Call_Center[[#This Row],[Duration]]&lt;=120,"1 to 2 hours",TRUE,"More than 2 hours")</f>
        <v>10 to 30 min</v>
      </c>
      <c r="K685">
        <f>ROUND(Call_Center[[#This Row],[Satisfaction Rating]],0)</f>
        <v>4</v>
      </c>
    </row>
    <row r="686" spans="1:11" x14ac:dyDescent="0.35">
      <c r="A686" s="21" t="s">
        <v>1669</v>
      </c>
      <c r="B686" s="18" t="s">
        <v>980</v>
      </c>
      <c r="C686" s="18">
        <v>146</v>
      </c>
      <c r="D686" s="19" t="s">
        <v>977</v>
      </c>
      <c r="E686" s="20">
        <v>45162</v>
      </c>
      <c r="F686" s="18">
        <v>160</v>
      </c>
      <c r="G686" s="22">
        <v>4.0999999999999996</v>
      </c>
      <c r="H686">
        <f>IF(MONTH(Call_Center[[#This Row],[Date of Call]])&lt;=6,2023,2024)</f>
        <v>2024</v>
      </c>
      <c r="I686" t="str">
        <f>TEXT(Call_Center[[#This Row],[Date of Call]],"DDDD")</f>
        <v>Thursday</v>
      </c>
      <c r="J686" t="str" cm="1">
        <f t="array" ref="J686">_xlfn.IFS(Call_Center[[#This Row],[Duration]]&lt;=10,"Under 10 mins",Call_Center[[#This Row],[Duration]]&lt;=30,"10 to 30 min",Call_Center[[#This Row],[Duration]]&lt;=60,"30 to 60 min",Call_Center[[#This Row],[Duration]]&lt;=120,"1 to 2 hours",TRUE,"More than 2 hours")</f>
        <v>More than 2 hours</v>
      </c>
      <c r="K686">
        <f>ROUND(Call_Center[[#This Row],[Satisfaction Rating]],0)</f>
        <v>4</v>
      </c>
    </row>
    <row r="687" spans="1:11" x14ac:dyDescent="0.35">
      <c r="A687" s="21" t="s">
        <v>1670</v>
      </c>
      <c r="B687" s="18" t="s">
        <v>1008</v>
      </c>
      <c r="C687" s="18">
        <v>73</v>
      </c>
      <c r="D687" s="19" t="s">
        <v>982</v>
      </c>
      <c r="E687" s="20">
        <v>45163</v>
      </c>
      <c r="F687" s="18">
        <v>44</v>
      </c>
      <c r="G687" s="22">
        <v>3.8</v>
      </c>
      <c r="H687">
        <f>IF(MONTH(Call_Center[[#This Row],[Date of Call]])&lt;=6,2023,2024)</f>
        <v>2024</v>
      </c>
      <c r="I687" t="str">
        <f>TEXT(Call_Center[[#This Row],[Date of Call]],"DDDD")</f>
        <v>Friday</v>
      </c>
      <c r="J687" t="str" cm="1">
        <f t="array" ref="J687">_xlfn.IFS(Call_Center[[#This Row],[Duration]]&lt;=10,"Under 10 mins",Call_Center[[#This Row],[Duration]]&lt;=30,"10 to 30 min",Call_Center[[#This Row],[Duration]]&lt;=60,"30 to 60 min",Call_Center[[#This Row],[Duration]]&lt;=120,"1 to 2 hours",TRUE,"More than 2 hours")</f>
        <v>1 to 2 hours</v>
      </c>
      <c r="K687">
        <f>ROUND(Call_Center[[#This Row],[Satisfaction Rating]],0)</f>
        <v>4</v>
      </c>
    </row>
    <row r="688" spans="1:11" x14ac:dyDescent="0.35">
      <c r="A688" s="21" t="s">
        <v>1671</v>
      </c>
      <c r="B688" s="18" t="s">
        <v>974</v>
      </c>
      <c r="C688" s="18">
        <v>108</v>
      </c>
      <c r="D688" s="19" t="s">
        <v>972</v>
      </c>
      <c r="E688" s="20">
        <v>45163</v>
      </c>
      <c r="F688" s="18">
        <v>80</v>
      </c>
      <c r="G688" s="22">
        <v>4.3</v>
      </c>
      <c r="H688">
        <f>IF(MONTH(Call_Center[[#This Row],[Date of Call]])&lt;=6,2023,2024)</f>
        <v>2024</v>
      </c>
      <c r="I688" t="str">
        <f>TEXT(Call_Center[[#This Row],[Date of Call]],"DDDD")</f>
        <v>Friday</v>
      </c>
      <c r="J688" t="str" cm="1">
        <f t="array" ref="J688">_xlfn.IFS(Call_Center[[#This Row],[Duration]]&lt;=10,"Under 10 mins",Call_Center[[#This Row],[Duration]]&lt;=30,"10 to 30 min",Call_Center[[#This Row],[Duration]]&lt;=60,"30 to 60 min",Call_Center[[#This Row],[Duration]]&lt;=120,"1 to 2 hours",TRUE,"More than 2 hours")</f>
        <v>1 to 2 hours</v>
      </c>
      <c r="K688">
        <f>ROUND(Call_Center[[#This Row],[Satisfaction Rating]],0)</f>
        <v>4</v>
      </c>
    </row>
    <row r="689" spans="1:11" x14ac:dyDescent="0.35">
      <c r="A689" s="21" t="s">
        <v>1672</v>
      </c>
      <c r="B689" s="18" t="s">
        <v>1000</v>
      </c>
      <c r="C689" s="18">
        <v>52</v>
      </c>
      <c r="D689" s="19" t="s">
        <v>972</v>
      </c>
      <c r="E689" s="20">
        <v>45164</v>
      </c>
      <c r="F689" s="18">
        <v>66</v>
      </c>
      <c r="G689" s="22">
        <v>4.5</v>
      </c>
      <c r="H689">
        <f>IF(MONTH(Call_Center[[#This Row],[Date of Call]])&lt;=6,2023,2024)</f>
        <v>2024</v>
      </c>
      <c r="I689" t="str">
        <f>TEXT(Call_Center[[#This Row],[Date of Call]],"DDDD")</f>
        <v>Saturday</v>
      </c>
      <c r="J689" t="str" cm="1">
        <f t="array" ref="J689">_xlfn.IFS(Call_Center[[#This Row],[Duration]]&lt;=10,"Under 10 mins",Call_Center[[#This Row],[Duration]]&lt;=30,"10 to 30 min",Call_Center[[#This Row],[Duration]]&lt;=60,"30 to 60 min",Call_Center[[#This Row],[Duration]]&lt;=120,"1 to 2 hours",TRUE,"More than 2 hours")</f>
        <v>30 to 60 min</v>
      </c>
      <c r="K689">
        <f>ROUND(Call_Center[[#This Row],[Satisfaction Rating]],0)</f>
        <v>5</v>
      </c>
    </row>
    <row r="690" spans="1:11" x14ac:dyDescent="0.35">
      <c r="A690" s="21" t="s">
        <v>1673</v>
      </c>
      <c r="B690" s="18" t="s">
        <v>1018</v>
      </c>
      <c r="C690" s="18">
        <v>165</v>
      </c>
      <c r="D690" s="19" t="s">
        <v>986</v>
      </c>
      <c r="E690" s="20">
        <v>45164</v>
      </c>
      <c r="F690" s="18">
        <v>82</v>
      </c>
      <c r="G690" s="22">
        <v>3.4</v>
      </c>
      <c r="H690">
        <f>IF(MONTH(Call_Center[[#This Row],[Date of Call]])&lt;=6,2023,2024)</f>
        <v>2024</v>
      </c>
      <c r="I690" t="str">
        <f>TEXT(Call_Center[[#This Row],[Date of Call]],"DDDD")</f>
        <v>Saturday</v>
      </c>
      <c r="J690" t="str" cm="1">
        <f t="array" ref="J690">_xlfn.IFS(Call_Center[[#This Row],[Duration]]&lt;=10,"Under 10 mins",Call_Center[[#This Row],[Duration]]&lt;=30,"10 to 30 min",Call_Center[[#This Row],[Duration]]&lt;=60,"30 to 60 min",Call_Center[[#This Row],[Duration]]&lt;=120,"1 to 2 hours",TRUE,"More than 2 hours")</f>
        <v>More than 2 hours</v>
      </c>
      <c r="K690">
        <f>ROUND(Call_Center[[#This Row],[Satisfaction Rating]],0)</f>
        <v>3</v>
      </c>
    </row>
    <row r="691" spans="1:11" x14ac:dyDescent="0.35">
      <c r="A691" s="21" t="s">
        <v>1674</v>
      </c>
      <c r="B691" s="18" t="s">
        <v>980</v>
      </c>
      <c r="C691" s="18">
        <v>104</v>
      </c>
      <c r="D691" s="19" t="s">
        <v>982</v>
      </c>
      <c r="E691" s="20">
        <v>45164</v>
      </c>
      <c r="F691" s="18">
        <v>66</v>
      </c>
      <c r="G691" s="22">
        <v>4.8</v>
      </c>
      <c r="H691">
        <f>IF(MONTH(Call_Center[[#This Row],[Date of Call]])&lt;=6,2023,2024)</f>
        <v>2024</v>
      </c>
      <c r="I691" t="str">
        <f>TEXT(Call_Center[[#This Row],[Date of Call]],"DDDD")</f>
        <v>Saturday</v>
      </c>
      <c r="J691" t="str" cm="1">
        <f t="array" ref="J691">_xlfn.IFS(Call_Center[[#This Row],[Duration]]&lt;=10,"Under 10 mins",Call_Center[[#This Row],[Duration]]&lt;=30,"10 to 30 min",Call_Center[[#This Row],[Duration]]&lt;=60,"30 to 60 min",Call_Center[[#This Row],[Duration]]&lt;=120,"1 to 2 hours",TRUE,"More than 2 hours")</f>
        <v>1 to 2 hours</v>
      </c>
      <c r="K691">
        <f>ROUND(Call_Center[[#This Row],[Satisfaction Rating]],0)</f>
        <v>5</v>
      </c>
    </row>
    <row r="692" spans="1:11" x14ac:dyDescent="0.35">
      <c r="A692" s="21" t="s">
        <v>1675</v>
      </c>
      <c r="B692" s="18" t="s">
        <v>1008</v>
      </c>
      <c r="C692" s="18">
        <v>131</v>
      </c>
      <c r="D692" s="19" t="s">
        <v>977</v>
      </c>
      <c r="E692" s="20">
        <v>45164</v>
      </c>
      <c r="F692" s="18">
        <v>92</v>
      </c>
      <c r="G692" s="22">
        <v>4.9000000000000004</v>
      </c>
      <c r="H692">
        <f>IF(MONTH(Call_Center[[#This Row],[Date of Call]])&lt;=6,2023,2024)</f>
        <v>2024</v>
      </c>
      <c r="I692" t="str">
        <f>TEXT(Call_Center[[#This Row],[Date of Call]],"DDDD")</f>
        <v>Saturday</v>
      </c>
      <c r="J692" t="str" cm="1">
        <f t="array" ref="J692">_xlfn.IFS(Call_Center[[#This Row],[Duration]]&lt;=10,"Under 10 mins",Call_Center[[#This Row],[Duration]]&lt;=30,"10 to 30 min",Call_Center[[#This Row],[Duration]]&lt;=60,"30 to 60 min",Call_Center[[#This Row],[Duration]]&lt;=120,"1 to 2 hours",TRUE,"More than 2 hours")</f>
        <v>More than 2 hours</v>
      </c>
      <c r="K692">
        <f>ROUND(Call_Center[[#This Row],[Satisfaction Rating]],0)</f>
        <v>5</v>
      </c>
    </row>
    <row r="693" spans="1:11" x14ac:dyDescent="0.35">
      <c r="A693" s="21" t="s">
        <v>1676</v>
      </c>
      <c r="B693" s="18" t="s">
        <v>1005</v>
      </c>
      <c r="C693" s="18">
        <v>80</v>
      </c>
      <c r="D693" s="19" t="s">
        <v>986</v>
      </c>
      <c r="E693" s="20">
        <v>45165</v>
      </c>
      <c r="F693" s="18">
        <v>104</v>
      </c>
      <c r="G693" s="22">
        <v>4.7</v>
      </c>
      <c r="H693">
        <f>IF(MONTH(Call_Center[[#This Row],[Date of Call]])&lt;=6,2023,2024)</f>
        <v>2024</v>
      </c>
      <c r="I693" t="str">
        <f>TEXT(Call_Center[[#This Row],[Date of Call]],"DDDD")</f>
        <v>Sunday</v>
      </c>
      <c r="J693" t="str" cm="1">
        <f t="array" ref="J693">_xlfn.IFS(Call_Center[[#This Row],[Duration]]&lt;=10,"Under 10 mins",Call_Center[[#This Row],[Duration]]&lt;=30,"10 to 30 min",Call_Center[[#This Row],[Duration]]&lt;=60,"30 to 60 min",Call_Center[[#This Row],[Duration]]&lt;=120,"1 to 2 hours",TRUE,"More than 2 hours")</f>
        <v>1 to 2 hours</v>
      </c>
      <c r="K693">
        <f>ROUND(Call_Center[[#This Row],[Satisfaction Rating]],0)</f>
        <v>5</v>
      </c>
    </row>
    <row r="694" spans="1:11" x14ac:dyDescent="0.35">
      <c r="A694" s="21" t="s">
        <v>1677</v>
      </c>
      <c r="B694" s="18" t="s">
        <v>976</v>
      </c>
      <c r="C694" s="18">
        <v>49</v>
      </c>
      <c r="D694" s="19" t="s">
        <v>982</v>
      </c>
      <c r="E694" s="20">
        <v>45165</v>
      </c>
      <c r="F694" s="18">
        <v>105</v>
      </c>
      <c r="G694" s="22">
        <v>3.3</v>
      </c>
      <c r="H694">
        <f>IF(MONTH(Call_Center[[#This Row],[Date of Call]])&lt;=6,2023,2024)</f>
        <v>2024</v>
      </c>
      <c r="I694" t="str">
        <f>TEXT(Call_Center[[#This Row],[Date of Call]],"DDDD")</f>
        <v>Sunday</v>
      </c>
      <c r="J694" t="str" cm="1">
        <f t="array" ref="J694">_xlfn.IFS(Call_Center[[#This Row],[Duration]]&lt;=10,"Under 10 mins",Call_Center[[#This Row],[Duration]]&lt;=30,"10 to 30 min",Call_Center[[#This Row],[Duration]]&lt;=60,"30 to 60 min",Call_Center[[#This Row],[Duration]]&lt;=120,"1 to 2 hours",TRUE,"More than 2 hours")</f>
        <v>30 to 60 min</v>
      </c>
      <c r="K694">
        <f>ROUND(Call_Center[[#This Row],[Satisfaction Rating]],0)</f>
        <v>3</v>
      </c>
    </row>
    <row r="695" spans="1:11" x14ac:dyDescent="0.35">
      <c r="A695" s="21" t="s">
        <v>1678</v>
      </c>
      <c r="B695" s="18" t="s">
        <v>1018</v>
      </c>
      <c r="C695" s="18">
        <v>73</v>
      </c>
      <c r="D695" s="19" t="s">
        <v>982</v>
      </c>
      <c r="E695" s="20">
        <v>45165</v>
      </c>
      <c r="F695" s="18">
        <v>100</v>
      </c>
      <c r="G695" s="22">
        <v>2.8</v>
      </c>
      <c r="H695">
        <f>IF(MONTH(Call_Center[[#This Row],[Date of Call]])&lt;=6,2023,2024)</f>
        <v>2024</v>
      </c>
      <c r="I695" t="str">
        <f>TEXT(Call_Center[[#This Row],[Date of Call]],"DDDD")</f>
        <v>Sunday</v>
      </c>
      <c r="J695" t="str" cm="1">
        <f t="array" ref="J695">_xlfn.IFS(Call_Center[[#This Row],[Duration]]&lt;=10,"Under 10 mins",Call_Center[[#This Row],[Duration]]&lt;=30,"10 to 30 min",Call_Center[[#This Row],[Duration]]&lt;=60,"30 to 60 min",Call_Center[[#This Row],[Duration]]&lt;=120,"1 to 2 hours",TRUE,"More than 2 hours")</f>
        <v>1 to 2 hours</v>
      </c>
      <c r="K695">
        <f>ROUND(Call_Center[[#This Row],[Satisfaction Rating]],0)</f>
        <v>3</v>
      </c>
    </row>
    <row r="696" spans="1:11" x14ac:dyDescent="0.35">
      <c r="A696" s="21" t="s">
        <v>1679</v>
      </c>
      <c r="B696" s="18" t="s">
        <v>980</v>
      </c>
      <c r="C696" s="18">
        <v>117</v>
      </c>
      <c r="D696" s="19" t="s">
        <v>986</v>
      </c>
      <c r="E696" s="20">
        <v>45165</v>
      </c>
      <c r="F696" s="18">
        <v>90</v>
      </c>
      <c r="G696" s="22">
        <v>4.0999999999999996</v>
      </c>
      <c r="H696">
        <f>IF(MONTH(Call_Center[[#This Row],[Date of Call]])&lt;=6,2023,2024)</f>
        <v>2024</v>
      </c>
      <c r="I696" t="str">
        <f>TEXT(Call_Center[[#This Row],[Date of Call]],"DDDD")</f>
        <v>Sunday</v>
      </c>
      <c r="J696" t="str" cm="1">
        <f t="array" ref="J696">_xlfn.IFS(Call_Center[[#This Row],[Duration]]&lt;=10,"Under 10 mins",Call_Center[[#This Row],[Duration]]&lt;=30,"10 to 30 min",Call_Center[[#This Row],[Duration]]&lt;=60,"30 to 60 min",Call_Center[[#This Row],[Duration]]&lt;=120,"1 to 2 hours",TRUE,"More than 2 hours")</f>
        <v>1 to 2 hours</v>
      </c>
      <c r="K696">
        <f>ROUND(Call_Center[[#This Row],[Satisfaction Rating]],0)</f>
        <v>4</v>
      </c>
    </row>
    <row r="697" spans="1:11" x14ac:dyDescent="0.35">
      <c r="A697" s="21" t="s">
        <v>1680</v>
      </c>
      <c r="B697" s="18" t="s">
        <v>971</v>
      </c>
      <c r="C697" s="18">
        <v>38</v>
      </c>
      <c r="D697" s="19" t="s">
        <v>967</v>
      </c>
      <c r="E697" s="20">
        <v>45165</v>
      </c>
      <c r="F697" s="18">
        <v>110</v>
      </c>
      <c r="G697" s="22">
        <v>3.5</v>
      </c>
      <c r="H697">
        <f>IF(MONTH(Call_Center[[#This Row],[Date of Call]])&lt;=6,2023,2024)</f>
        <v>2024</v>
      </c>
      <c r="I697" t="str">
        <f>TEXT(Call_Center[[#This Row],[Date of Call]],"DDDD")</f>
        <v>Sunday</v>
      </c>
      <c r="J697" t="str" cm="1">
        <f t="array" ref="J697">_xlfn.IFS(Call_Center[[#This Row],[Duration]]&lt;=10,"Under 10 mins",Call_Center[[#This Row],[Duration]]&lt;=30,"10 to 30 min",Call_Center[[#This Row],[Duration]]&lt;=60,"30 to 60 min",Call_Center[[#This Row],[Duration]]&lt;=120,"1 to 2 hours",TRUE,"More than 2 hours")</f>
        <v>30 to 60 min</v>
      </c>
      <c r="K697">
        <f>ROUND(Call_Center[[#This Row],[Satisfaction Rating]],0)</f>
        <v>4</v>
      </c>
    </row>
    <row r="698" spans="1:11" x14ac:dyDescent="0.35">
      <c r="A698" s="21" t="s">
        <v>1681</v>
      </c>
      <c r="B698" s="18" t="s">
        <v>1000</v>
      </c>
      <c r="C698" s="18">
        <v>109</v>
      </c>
      <c r="D698" s="19" t="s">
        <v>986</v>
      </c>
      <c r="E698" s="20">
        <v>45167</v>
      </c>
      <c r="F698" s="18">
        <v>68</v>
      </c>
      <c r="G698" s="22">
        <v>2.2999999999999998</v>
      </c>
      <c r="H698">
        <f>IF(MONTH(Call_Center[[#This Row],[Date of Call]])&lt;=6,2023,2024)</f>
        <v>2024</v>
      </c>
      <c r="I698" t="str">
        <f>TEXT(Call_Center[[#This Row],[Date of Call]],"DDDD")</f>
        <v>Tuesday</v>
      </c>
      <c r="J698" t="str" cm="1">
        <f t="array" ref="J698">_xlfn.IFS(Call_Center[[#This Row],[Duration]]&lt;=10,"Under 10 mins",Call_Center[[#This Row],[Duration]]&lt;=30,"10 to 30 min",Call_Center[[#This Row],[Duration]]&lt;=60,"30 to 60 min",Call_Center[[#This Row],[Duration]]&lt;=120,"1 to 2 hours",TRUE,"More than 2 hours")</f>
        <v>1 to 2 hours</v>
      </c>
      <c r="K698">
        <f>ROUND(Call_Center[[#This Row],[Satisfaction Rating]],0)</f>
        <v>2</v>
      </c>
    </row>
    <row r="699" spans="1:11" x14ac:dyDescent="0.35">
      <c r="A699" s="21" t="s">
        <v>1682</v>
      </c>
      <c r="B699" s="18" t="s">
        <v>976</v>
      </c>
      <c r="C699" s="18">
        <v>70</v>
      </c>
      <c r="D699" s="19" t="s">
        <v>972</v>
      </c>
      <c r="E699" s="20">
        <v>45168</v>
      </c>
      <c r="F699" s="18">
        <v>210</v>
      </c>
      <c r="G699" s="22">
        <v>4.0999999999999996</v>
      </c>
      <c r="H699">
        <f>IF(MONTH(Call_Center[[#This Row],[Date of Call]])&lt;=6,2023,2024)</f>
        <v>2024</v>
      </c>
      <c r="I699" t="str">
        <f>TEXT(Call_Center[[#This Row],[Date of Call]],"DDDD")</f>
        <v>Wednesday</v>
      </c>
      <c r="J699" t="str" cm="1">
        <f t="array" ref="J699">_xlfn.IFS(Call_Center[[#This Row],[Duration]]&lt;=10,"Under 10 mins",Call_Center[[#This Row],[Duration]]&lt;=30,"10 to 30 min",Call_Center[[#This Row],[Duration]]&lt;=60,"30 to 60 min",Call_Center[[#This Row],[Duration]]&lt;=120,"1 to 2 hours",TRUE,"More than 2 hours")</f>
        <v>1 to 2 hours</v>
      </c>
      <c r="K699">
        <f>ROUND(Call_Center[[#This Row],[Satisfaction Rating]],0)</f>
        <v>4</v>
      </c>
    </row>
    <row r="700" spans="1:11" x14ac:dyDescent="0.35">
      <c r="A700" s="21" t="s">
        <v>1683</v>
      </c>
      <c r="B700" s="18" t="s">
        <v>969</v>
      </c>
      <c r="C700" s="18">
        <v>51</v>
      </c>
      <c r="D700" s="19" t="s">
        <v>967</v>
      </c>
      <c r="E700" s="20">
        <v>45168</v>
      </c>
      <c r="F700" s="18">
        <v>111</v>
      </c>
      <c r="G700" s="22">
        <v>4.3</v>
      </c>
      <c r="H700">
        <f>IF(MONTH(Call_Center[[#This Row],[Date of Call]])&lt;=6,2023,2024)</f>
        <v>2024</v>
      </c>
      <c r="I700" t="str">
        <f>TEXT(Call_Center[[#This Row],[Date of Call]],"DDDD")</f>
        <v>Wednesday</v>
      </c>
      <c r="J700" t="str" cm="1">
        <f t="array" ref="J700">_xlfn.IFS(Call_Center[[#This Row],[Duration]]&lt;=10,"Under 10 mins",Call_Center[[#This Row],[Duration]]&lt;=30,"10 to 30 min",Call_Center[[#This Row],[Duration]]&lt;=60,"30 to 60 min",Call_Center[[#This Row],[Duration]]&lt;=120,"1 to 2 hours",TRUE,"More than 2 hours")</f>
        <v>30 to 60 min</v>
      </c>
      <c r="K700">
        <f>ROUND(Call_Center[[#This Row],[Satisfaction Rating]],0)</f>
        <v>4</v>
      </c>
    </row>
    <row r="701" spans="1:11" x14ac:dyDescent="0.35">
      <c r="A701" s="21" t="s">
        <v>1684</v>
      </c>
      <c r="B701" s="18" t="s">
        <v>969</v>
      </c>
      <c r="C701" s="18">
        <v>100</v>
      </c>
      <c r="D701" s="19" t="s">
        <v>972</v>
      </c>
      <c r="E701" s="20">
        <v>45169</v>
      </c>
      <c r="F701" s="18">
        <v>45</v>
      </c>
      <c r="G701" s="22">
        <v>4.9000000000000004</v>
      </c>
      <c r="H701">
        <f>IF(MONTH(Call_Center[[#This Row],[Date of Call]])&lt;=6,2023,2024)</f>
        <v>2024</v>
      </c>
      <c r="I701" t="str">
        <f>TEXT(Call_Center[[#This Row],[Date of Call]],"DDDD")</f>
        <v>Thursday</v>
      </c>
      <c r="J701" t="str" cm="1">
        <f t="array" ref="J701">_xlfn.IFS(Call_Center[[#This Row],[Duration]]&lt;=10,"Under 10 mins",Call_Center[[#This Row],[Duration]]&lt;=30,"10 to 30 min",Call_Center[[#This Row],[Duration]]&lt;=60,"30 to 60 min",Call_Center[[#This Row],[Duration]]&lt;=120,"1 to 2 hours",TRUE,"More than 2 hours")</f>
        <v>1 to 2 hours</v>
      </c>
      <c r="K701">
        <f>ROUND(Call_Center[[#This Row],[Satisfaction Rating]],0)</f>
        <v>5</v>
      </c>
    </row>
    <row r="702" spans="1:11" x14ac:dyDescent="0.35">
      <c r="A702" s="21" t="s">
        <v>1685</v>
      </c>
      <c r="B702" s="18" t="s">
        <v>989</v>
      </c>
      <c r="C702" s="18">
        <v>124</v>
      </c>
      <c r="D702" s="19" t="s">
        <v>967</v>
      </c>
      <c r="E702" s="20">
        <v>45170</v>
      </c>
      <c r="F702" s="18">
        <v>132</v>
      </c>
      <c r="G702" s="22">
        <v>4</v>
      </c>
      <c r="H702">
        <f>IF(MONTH(Call_Center[[#This Row],[Date of Call]])&lt;=6,2023,2024)</f>
        <v>2024</v>
      </c>
      <c r="I702" t="str">
        <f>TEXT(Call_Center[[#This Row],[Date of Call]],"DDDD")</f>
        <v>Friday</v>
      </c>
      <c r="J702" t="str" cm="1">
        <f t="array" ref="J702">_xlfn.IFS(Call_Center[[#This Row],[Duration]]&lt;=10,"Under 10 mins",Call_Center[[#This Row],[Duration]]&lt;=30,"10 to 30 min",Call_Center[[#This Row],[Duration]]&lt;=60,"30 to 60 min",Call_Center[[#This Row],[Duration]]&lt;=120,"1 to 2 hours",TRUE,"More than 2 hours")</f>
        <v>More than 2 hours</v>
      </c>
      <c r="K702">
        <f>ROUND(Call_Center[[#This Row],[Satisfaction Rating]],0)</f>
        <v>4</v>
      </c>
    </row>
    <row r="703" spans="1:11" x14ac:dyDescent="0.35">
      <c r="A703" s="21" t="s">
        <v>1686</v>
      </c>
      <c r="B703" s="18" t="s">
        <v>966</v>
      </c>
      <c r="C703" s="18">
        <v>143</v>
      </c>
      <c r="D703" s="19" t="s">
        <v>986</v>
      </c>
      <c r="E703" s="20">
        <v>45170</v>
      </c>
      <c r="F703" s="18">
        <v>20</v>
      </c>
      <c r="G703" s="22">
        <v>4.7</v>
      </c>
      <c r="H703">
        <f>IF(MONTH(Call_Center[[#This Row],[Date of Call]])&lt;=6,2023,2024)</f>
        <v>2024</v>
      </c>
      <c r="I703" t="str">
        <f>TEXT(Call_Center[[#This Row],[Date of Call]],"DDDD")</f>
        <v>Friday</v>
      </c>
      <c r="J703" t="str" cm="1">
        <f t="array" ref="J703">_xlfn.IFS(Call_Center[[#This Row],[Duration]]&lt;=10,"Under 10 mins",Call_Center[[#This Row],[Duration]]&lt;=30,"10 to 30 min",Call_Center[[#This Row],[Duration]]&lt;=60,"30 to 60 min",Call_Center[[#This Row],[Duration]]&lt;=120,"1 to 2 hours",TRUE,"More than 2 hours")</f>
        <v>More than 2 hours</v>
      </c>
      <c r="K703">
        <f>ROUND(Call_Center[[#This Row],[Satisfaction Rating]],0)</f>
        <v>5</v>
      </c>
    </row>
    <row r="704" spans="1:11" x14ac:dyDescent="0.35">
      <c r="A704" s="21" t="s">
        <v>1687</v>
      </c>
      <c r="B704" s="18" t="s">
        <v>985</v>
      </c>
      <c r="C704" s="18">
        <v>96</v>
      </c>
      <c r="D704" s="19" t="s">
        <v>982</v>
      </c>
      <c r="E704" s="20">
        <v>45170</v>
      </c>
      <c r="F704" s="18">
        <v>36</v>
      </c>
      <c r="G704" s="22">
        <v>3.4</v>
      </c>
      <c r="H704">
        <f>IF(MONTH(Call_Center[[#This Row],[Date of Call]])&lt;=6,2023,2024)</f>
        <v>2024</v>
      </c>
      <c r="I704" t="str">
        <f>TEXT(Call_Center[[#This Row],[Date of Call]],"DDDD")</f>
        <v>Friday</v>
      </c>
      <c r="J704" t="str" cm="1">
        <f t="array" ref="J704">_xlfn.IFS(Call_Center[[#This Row],[Duration]]&lt;=10,"Under 10 mins",Call_Center[[#This Row],[Duration]]&lt;=30,"10 to 30 min",Call_Center[[#This Row],[Duration]]&lt;=60,"30 to 60 min",Call_Center[[#This Row],[Duration]]&lt;=120,"1 to 2 hours",TRUE,"More than 2 hours")</f>
        <v>1 to 2 hours</v>
      </c>
      <c r="K704">
        <f>ROUND(Call_Center[[#This Row],[Satisfaction Rating]],0)</f>
        <v>3</v>
      </c>
    </row>
    <row r="705" spans="1:11" x14ac:dyDescent="0.35">
      <c r="A705" s="21" t="s">
        <v>1688</v>
      </c>
      <c r="B705" s="18" t="s">
        <v>1018</v>
      </c>
      <c r="C705" s="18">
        <v>84</v>
      </c>
      <c r="D705" s="19" t="s">
        <v>972</v>
      </c>
      <c r="E705" s="20">
        <v>45172</v>
      </c>
      <c r="F705" s="18">
        <v>72</v>
      </c>
      <c r="G705" s="22">
        <v>4</v>
      </c>
      <c r="H705">
        <f>IF(MONTH(Call_Center[[#This Row],[Date of Call]])&lt;=6,2023,2024)</f>
        <v>2024</v>
      </c>
      <c r="I705" t="str">
        <f>TEXT(Call_Center[[#This Row],[Date of Call]],"DDDD")</f>
        <v>Sunday</v>
      </c>
      <c r="J705" t="str" cm="1">
        <f t="array" ref="J705">_xlfn.IFS(Call_Center[[#This Row],[Duration]]&lt;=10,"Under 10 mins",Call_Center[[#This Row],[Duration]]&lt;=30,"10 to 30 min",Call_Center[[#This Row],[Duration]]&lt;=60,"30 to 60 min",Call_Center[[#This Row],[Duration]]&lt;=120,"1 to 2 hours",TRUE,"More than 2 hours")</f>
        <v>1 to 2 hours</v>
      </c>
      <c r="K705">
        <f>ROUND(Call_Center[[#This Row],[Satisfaction Rating]],0)</f>
        <v>4</v>
      </c>
    </row>
    <row r="706" spans="1:11" x14ac:dyDescent="0.35">
      <c r="A706" s="21" t="s">
        <v>1689</v>
      </c>
      <c r="B706" s="18" t="s">
        <v>997</v>
      </c>
      <c r="C706" s="18">
        <v>111</v>
      </c>
      <c r="D706" s="19" t="s">
        <v>972</v>
      </c>
      <c r="E706" s="20">
        <v>45172</v>
      </c>
      <c r="F706" s="18">
        <v>63</v>
      </c>
      <c r="G706" s="22">
        <v>4.5</v>
      </c>
      <c r="H706">
        <f>IF(MONTH(Call_Center[[#This Row],[Date of Call]])&lt;=6,2023,2024)</f>
        <v>2024</v>
      </c>
      <c r="I706" t="str">
        <f>TEXT(Call_Center[[#This Row],[Date of Call]],"DDDD")</f>
        <v>Sunday</v>
      </c>
      <c r="J706" t="str" cm="1">
        <f t="array" ref="J706">_xlfn.IFS(Call_Center[[#This Row],[Duration]]&lt;=10,"Under 10 mins",Call_Center[[#This Row],[Duration]]&lt;=30,"10 to 30 min",Call_Center[[#This Row],[Duration]]&lt;=60,"30 to 60 min",Call_Center[[#This Row],[Duration]]&lt;=120,"1 to 2 hours",TRUE,"More than 2 hours")</f>
        <v>1 to 2 hours</v>
      </c>
      <c r="K706">
        <f>ROUND(Call_Center[[#This Row],[Satisfaction Rating]],0)</f>
        <v>5</v>
      </c>
    </row>
    <row r="707" spans="1:11" x14ac:dyDescent="0.35">
      <c r="A707" s="21" t="s">
        <v>1690</v>
      </c>
      <c r="B707" s="18" t="s">
        <v>997</v>
      </c>
      <c r="C707" s="18">
        <v>103</v>
      </c>
      <c r="D707" s="19" t="s">
        <v>967</v>
      </c>
      <c r="E707" s="20">
        <v>45173</v>
      </c>
      <c r="F707" s="18">
        <v>44</v>
      </c>
      <c r="G707" s="22">
        <v>4.5</v>
      </c>
      <c r="H707">
        <f>IF(MONTH(Call_Center[[#This Row],[Date of Call]])&lt;=6,2023,2024)</f>
        <v>2024</v>
      </c>
      <c r="I707" t="str">
        <f>TEXT(Call_Center[[#This Row],[Date of Call]],"DDDD")</f>
        <v>Monday</v>
      </c>
      <c r="J707" t="str" cm="1">
        <f t="array" ref="J707">_xlfn.IFS(Call_Center[[#This Row],[Duration]]&lt;=10,"Under 10 mins",Call_Center[[#This Row],[Duration]]&lt;=30,"10 to 30 min",Call_Center[[#This Row],[Duration]]&lt;=60,"30 to 60 min",Call_Center[[#This Row],[Duration]]&lt;=120,"1 to 2 hours",TRUE,"More than 2 hours")</f>
        <v>1 to 2 hours</v>
      </c>
      <c r="K707">
        <f>ROUND(Call_Center[[#This Row],[Satisfaction Rating]],0)</f>
        <v>5</v>
      </c>
    </row>
    <row r="708" spans="1:11" x14ac:dyDescent="0.35">
      <c r="A708" s="21" t="s">
        <v>1691</v>
      </c>
      <c r="B708" s="18" t="s">
        <v>966</v>
      </c>
      <c r="C708" s="18">
        <v>61</v>
      </c>
      <c r="D708" s="19" t="s">
        <v>977</v>
      </c>
      <c r="E708" s="20">
        <v>45173</v>
      </c>
      <c r="F708" s="18">
        <v>132</v>
      </c>
      <c r="G708" s="22">
        <v>4.9000000000000004</v>
      </c>
      <c r="H708">
        <f>IF(MONTH(Call_Center[[#This Row],[Date of Call]])&lt;=6,2023,2024)</f>
        <v>2024</v>
      </c>
      <c r="I708" t="str">
        <f>TEXT(Call_Center[[#This Row],[Date of Call]],"DDDD")</f>
        <v>Monday</v>
      </c>
      <c r="J708" t="str" cm="1">
        <f t="array" ref="J708">_xlfn.IFS(Call_Center[[#This Row],[Duration]]&lt;=10,"Under 10 mins",Call_Center[[#This Row],[Duration]]&lt;=30,"10 to 30 min",Call_Center[[#This Row],[Duration]]&lt;=60,"30 to 60 min",Call_Center[[#This Row],[Duration]]&lt;=120,"1 to 2 hours",TRUE,"More than 2 hours")</f>
        <v>1 to 2 hours</v>
      </c>
      <c r="K708">
        <f>ROUND(Call_Center[[#This Row],[Satisfaction Rating]],0)</f>
        <v>5</v>
      </c>
    </row>
    <row r="709" spans="1:11" x14ac:dyDescent="0.35">
      <c r="A709" s="21" t="s">
        <v>1692</v>
      </c>
      <c r="B709" s="18" t="s">
        <v>1008</v>
      </c>
      <c r="C709" s="18">
        <v>113</v>
      </c>
      <c r="D709" s="19" t="s">
        <v>982</v>
      </c>
      <c r="E709" s="20">
        <v>45173</v>
      </c>
      <c r="F709" s="18">
        <v>46</v>
      </c>
      <c r="G709" s="22">
        <v>4.4000000000000004</v>
      </c>
      <c r="H709">
        <f>IF(MONTH(Call_Center[[#This Row],[Date of Call]])&lt;=6,2023,2024)</f>
        <v>2024</v>
      </c>
      <c r="I709" t="str">
        <f>TEXT(Call_Center[[#This Row],[Date of Call]],"DDDD")</f>
        <v>Monday</v>
      </c>
      <c r="J709" t="str" cm="1">
        <f t="array" ref="J709">_xlfn.IFS(Call_Center[[#This Row],[Duration]]&lt;=10,"Under 10 mins",Call_Center[[#This Row],[Duration]]&lt;=30,"10 to 30 min",Call_Center[[#This Row],[Duration]]&lt;=60,"30 to 60 min",Call_Center[[#This Row],[Duration]]&lt;=120,"1 to 2 hours",TRUE,"More than 2 hours")</f>
        <v>1 to 2 hours</v>
      </c>
      <c r="K709">
        <f>ROUND(Call_Center[[#This Row],[Satisfaction Rating]],0)</f>
        <v>4</v>
      </c>
    </row>
    <row r="710" spans="1:11" x14ac:dyDescent="0.35">
      <c r="A710" s="21" t="s">
        <v>1693</v>
      </c>
      <c r="B710" s="18" t="s">
        <v>1008</v>
      </c>
      <c r="C710" s="18">
        <v>96</v>
      </c>
      <c r="D710" s="19" t="s">
        <v>982</v>
      </c>
      <c r="E710" s="20">
        <v>45173</v>
      </c>
      <c r="F710" s="18">
        <v>96</v>
      </c>
      <c r="G710" s="22">
        <v>2.9</v>
      </c>
      <c r="H710">
        <f>IF(MONTH(Call_Center[[#This Row],[Date of Call]])&lt;=6,2023,2024)</f>
        <v>2024</v>
      </c>
      <c r="I710" t="str">
        <f>TEXT(Call_Center[[#This Row],[Date of Call]],"DDDD")</f>
        <v>Monday</v>
      </c>
      <c r="J710" t="str" cm="1">
        <f t="array" ref="J710">_xlfn.IFS(Call_Center[[#This Row],[Duration]]&lt;=10,"Under 10 mins",Call_Center[[#This Row],[Duration]]&lt;=30,"10 to 30 min",Call_Center[[#This Row],[Duration]]&lt;=60,"30 to 60 min",Call_Center[[#This Row],[Duration]]&lt;=120,"1 to 2 hours",TRUE,"More than 2 hours")</f>
        <v>1 to 2 hours</v>
      </c>
      <c r="K710">
        <f>ROUND(Call_Center[[#This Row],[Satisfaction Rating]],0)</f>
        <v>3</v>
      </c>
    </row>
    <row r="711" spans="1:11" x14ac:dyDescent="0.35">
      <c r="A711" s="21" t="s">
        <v>1694</v>
      </c>
      <c r="B711" s="18" t="s">
        <v>991</v>
      </c>
      <c r="C711" s="18">
        <v>131</v>
      </c>
      <c r="D711" s="19" t="s">
        <v>967</v>
      </c>
      <c r="E711" s="20">
        <v>45174</v>
      </c>
      <c r="F711" s="18">
        <v>75</v>
      </c>
      <c r="G711" s="22">
        <v>4.4000000000000004</v>
      </c>
      <c r="H711">
        <f>IF(MONTH(Call_Center[[#This Row],[Date of Call]])&lt;=6,2023,2024)</f>
        <v>2024</v>
      </c>
      <c r="I711" t="str">
        <f>TEXT(Call_Center[[#This Row],[Date of Call]],"DDDD")</f>
        <v>Tuesday</v>
      </c>
      <c r="J711" t="str" cm="1">
        <f t="array" ref="J711">_xlfn.IFS(Call_Center[[#This Row],[Duration]]&lt;=10,"Under 10 mins",Call_Center[[#This Row],[Duration]]&lt;=30,"10 to 30 min",Call_Center[[#This Row],[Duration]]&lt;=60,"30 to 60 min",Call_Center[[#This Row],[Duration]]&lt;=120,"1 to 2 hours",TRUE,"More than 2 hours")</f>
        <v>More than 2 hours</v>
      </c>
      <c r="K711">
        <f>ROUND(Call_Center[[#This Row],[Satisfaction Rating]],0)</f>
        <v>4</v>
      </c>
    </row>
    <row r="712" spans="1:11" x14ac:dyDescent="0.35">
      <c r="A712" s="21" t="s">
        <v>1695</v>
      </c>
      <c r="B712" s="18" t="s">
        <v>980</v>
      </c>
      <c r="C712" s="18">
        <v>52</v>
      </c>
      <c r="D712" s="19" t="s">
        <v>982</v>
      </c>
      <c r="E712" s="20">
        <v>45175</v>
      </c>
      <c r="F712" s="18">
        <v>88</v>
      </c>
      <c r="G712" s="22">
        <v>4.3</v>
      </c>
      <c r="H712">
        <f>IF(MONTH(Call_Center[[#This Row],[Date of Call]])&lt;=6,2023,2024)</f>
        <v>2024</v>
      </c>
      <c r="I712" t="str">
        <f>TEXT(Call_Center[[#This Row],[Date of Call]],"DDDD")</f>
        <v>Wednesday</v>
      </c>
      <c r="J712" t="str" cm="1">
        <f t="array" ref="J712">_xlfn.IFS(Call_Center[[#This Row],[Duration]]&lt;=10,"Under 10 mins",Call_Center[[#This Row],[Duration]]&lt;=30,"10 to 30 min",Call_Center[[#This Row],[Duration]]&lt;=60,"30 to 60 min",Call_Center[[#This Row],[Duration]]&lt;=120,"1 to 2 hours",TRUE,"More than 2 hours")</f>
        <v>30 to 60 min</v>
      </c>
      <c r="K712">
        <f>ROUND(Call_Center[[#This Row],[Satisfaction Rating]],0)</f>
        <v>4</v>
      </c>
    </row>
    <row r="713" spans="1:11" x14ac:dyDescent="0.35">
      <c r="A713" s="21" t="s">
        <v>1696</v>
      </c>
      <c r="B713" s="18" t="s">
        <v>969</v>
      </c>
      <c r="C713" s="18">
        <v>100</v>
      </c>
      <c r="D713" s="19" t="s">
        <v>967</v>
      </c>
      <c r="E713" s="20">
        <v>45175</v>
      </c>
      <c r="F713" s="18">
        <v>24</v>
      </c>
      <c r="G713" s="22">
        <v>4.7</v>
      </c>
      <c r="H713">
        <f>IF(MONTH(Call_Center[[#This Row],[Date of Call]])&lt;=6,2023,2024)</f>
        <v>2024</v>
      </c>
      <c r="I713" t="str">
        <f>TEXT(Call_Center[[#This Row],[Date of Call]],"DDDD")</f>
        <v>Wednesday</v>
      </c>
      <c r="J713" t="str" cm="1">
        <f t="array" ref="J713">_xlfn.IFS(Call_Center[[#This Row],[Duration]]&lt;=10,"Under 10 mins",Call_Center[[#This Row],[Duration]]&lt;=30,"10 to 30 min",Call_Center[[#This Row],[Duration]]&lt;=60,"30 to 60 min",Call_Center[[#This Row],[Duration]]&lt;=120,"1 to 2 hours",TRUE,"More than 2 hours")</f>
        <v>1 to 2 hours</v>
      </c>
      <c r="K713">
        <f>ROUND(Call_Center[[#This Row],[Satisfaction Rating]],0)</f>
        <v>5</v>
      </c>
    </row>
    <row r="714" spans="1:11" x14ac:dyDescent="0.35">
      <c r="A714" s="21" t="s">
        <v>1697</v>
      </c>
      <c r="B714" s="18" t="s">
        <v>974</v>
      </c>
      <c r="C714" s="18">
        <v>58</v>
      </c>
      <c r="D714" s="19" t="s">
        <v>986</v>
      </c>
      <c r="E714" s="20">
        <v>45175</v>
      </c>
      <c r="F714" s="18">
        <v>96</v>
      </c>
      <c r="G714" s="22">
        <v>3.2</v>
      </c>
      <c r="H714">
        <f>IF(MONTH(Call_Center[[#This Row],[Date of Call]])&lt;=6,2023,2024)</f>
        <v>2024</v>
      </c>
      <c r="I714" t="str">
        <f>TEXT(Call_Center[[#This Row],[Date of Call]],"DDDD")</f>
        <v>Wednesday</v>
      </c>
      <c r="J714" t="str" cm="1">
        <f t="array" ref="J714">_xlfn.IFS(Call_Center[[#This Row],[Duration]]&lt;=10,"Under 10 mins",Call_Center[[#This Row],[Duration]]&lt;=30,"10 to 30 min",Call_Center[[#This Row],[Duration]]&lt;=60,"30 to 60 min",Call_Center[[#This Row],[Duration]]&lt;=120,"1 to 2 hours",TRUE,"More than 2 hours")</f>
        <v>30 to 60 min</v>
      </c>
      <c r="K714">
        <f>ROUND(Call_Center[[#This Row],[Satisfaction Rating]],0)</f>
        <v>3</v>
      </c>
    </row>
    <row r="715" spans="1:11" x14ac:dyDescent="0.35">
      <c r="A715" s="21" t="s">
        <v>1698</v>
      </c>
      <c r="B715" s="18" t="s">
        <v>976</v>
      </c>
      <c r="C715" s="18">
        <v>144</v>
      </c>
      <c r="D715" s="19" t="s">
        <v>986</v>
      </c>
      <c r="E715" s="20">
        <v>45176</v>
      </c>
      <c r="F715" s="18">
        <v>124</v>
      </c>
      <c r="G715" s="22">
        <v>2.2999999999999998</v>
      </c>
      <c r="H715">
        <f>IF(MONTH(Call_Center[[#This Row],[Date of Call]])&lt;=6,2023,2024)</f>
        <v>2024</v>
      </c>
      <c r="I715" t="str">
        <f>TEXT(Call_Center[[#This Row],[Date of Call]],"DDDD")</f>
        <v>Thursday</v>
      </c>
      <c r="J715" t="str" cm="1">
        <f t="array" ref="J715">_xlfn.IFS(Call_Center[[#This Row],[Duration]]&lt;=10,"Under 10 mins",Call_Center[[#This Row],[Duration]]&lt;=30,"10 to 30 min",Call_Center[[#This Row],[Duration]]&lt;=60,"30 to 60 min",Call_Center[[#This Row],[Duration]]&lt;=120,"1 to 2 hours",TRUE,"More than 2 hours")</f>
        <v>More than 2 hours</v>
      </c>
      <c r="K715">
        <f>ROUND(Call_Center[[#This Row],[Satisfaction Rating]],0)</f>
        <v>2</v>
      </c>
    </row>
    <row r="716" spans="1:11" x14ac:dyDescent="0.35">
      <c r="A716" s="21" t="s">
        <v>1699</v>
      </c>
      <c r="B716" s="18" t="s">
        <v>974</v>
      </c>
      <c r="C716" s="18">
        <v>53</v>
      </c>
      <c r="D716" s="19" t="s">
        <v>977</v>
      </c>
      <c r="E716" s="20">
        <v>45177</v>
      </c>
      <c r="F716" s="18">
        <v>130</v>
      </c>
      <c r="G716" s="22">
        <v>3.6</v>
      </c>
      <c r="H716">
        <f>IF(MONTH(Call_Center[[#This Row],[Date of Call]])&lt;=6,2023,2024)</f>
        <v>2024</v>
      </c>
      <c r="I716" t="str">
        <f>TEXT(Call_Center[[#This Row],[Date of Call]],"DDDD")</f>
        <v>Friday</v>
      </c>
      <c r="J716" t="str" cm="1">
        <f t="array" ref="J716">_xlfn.IFS(Call_Center[[#This Row],[Duration]]&lt;=10,"Under 10 mins",Call_Center[[#This Row],[Duration]]&lt;=30,"10 to 30 min",Call_Center[[#This Row],[Duration]]&lt;=60,"30 to 60 min",Call_Center[[#This Row],[Duration]]&lt;=120,"1 to 2 hours",TRUE,"More than 2 hours")</f>
        <v>30 to 60 min</v>
      </c>
      <c r="K716">
        <f>ROUND(Call_Center[[#This Row],[Satisfaction Rating]],0)</f>
        <v>4</v>
      </c>
    </row>
    <row r="717" spans="1:11" x14ac:dyDescent="0.35">
      <c r="A717" s="21" t="s">
        <v>1700</v>
      </c>
      <c r="B717" s="18" t="s">
        <v>1008</v>
      </c>
      <c r="C717" s="18">
        <v>97</v>
      </c>
      <c r="D717" s="19" t="s">
        <v>972</v>
      </c>
      <c r="E717" s="20">
        <v>45177</v>
      </c>
      <c r="F717" s="18">
        <v>45</v>
      </c>
      <c r="G717" s="22">
        <v>4.5999999999999996</v>
      </c>
      <c r="H717">
        <f>IF(MONTH(Call_Center[[#This Row],[Date of Call]])&lt;=6,2023,2024)</f>
        <v>2024</v>
      </c>
      <c r="I717" t="str">
        <f>TEXT(Call_Center[[#This Row],[Date of Call]],"DDDD")</f>
        <v>Friday</v>
      </c>
      <c r="J717" t="str" cm="1">
        <f t="array" ref="J717">_xlfn.IFS(Call_Center[[#This Row],[Duration]]&lt;=10,"Under 10 mins",Call_Center[[#This Row],[Duration]]&lt;=30,"10 to 30 min",Call_Center[[#This Row],[Duration]]&lt;=60,"30 to 60 min",Call_Center[[#This Row],[Duration]]&lt;=120,"1 to 2 hours",TRUE,"More than 2 hours")</f>
        <v>1 to 2 hours</v>
      </c>
      <c r="K717">
        <f>ROUND(Call_Center[[#This Row],[Satisfaction Rating]],0)</f>
        <v>5</v>
      </c>
    </row>
    <row r="718" spans="1:11" x14ac:dyDescent="0.35">
      <c r="A718" s="21" t="s">
        <v>1701</v>
      </c>
      <c r="B718" s="18" t="s">
        <v>971</v>
      </c>
      <c r="C718" s="18">
        <v>64</v>
      </c>
      <c r="D718" s="19" t="s">
        <v>986</v>
      </c>
      <c r="E718" s="20">
        <v>45177</v>
      </c>
      <c r="F718" s="18">
        <v>66</v>
      </c>
      <c r="G718" s="22">
        <v>4</v>
      </c>
      <c r="H718">
        <f>IF(MONTH(Call_Center[[#This Row],[Date of Call]])&lt;=6,2023,2024)</f>
        <v>2024</v>
      </c>
      <c r="I718" t="str">
        <f>TEXT(Call_Center[[#This Row],[Date of Call]],"DDDD")</f>
        <v>Friday</v>
      </c>
      <c r="J718" t="str" cm="1">
        <f t="array" ref="J718">_xlfn.IFS(Call_Center[[#This Row],[Duration]]&lt;=10,"Under 10 mins",Call_Center[[#This Row],[Duration]]&lt;=30,"10 to 30 min",Call_Center[[#This Row],[Duration]]&lt;=60,"30 to 60 min",Call_Center[[#This Row],[Duration]]&lt;=120,"1 to 2 hours",TRUE,"More than 2 hours")</f>
        <v>1 to 2 hours</v>
      </c>
      <c r="K718">
        <f>ROUND(Call_Center[[#This Row],[Satisfaction Rating]],0)</f>
        <v>4</v>
      </c>
    </row>
    <row r="719" spans="1:11" x14ac:dyDescent="0.35">
      <c r="A719" s="21" t="s">
        <v>1702</v>
      </c>
      <c r="B719" s="18" t="s">
        <v>966</v>
      </c>
      <c r="C719" s="18">
        <v>106</v>
      </c>
      <c r="D719" s="19" t="s">
        <v>967</v>
      </c>
      <c r="E719" s="20">
        <v>45177</v>
      </c>
      <c r="F719" s="18">
        <v>58</v>
      </c>
      <c r="G719" s="22">
        <v>4.7</v>
      </c>
      <c r="H719">
        <f>IF(MONTH(Call_Center[[#This Row],[Date of Call]])&lt;=6,2023,2024)</f>
        <v>2024</v>
      </c>
      <c r="I719" t="str">
        <f>TEXT(Call_Center[[#This Row],[Date of Call]],"DDDD")</f>
        <v>Friday</v>
      </c>
      <c r="J719" t="str" cm="1">
        <f t="array" ref="J719">_xlfn.IFS(Call_Center[[#This Row],[Duration]]&lt;=10,"Under 10 mins",Call_Center[[#This Row],[Duration]]&lt;=30,"10 to 30 min",Call_Center[[#This Row],[Duration]]&lt;=60,"30 to 60 min",Call_Center[[#This Row],[Duration]]&lt;=120,"1 to 2 hours",TRUE,"More than 2 hours")</f>
        <v>1 to 2 hours</v>
      </c>
      <c r="K719">
        <f>ROUND(Call_Center[[#This Row],[Satisfaction Rating]],0)</f>
        <v>5</v>
      </c>
    </row>
    <row r="720" spans="1:11" x14ac:dyDescent="0.35">
      <c r="A720" s="21" t="s">
        <v>1703</v>
      </c>
      <c r="B720" s="18" t="s">
        <v>1018</v>
      </c>
      <c r="C720" s="18">
        <v>36</v>
      </c>
      <c r="D720" s="19" t="s">
        <v>986</v>
      </c>
      <c r="E720" s="20">
        <v>45178</v>
      </c>
      <c r="F720" s="18">
        <v>152</v>
      </c>
      <c r="G720" s="22">
        <v>4.3</v>
      </c>
      <c r="H720">
        <f>IF(MONTH(Call_Center[[#This Row],[Date of Call]])&lt;=6,2023,2024)</f>
        <v>2024</v>
      </c>
      <c r="I720" t="str">
        <f>TEXT(Call_Center[[#This Row],[Date of Call]],"DDDD")</f>
        <v>Saturday</v>
      </c>
      <c r="J720" t="str" cm="1">
        <f t="array" ref="J720">_xlfn.IFS(Call_Center[[#This Row],[Duration]]&lt;=10,"Under 10 mins",Call_Center[[#This Row],[Duration]]&lt;=30,"10 to 30 min",Call_Center[[#This Row],[Duration]]&lt;=60,"30 to 60 min",Call_Center[[#This Row],[Duration]]&lt;=120,"1 to 2 hours",TRUE,"More than 2 hours")</f>
        <v>30 to 60 min</v>
      </c>
      <c r="K720">
        <f>ROUND(Call_Center[[#This Row],[Satisfaction Rating]],0)</f>
        <v>4</v>
      </c>
    </row>
    <row r="721" spans="1:11" x14ac:dyDescent="0.35">
      <c r="A721" s="21" t="s">
        <v>1704</v>
      </c>
      <c r="B721" s="18" t="s">
        <v>976</v>
      </c>
      <c r="C721" s="18">
        <v>74</v>
      </c>
      <c r="D721" s="19" t="s">
        <v>982</v>
      </c>
      <c r="E721" s="20">
        <v>45178</v>
      </c>
      <c r="F721" s="18">
        <v>75</v>
      </c>
      <c r="G721" s="22">
        <v>2.8</v>
      </c>
      <c r="H721">
        <f>IF(MONTH(Call_Center[[#This Row],[Date of Call]])&lt;=6,2023,2024)</f>
        <v>2024</v>
      </c>
      <c r="I721" t="str">
        <f>TEXT(Call_Center[[#This Row],[Date of Call]],"DDDD")</f>
        <v>Saturday</v>
      </c>
      <c r="J721" t="str" cm="1">
        <f t="array" ref="J721">_xlfn.IFS(Call_Center[[#This Row],[Duration]]&lt;=10,"Under 10 mins",Call_Center[[#This Row],[Duration]]&lt;=30,"10 to 30 min",Call_Center[[#This Row],[Duration]]&lt;=60,"30 to 60 min",Call_Center[[#This Row],[Duration]]&lt;=120,"1 to 2 hours",TRUE,"More than 2 hours")</f>
        <v>1 to 2 hours</v>
      </c>
      <c r="K721">
        <f>ROUND(Call_Center[[#This Row],[Satisfaction Rating]],0)</f>
        <v>3</v>
      </c>
    </row>
    <row r="722" spans="1:11" x14ac:dyDescent="0.35">
      <c r="A722" s="21" t="s">
        <v>1705</v>
      </c>
      <c r="B722" s="18" t="s">
        <v>1000</v>
      </c>
      <c r="C722" s="18">
        <v>143</v>
      </c>
      <c r="D722" s="19" t="s">
        <v>972</v>
      </c>
      <c r="E722" s="20">
        <v>45178</v>
      </c>
      <c r="F722" s="18">
        <v>78</v>
      </c>
      <c r="G722" s="22">
        <v>4</v>
      </c>
      <c r="H722">
        <f>IF(MONTH(Call_Center[[#This Row],[Date of Call]])&lt;=6,2023,2024)</f>
        <v>2024</v>
      </c>
      <c r="I722" t="str">
        <f>TEXT(Call_Center[[#This Row],[Date of Call]],"DDDD")</f>
        <v>Saturday</v>
      </c>
      <c r="J722" t="str" cm="1">
        <f t="array" ref="J722">_xlfn.IFS(Call_Center[[#This Row],[Duration]]&lt;=10,"Under 10 mins",Call_Center[[#This Row],[Duration]]&lt;=30,"10 to 30 min",Call_Center[[#This Row],[Duration]]&lt;=60,"30 to 60 min",Call_Center[[#This Row],[Duration]]&lt;=120,"1 to 2 hours",TRUE,"More than 2 hours")</f>
        <v>More than 2 hours</v>
      </c>
      <c r="K722">
        <f>ROUND(Call_Center[[#This Row],[Satisfaction Rating]],0)</f>
        <v>4</v>
      </c>
    </row>
    <row r="723" spans="1:11" x14ac:dyDescent="0.35">
      <c r="A723" s="21" t="s">
        <v>1706</v>
      </c>
      <c r="B723" s="18" t="s">
        <v>966</v>
      </c>
      <c r="C723" s="18">
        <v>94</v>
      </c>
      <c r="D723" s="19" t="s">
        <v>977</v>
      </c>
      <c r="E723" s="20">
        <v>45178</v>
      </c>
      <c r="F723" s="18">
        <v>69</v>
      </c>
      <c r="G723" s="22">
        <v>3.9</v>
      </c>
      <c r="H723">
        <f>IF(MONTH(Call_Center[[#This Row],[Date of Call]])&lt;=6,2023,2024)</f>
        <v>2024</v>
      </c>
      <c r="I723" t="str">
        <f>TEXT(Call_Center[[#This Row],[Date of Call]],"DDDD")</f>
        <v>Saturday</v>
      </c>
      <c r="J723" t="str" cm="1">
        <f t="array" ref="J723">_xlfn.IFS(Call_Center[[#This Row],[Duration]]&lt;=10,"Under 10 mins",Call_Center[[#This Row],[Duration]]&lt;=30,"10 to 30 min",Call_Center[[#This Row],[Duration]]&lt;=60,"30 to 60 min",Call_Center[[#This Row],[Duration]]&lt;=120,"1 to 2 hours",TRUE,"More than 2 hours")</f>
        <v>1 to 2 hours</v>
      </c>
      <c r="K723">
        <f>ROUND(Call_Center[[#This Row],[Satisfaction Rating]],0)</f>
        <v>4</v>
      </c>
    </row>
    <row r="724" spans="1:11" x14ac:dyDescent="0.35">
      <c r="A724" s="21" t="s">
        <v>1707</v>
      </c>
      <c r="B724" s="18" t="s">
        <v>1005</v>
      </c>
      <c r="C724" s="18">
        <v>124</v>
      </c>
      <c r="D724" s="19" t="s">
        <v>967</v>
      </c>
      <c r="E724" s="20">
        <v>45179</v>
      </c>
      <c r="F724" s="18">
        <v>46</v>
      </c>
      <c r="G724" s="22">
        <v>3.1</v>
      </c>
      <c r="H724">
        <f>IF(MONTH(Call_Center[[#This Row],[Date of Call]])&lt;=6,2023,2024)</f>
        <v>2024</v>
      </c>
      <c r="I724" t="str">
        <f>TEXT(Call_Center[[#This Row],[Date of Call]],"DDDD")</f>
        <v>Sunday</v>
      </c>
      <c r="J724" t="str" cm="1">
        <f t="array" ref="J724">_xlfn.IFS(Call_Center[[#This Row],[Duration]]&lt;=10,"Under 10 mins",Call_Center[[#This Row],[Duration]]&lt;=30,"10 to 30 min",Call_Center[[#This Row],[Duration]]&lt;=60,"30 to 60 min",Call_Center[[#This Row],[Duration]]&lt;=120,"1 to 2 hours",TRUE,"More than 2 hours")</f>
        <v>More than 2 hours</v>
      </c>
      <c r="K724">
        <f>ROUND(Call_Center[[#This Row],[Satisfaction Rating]],0)</f>
        <v>3</v>
      </c>
    </row>
    <row r="725" spans="1:11" x14ac:dyDescent="0.35">
      <c r="A725" s="21" t="s">
        <v>1708</v>
      </c>
      <c r="B725" s="18" t="s">
        <v>1018</v>
      </c>
      <c r="C725" s="18">
        <v>156</v>
      </c>
      <c r="D725" s="19" t="s">
        <v>986</v>
      </c>
      <c r="E725" s="20">
        <v>45179</v>
      </c>
      <c r="F725" s="18">
        <v>64</v>
      </c>
      <c r="G725" s="22">
        <v>2.7</v>
      </c>
      <c r="H725">
        <f>IF(MONTH(Call_Center[[#This Row],[Date of Call]])&lt;=6,2023,2024)</f>
        <v>2024</v>
      </c>
      <c r="I725" t="str">
        <f>TEXT(Call_Center[[#This Row],[Date of Call]],"DDDD")</f>
        <v>Sunday</v>
      </c>
      <c r="J725" t="str" cm="1">
        <f t="array" ref="J725">_xlfn.IFS(Call_Center[[#This Row],[Duration]]&lt;=10,"Under 10 mins",Call_Center[[#This Row],[Duration]]&lt;=30,"10 to 30 min",Call_Center[[#This Row],[Duration]]&lt;=60,"30 to 60 min",Call_Center[[#This Row],[Duration]]&lt;=120,"1 to 2 hours",TRUE,"More than 2 hours")</f>
        <v>More than 2 hours</v>
      </c>
      <c r="K725">
        <f>ROUND(Call_Center[[#This Row],[Satisfaction Rating]],0)</f>
        <v>3</v>
      </c>
    </row>
    <row r="726" spans="1:11" x14ac:dyDescent="0.35">
      <c r="A726" s="21" t="s">
        <v>1709</v>
      </c>
      <c r="B726" s="18" t="s">
        <v>985</v>
      </c>
      <c r="C726" s="18">
        <v>107</v>
      </c>
      <c r="D726" s="19" t="s">
        <v>972</v>
      </c>
      <c r="E726" s="20">
        <v>45179</v>
      </c>
      <c r="F726" s="18">
        <v>38</v>
      </c>
      <c r="G726" s="22">
        <v>4.7</v>
      </c>
      <c r="H726">
        <f>IF(MONTH(Call_Center[[#This Row],[Date of Call]])&lt;=6,2023,2024)</f>
        <v>2024</v>
      </c>
      <c r="I726" t="str">
        <f>TEXT(Call_Center[[#This Row],[Date of Call]],"DDDD")</f>
        <v>Sunday</v>
      </c>
      <c r="J726" t="str" cm="1">
        <f t="array" ref="J726">_xlfn.IFS(Call_Center[[#This Row],[Duration]]&lt;=10,"Under 10 mins",Call_Center[[#This Row],[Duration]]&lt;=30,"10 to 30 min",Call_Center[[#This Row],[Duration]]&lt;=60,"30 to 60 min",Call_Center[[#This Row],[Duration]]&lt;=120,"1 to 2 hours",TRUE,"More than 2 hours")</f>
        <v>1 to 2 hours</v>
      </c>
      <c r="K726">
        <f>ROUND(Call_Center[[#This Row],[Satisfaction Rating]],0)</f>
        <v>5</v>
      </c>
    </row>
    <row r="727" spans="1:11" x14ac:dyDescent="0.35">
      <c r="A727" s="21" t="s">
        <v>1710</v>
      </c>
      <c r="B727" s="18" t="s">
        <v>966</v>
      </c>
      <c r="C727" s="18">
        <v>58</v>
      </c>
      <c r="D727" s="19" t="s">
        <v>972</v>
      </c>
      <c r="E727" s="20">
        <v>45181</v>
      </c>
      <c r="F727" s="18">
        <v>90</v>
      </c>
      <c r="G727" s="22">
        <v>4.3</v>
      </c>
      <c r="H727">
        <f>IF(MONTH(Call_Center[[#This Row],[Date of Call]])&lt;=6,2023,2024)</f>
        <v>2024</v>
      </c>
      <c r="I727" t="str">
        <f>TEXT(Call_Center[[#This Row],[Date of Call]],"DDDD")</f>
        <v>Tuesday</v>
      </c>
      <c r="J727" t="str" cm="1">
        <f t="array" ref="J727">_xlfn.IFS(Call_Center[[#This Row],[Duration]]&lt;=10,"Under 10 mins",Call_Center[[#This Row],[Duration]]&lt;=30,"10 to 30 min",Call_Center[[#This Row],[Duration]]&lt;=60,"30 to 60 min",Call_Center[[#This Row],[Duration]]&lt;=120,"1 to 2 hours",TRUE,"More than 2 hours")</f>
        <v>30 to 60 min</v>
      </c>
      <c r="K727">
        <f>ROUND(Call_Center[[#This Row],[Satisfaction Rating]],0)</f>
        <v>4</v>
      </c>
    </row>
    <row r="728" spans="1:11" x14ac:dyDescent="0.35">
      <c r="A728" s="21" t="s">
        <v>1711</v>
      </c>
      <c r="B728" s="18" t="s">
        <v>989</v>
      </c>
      <c r="C728" s="18">
        <v>66</v>
      </c>
      <c r="D728" s="19" t="s">
        <v>972</v>
      </c>
      <c r="E728" s="20">
        <v>45181</v>
      </c>
      <c r="F728" s="18">
        <v>32</v>
      </c>
      <c r="G728" s="22">
        <v>3.8</v>
      </c>
      <c r="H728">
        <f>IF(MONTH(Call_Center[[#This Row],[Date of Call]])&lt;=6,2023,2024)</f>
        <v>2024</v>
      </c>
      <c r="I728" t="str">
        <f>TEXT(Call_Center[[#This Row],[Date of Call]],"DDDD")</f>
        <v>Tuesday</v>
      </c>
      <c r="J728" t="str" cm="1">
        <f t="array" ref="J728">_xlfn.IFS(Call_Center[[#This Row],[Duration]]&lt;=10,"Under 10 mins",Call_Center[[#This Row],[Duration]]&lt;=30,"10 to 30 min",Call_Center[[#This Row],[Duration]]&lt;=60,"30 to 60 min",Call_Center[[#This Row],[Duration]]&lt;=120,"1 to 2 hours",TRUE,"More than 2 hours")</f>
        <v>1 to 2 hours</v>
      </c>
      <c r="K728">
        <f>ROUND(Call_Center[[#This Row],[Satisfaction Rating]],0)</f>
        <v>4</v>
      </c>
    </row>
    <row r="729" spans="1:11" x14ac:dyDescent="0.35">
      <c r="A729" s="21" t="s">
        <v>1712</v>
      </c>
      <c r="B729" s="18" t="s">
        <v>991</v>
      </c>
      <c r="C729" s="18">
        <v>75</v>
      </c>
      <c r="D729" s="19" t="s">
        <v>986</v>
      </c>
      <c r="E729" s="20">
        <v>45181</v>
      </c>
      <c r="F729" s="18">
        <v>120</v>
      </c>
      <c r="G729" s="22">
        <v>4.4000000000000004</v>
      </c>
      <c r="H729">
        <f>IF(MONTH(Call_Center[[#This Row],[Date of Call]])&lt;=6,2023,2024)</f>
        <v>2024</v>
      </c>
      <c r="I729" t="str">
        <f>TEXT(Call_Center[[#This Row],[Date of Call]],"DDDD")</f>
        <v>Tuesday</v>
      </c>
      <c r="J729" t="str" cm="1">
        <f t="array" ref="J729">_xlfn.IFS(Call_Center[[#This Row],[Duration]]&lt;=10,"Under 10 mins",Call_Center[[#This Row],[Duration]]&lt;=30,"10 to 30 min",Call_Center[[#This Row],[Duration]]&lt;=60,"30 to 60 min",Call_Center[[#This Row],[Duration]]&lt;=120,"1 to 2 hours",TRUE,"More than 2 hours")</f>
        <v>1 to 2 hours</v>
      </c>
      <c r="K729">
        <f>ROUND(Call_Center[[#This Row],[Satisfaction Rating]],0)</f>
        <v>4</v>
      </c>
    </row>
    <row r="730" spans="1:11" x14ac:dyDescent="0.35">
      <c r="A730" s="21" t="s">
        <v>1713</v>
      </c>
      <c r="B730" s="18" t="s">
        <v>985</v>
      </c>
      <c r="C730" s="18">
        <v>8</v>
      </c>
      <c r="D730" s="19" t="s">
        <v>972</v>
      </c>
      <c r="E730" s="20">
        <v>45181</v>
      </c>
      <c r="F730" s="18">
        <v>31</v>
      </c>
      <c r="G730" s="22">
        <v>3.9</v>
      </c>
      <c r="H730">
        <f>IF(MONTH(Call_Center[[#This Row],[Date of Call]])&lt;=6,2023,2024)</f>
        <v>2024</v>
      </c>
      <c r="I730" t="str">
        <f>TEXT(Call_Center[[#This Row],[Date of Call]],"DDDD")</f>
        <v>Tuesday</v>
      </c>
      <c r="J730" t="str" cm="1">
        <f t="array" ref="J730">_xlfn.IFS(Call_Center[[#This Row],[Duration]]&lt;=10,"Under 10 mins",Call_Center[[#This Row],[Duration]]&lt;=30,"10 to 30 min",Call_Center[[#This Row],[Duration]]&lt;=60,"30 to 60 min",Call_Center[[#This Row],[Duration]]&lt;=120,"1 to 2 hours",TRUE,"More than 2 hours")</f>
        <v>Under 10 mins</v>
      </c>
      <c r="K730">
        <f>ROUND(Call_Center[[#This Row],[Satisfaction Rating]],0)</f>
        <v>4</v>
      </c>
    </row>
    <row r="731" spans="1:11" x14ac:dyDescent="0.35">
      <c r="A731" s="21" t="s">
        <v>1714</v>
      </c>
      <c r="B731" s="18" t="s">
        <v>971</v>
      </c>
      <c r="C731" s="18">
        <v>76</v>
      </c>
      <c r="D731" s="19" t="s">
        <v>986</v>
      </c>
      <c r="E731" s="20">
        <v>45182</v>
      </c>
      <c r="F731" s="18">
        <v>108</v>
      </c>
      <c r="G731" s="22">
        <v>4.9000000000000004</v>
      </c>
      <c r="H731">
        <f>IF(MONTH(Call_Center[[#This Row],[Date of Call]])&lt;=6,2023,2024)</f>
        <v>2024</v>
      </c>
      <c r="I731" t="str">
        <f>TEXT(Call_Center[[#This Row],[Date of Call]],"DDDD")</f>
        <v>Wednesday</v>
      </c>
      <c r="J731" t="str" cm="1">
        <f t="array" ref="J731">_xlfn.IFS(Call_Center[[#This Row],[Duration]]&lt;=10,"Under 10 mins",Call_Center[[#This Row],[Duration]]&lt;=30,"10 to 30 min",Call_Center[[#This Row],[Duration]]&lt;=60,"30 to 60 min",Call_Center[[#This Row],[Duration]]&lt;=120,"1 to 2 hours",TRUE,"More than 2 hours")</f>
        <v>1 to 2 hours</v>
      </c>
      <c r="K731">
        <f>ROUND(Call_Center[[#This Row],[Satisfaction Rating]],0)</f>
        <v>5</v>
      </c>
    </row>
    <row r="732" spans="1:11" x14ac:dyDescent="0.35">
      <c r="A732" s="21" t="s">
        <v>1715</v>
      </c>
      <c r="B732" s="18" t="s">
        <v>966</v>
      </c>
      <c r="C732" s="18">
        <v>110</v>
      </c>
      <c r="D732" s="19" t="s">
        <v>986</v>
      </c>
      <c r="E732" s="20">
        <v>45182</v>
      </c>
      <c r="F732" s="18">
        <v>180</v>
      </c>
      <c r="G732" s="22">
        <v>4.2</v>
      </c>
      <c r="H732">
        <f>IF(MONTH(Call_Center[[#This Row],[Date of Call]])&lt;=6,2023,2024)</f>
        <v>2024</v>
      </c>
      <c r="I732" t="str">
        <f>TEXT(Call_Center[[#This Row],[Date of Call]],"DDDD")</f>
        <v>Wednesday</v>
      </c>
      <c r="J732" t="str" cm="1">
        <f t="array" ref="J732">_xlfn.IFS(Call_Center[[#This Row],[Duration]]&lt;=10,"Under 10 mins",Call_Center[[#This Row],[Duration]]&lt;=30,"10 to 30 min",Call_Center[[#This Row],[Duration]]&lt;=60,"30 to 60 min",Call_Center[[#This Row],[Duration]]&lt;=120,"1 to 2 hours",TRUE,"More than 2 hours")</f>
        <v>1 to 2 hours</v>
      </c>
      <c r="K732">
        <f>ROUND(Call_Center[[#This Row],[Satisfaction Rating]],0)</f>
        <v>4</v>
      </c>
    </row>
    <row r="733" spans="1:11" x14ac:dyDescent="0.35">
      <c r="A733" s="21" t="s">
        <v>1716</v>
      </c>
      <c r="B733" s="18" t="s">
        <v>989</v>
      </c>
      <c r="C733" s="18">
        <v>50</v>
      </c>
      <c r="D733" s="19" t="s">
        <v>977</v>
      </c>
      <c r="E733" s="20">
        <v>45183</v>
      </c>
      <c r="F733" s="18">
        <v>124</v>
      </c>
      <c r="G733" s="22">
        <v>4</v>
      </c>
      <c r="H733">
        <f>IF(MONTH(Call_Center[[#This Row],[Date of Call]])&lt;=6,2023,2024)</f>
        <v>2024</v>
      </c>
      <c r="I733" t="str">
        <f>TEXT(Call_Center[[#This Row],[Date of Call]],"DDDD")</f>
        <v>Thursday</v>
      </c>
      <c r="J733" t="str" cm="1">
        <f t="array" ref="J733">_xlfn.IFS(Call_Center[[#This Row],[Duration]]&lt;=10,"Under 10 mins",Call_Center[[#This Row],[Duration]]&lt;=30,"10 to 30 min",Call_Center[[#This Row],[Duration]]&lt;=60,"30 to 60 min",Call_Center[[#This Row],[Duration]]&lt;=120,"1 to 2 hours",TRUE,"More than 2 hours")</f>
        <v>30 to 60 min</v>
      </c>
      <c r="K733">
        <f>ROUND(Call_Center[[#This Row],[Satisfaction Rating]],0)</f>
        <v>4</v>
      </c>
    </row>
    <row r="734" spans="1:11" x14ac:dyDescent="0.35">
      <c r="A734" s="21" t="s">
        <v>1717</v>
      </c>
      <c r="B734" s="18" t="s">
        <v>980</v>
      </c>
      <c r="C734" s="18">
        <v>78</v>
      </c>
      <c r="D734" s="19" t="s">
        <v>977</v>
      </c>
      <c r="E734" s="20">
        <v>45183</v>
      </c>
      <c r="F734" s="18">
        <v>23</v>
      </c>
      <c r="G734" s="22">
        <v>4.2</v>
      </c>
      <c r="H734">
        <f>IF(MONTH(Call_Center[[#This Row],[Date of Call]])&lt;=6,2023,2024)</f>
        <v>2024</v>
      </c>
      <c r="I734" t="str">
        <f>TEXT(Call_Center[[#This Row],[Date of Call]],"DDDD")</f>
        <v>Thursday</v>
      </c>
      <c r="J734" t="str" cm="1">
        <f t="array" ref="J734">_xlfn.IFS(Call_Center[[#This Row],[Duration]]&lt;=10,"Under 10 mins",Call_Center[[#This Row],[Duration]]&lt;=30,"10 to 30 min",Call_Center[[#This Row],[Duration]]&lt;=60,"30 to 60 min",Call_Center[[#This Row],[Duration]]&lt;=120,"1 to 2 hours",TRUE,"More than 2 hours")</f>
        <v>1 to 2 hours</v>
      </c>
      <c r="K734">
        <f>ROUND(Call_Center[[#This Row],[Satisfaction Rating]],0)</f>
        <v>4</v>
      </c>
    </row>
    <row r="735" spans="1:11" x14ac:dyDescent="0.35">
      <c r="A735" s="21" t="s">
        <v>1718</v>
      </c>
      <c r="B735" s="18" t="s">
        <v>1008</v>
      </c>
      <c r="C735" s="18">
        <v>59</v>
      </c>
      <c r="D735" s="19" t="s">
        <v>967</v>
      </c>
      <c r="E735" s="20">
        <v>45184</v>
      </c>
      <c r="F735" s="18">
        <v>24</v>
      </c>
      <c r="G735" s="22">
        <v>4.8</v>
      </c>
      <c r="H735">
        <f>IF(MONTH(Call_Center[[#This Row],[Date of Call]])&lt;=6,2023,2024)</f>
        <v>2024</v>
      </c>
      <c r="I735" t="str">
        <f>TEXT(Call_Center[[#This Row],[Date of Call]],"DDDD")</f>
        <v>Friday</v>
      </c>
      <c r="J735" t="str" cm="1">
        <f t="array" ref="J735">_xlfn.IFS(Call_Center[[#This Row],[Duration]]&lt;=10,"Under 10 mins",Call_Center[[#This Row],[Duration]]&lt;=30,"10 to 30 min",Call_Center[[#This Row],[Duration]]&lt;=60,"30 to 60 min",Call_Center[[#This Row],[Duration]]&lt;=120,"1 to 2 hours",TRUE,"More than 2 hours")</f>
        <v>30 to 60 min</v>
      </c>
      <c r="K735">
        <f>ROUND(Call_Center[[#This Row],[Satisfaction Rating]],0)</f>
        <v>5</v>
      </c>
    </row>
    <row r="736" spans="1:11" x14ac:dyDescent="0.35">
      <c r="A736" s="21" t="s">
        <v>1719</v>
      </c>
      <c r="B736" s="18" t="s">
        <v>980</v>
      </c>
      <c r="C736" s="18">
        <v>126</v>
      </c>
      <c r="D736" s="19" t="s">
        <v>972</v>
      </c>
      <c r="E736" s="20">
        <v>45185</v>
      </c>
      <c r="F736" s="18">
        <v>52</v>
      </c>
      <c r="G736" s="22">
        <v>1.1000000000000001</v>
      </c>
      <c r="H736">
        <f>IF(MONTH(Call_Center[[#This Row],[Date of Call]])&lt;=6,2023,2024)</f>
        <v>2024</v>
      </c>
      <c r="I736" t="str">
        <f>TEXT(Call_Center[[#This Row],[Date of Call]],"DDDD")</f>
        <v>Saturday</v>
      </c>
      <c r="J736" t="str" cm="1">
        <f t="array" ref="J736">_xlfn.IFS(Call_Center[[#This Row],[Duration]]&lt;=10,"Under 10 mins",Call_Center[[#This Row],[Duration]]&lt;=30,"10 to 30 min",Call_Center[[#This Row],[Duration]]&lt;=60,"30 to 60 min",Call_Center[[#This Row],[Duration]]&lt;=120,"1 to 2 hours",TRUE,"More than 2 hours")</f>
        <v>More than 2 hours</v>
      </c>
      <c r="K736">
        <f>ROUND(Call_Center[[#This Row],[Satisfaction Rating]],0)</f>
        <v>1</v>
      </c>
    </row>
    <row r="737" spans="1:11" x14ac:dyDescent="0.35">
      <c r="A737" s="21" t="s">
        <v>1720</v>
      </c>
      <c r="B737" s="18" t="s">
        <v>971</v>
      </c>
      <c r="C737" s="18">
        <v>43</v>
      </c>
      <c r="D737" s="19" t="s">
        <v>967</v>
      </c>
      <c r="E737" s="20">
        <v>45186</v>
      </c>
      <c r="F737" s="18">
        <v>168</v>
      </c>
      <c r="G737" s="22">
        <v>4</v>
      </c>
      <c r="H737">
        <f>IF(MONTH(Call_Center[[#This Row],[Date of Call]])&lt;=6,2023,2024)</f>
        <v>2024</v>
      </c>
      <c r="I737" t="str">
        <f>TEXT(Call_Center[[#This Row],[Date of Call]],"DDDD")</f>
        <v>Sunday</v>
      </c>
      <c r="J737" t="str" cm="1">
        <f t="array" ref="J737">_xlfn.IFS(Call_Center[[#This Row],[Duration]]&lt;=10,"Under 10 mins",Call_Center[[#This Row],[Duration]]&lt;=30,"10 to 30 min",Call_Center[[#This Row],[Duration]]&lt;=60,"30 to 60 min",Call_Center[[#This Row],[Duration]]&lt;=120,"1 to 2 hours",TRUE,"More than 2 hours")</f>
        <v>30 to 60 min</v>
      </c>
      <c r="K737">
        <f>ROUND(Call_Center[[#This Row],[Satisfaction Rating]],0)</f>
        <v>4</v>
      </c>
    </row>
    <row r="738" spans="1:11" x14ac:dyDescent="0.35">
      <c r="A738" s="21" t="s">
        <v>1721</v>
      </c>
      <c r="B738" s="18" t="s">
        <v>1018</v>
      </c>
      <c r="C738" s="18">
        <v>79</v>
      </c>
      <c r="D738" s="19" t="s">
        <v>986</v>
      </c>
      <c r="E738" s="20">
        <v>45188</v>
      </c>
      <c r="F738" s="18">
        <v>125</v>
      </c>
      <c r="G738" s="22">
        <v>4.8</v>
      </c>
      <c r="H738">
        <f>IF(MONTH(Call_Center[[#This Row],[Date of Call]])&lt;=6,2023,2024)</f>
        <v>2024</v>
      </c>
      <c r="I738" t="str">
        <f>TEXT(Call_Center[[#This Row],[Date of Call]],"DDDD")</f>
        <v>Tuesday</v>
      </c>
      <c r="J738" t="str" cm="1">
        <f t="array" ref="J738">_xlfn.IFS(Call_Center[[#This Row],[Duration]]&lt;=10,"Under 10 mins",Call_Center[[#This Row],[Duration]]&lt;=30,"10 to 30 min",Call_Center[[#This Row],[Duration]]&lt;=60,"30 to 60 min",Call_Center[[#This Row],[Duration]]&lt;=120,"1 to 2 hours",TRUE,"More than 2 hours")</f>
        <v>1 to 2 hours</v>
      </c>
      <c r="K738">
        <f>ROUND(Call_Center[[#This Row],[Satisfaction Rating]],0)</f>
        <v>5</v>
      </c>
    </row>
    <row r="739" spans="1:11" x14ac:dyDescent="0.35">
      <c r="A739" s="21" t="s">
        <v>1722</v>
      </c>
      <c r="B739" s="18" t="s">
        <v>966</v>
      </c>
      <c r="C739" s="18">
        <v>71</v>
      </c>
      <c r="D739" s="19" t="s">
        <v>967</v>
      </c>
      <c r="E739" s="20">
        <v>45189</v>
      </c>
      <c r="F739" s="18">
        <v>50</v>
      </c>
      <c r="G739" s="22">
        <v>4.2</v>
      </c>
      <c r="H739">
        <f>IF(MONTH(Call_Center[[#This Row],[Date of Call]])&lt;=6,2023,2024)</f>
        <v>2024</v>
      </c>
      <c r="I739" t="str">
        <f>TEXT(Call_Center[[#This Row],[Date of Call]],"DDDD")</f>
        <v>Wednesday</v>
      </c>
      <c r="J739" t="str" cm="1">
        <f t="array" ref="J739">_xlfn.IFS(Call_Center[[#This Row],[Duration]]&lt;=10,"Under 10 mins",Call_Center[[#This Row],[Duration]]&lt;=30,"10 to 30 min",Call_Center[[#This Row],[Duration]]&lt;=60,"30 to 60 min",Call_Center[[#This Row],[Duration]]&lt;=120,"1 to 2 hours",TRUE,"More than 2 hours")</f>
        <v>1 to 2 hours</v>
      </c>
      <c r="K739">
        <f>ROUND(Call_Center[[#This Row],[Satisfaction Rating]],0)</f>
        <v>4</v>
      </c>
    </row>
    <row r="740" spans="1:11" x14ac:dyDescent="0.35">
      <c r="A740" s="21" t="s">
        <v>1723</v>
      </c>
      <c r="B740" s="18" t="s">
        <v>997</v>
      </c>
      <c r="C740" s="18">
        <v>94</v>
      </c>
      <c r="D740" s="19" t="s">
        <v>972</v>
      </c>
      <c r="E740" s="20">
        <v>45190</v>
      </c>
      <c r="F740" s="18">
        <v>220</v>
      </c>
      <c r="G740" s="22">
        <v>4.5999999999999996</v>
      </c>
      <c r="H740">
        <f>IF(MONTH(Call_Center[[#This Row],[Date of Call]])&lt;=6,2023,2024)</f>
        <v>2024</v>
      </c>
      <c r="I740" t="str">
        <f>TEXT(Call_Center[[#This Row],[Date of Call]],"DDDD")</f>
        <v>Thursday</v>
      </c>
      <c r="J740" t="str" cm="1">
        <f t="array" ref="J740">_xlfn.IFS(Call_Center[[#This Row],[Duration]]&lt;=10,"Under 10 mins",Call_Center[[#This Row],[Duration]]&lt;=30,"10 to 30 min",Call_Center[[#This Row],[Duration]]&lt;=60,"30 to 60 min",Call_Center[[#This Row],[Duration]]&lt;=120,"1 to 2 hours",TRUE,"More than 2 hours")</f>
        <v>1 to 2 hours</v>
      </c>
      <c r="K740">
        <f>ROUND(Call_Center[[#This Row],[Satisfaction Rating]],0)</f>
        <v>5</v>
      </c>
    </row>
    <row r="741" spans="1:11" x14ac:dyDescent="0.35">
      <c r="A741" s="21" t="s">
        <v>1724</v>
      </c>
      <c r="B741" s="18" t="s">
        <v>985</v>
      </c>
      <c r="C741" s="18">
        <v>108</v>
      </c>
      <c r="D741" s="19" t="s">
        <v>967</v>
      </c>
      <c r="E741" s="20">
        <v>45190</v>
      </c>
      <c r="F741" s="18">
        <v>180</v>
      </c>
      <c r="G741" s="22">
        <v>4</v>
      </c>
      <c r="H741">
        <f>IF(MONTH(Call_Center[[#This Row],[Date of Call]])&lt;=6,2023,2024)</f>
        <v>2024</v>
      </c>
      <c r="I741" t="str">
        <f>TEXT(Call_Center[[#This Row],[Date of Call]],"DDDD")</f>
        <v>Thursday</v>
      </c>
      <c r="J741" t="str" cm="1">
        <f t="array" ref="J741">_xlfn.IFS(Call_Center[[#This Row],[Duration]]&lt;=10,"Under 10 mins",Call_Center[[#This Row],[Duration]]&lt;=30,"10 to 30 min",Call_Center[[#This Row],[Duration]]&lt;=60,"30 to 60 min",Call_Center[[#This Row],[Duration]]&lt;=120,"1 to 2 hours",TRUE,"More than 2 hours")</f>
        <v>1 to 2 hours</v>
      </c>
      <c r="K741">
        <f>ROUND(Call_Center[[#This Row],[Satisfaction Rating]],0)</f>
        <v>4</v>
      </c>
    </row>
    <row r="742" spans="1:11" x14ac:dyDescent="0.35">
      <c r="A742" s="21" t="s">
        <v>1725</v>
      </c>
      <c r="B742" s="18" t="s">
        <v>971</v>
      </c>
      <c r="C742" s="18">
        <v>76</v>
      </c>
      <c r="D742" s="19" t="s">
        <v>972</v>
      </c>
      <c r="E742" s="20">
        <v>45190</v>
      </c>
      <c r="F742" s="18">
        <v>110</v>
      </c>
      <c r="G742" s="22">
        <v>3.9</v>
      </c>
      <c r="H742">
        <f>IF(MONTH(Call_Center[[#This Row],[Date of Call]])&lt;=6,2023,2024)</f>
        <v>2024</v>
      </c>
      <c r="I742" t="str">
        <f>TEXT(Call_Center[[#This Row],[Date of Call]],"DDDD")</f>
        <v>Thursday</v>
      </c>
      <c r="J742" t="str" cm="1">
        <f t="array" ref="J742">_xlfn.IFS(Call_Center[[#This Row],[Duration]]&lt;=10,"Under 10 mins",Call_Center[[#This Row],[Duration]]&lt;=30,"10 to 30 min",Call_Center[[#This Row],[Duration]]&lt;=60,"30 to 60 min",Call_Center[[#This Row],[Duration]]&lt;=120,"1 to 2 hours",TRUE,"More than 2 hours")</f>
        <v>1 to 2 hours</v>
      </c>
      <c r="K742">
        <f>ROUND(Call_Center[[#This Row],[Satisfaction Rating]],0)</f>
        <v>4</v>
      </c>
    </row>
    <row r="743" spans="1:11" x14ac:dyDescent="0.35">
      <c r="A743" s="21" t="s">
        <v>1726</v>
      </c>
      <c r="B743" s="18" t="s">
        <v>1008</v>
      </c>
      <c r="C743" s="18">
        <v>136</v>
      </c>
      <c r="D743" s="19" t="s">
        <v>967</v>
      </c>
      <c r="E743" s="20">
        <v>45190</v>
      </c>
      <c r="F743" s="18">
        <v>36</v>
      </c>
      <c r="G743" s="22">
        <v>2.8</v>
      </c>
      <c r="H743">
        <f>IF(MONTH(Call_Center[[#This Row],[Date of Call]])&lt;=6,2023,2024)</f>
        <v>2024</v>
      </c>
      <c r="I743" t="str">
        <f>TEXT(Call_Center[[#This Row],[Date of Call]],"DDDD")</f>
        <v>Thursday</v>
      </c>
      <c r="J743" t="str" cm="1">
        <f t="array" ref="J743">_xlfn.IFS(Call_Center[[#This Row],[Duration]]&lt;=10,"Under 10 mins",Call_Center[[#This Row],[Duration]]&lt;=30,"10 to 30 min",Call_Center[[#This Row],[Duration]]&lt;=60,"30 to 60 min",Call_Center[[#This Row],[Duration]]&lt;=120,"1 to 2 hours",TRUE,"More than 2 hours")</f>
        <v>More than 2 hours</v>
      </c>
      <c r="K743">
        <f>ROUND(Call_Center[[#This Row],[Satisfaction Rating]],0)</f>
        <v>3</v>
      </c>
    </row>
    <row r="744" spans="1:11" x14ac:dyDescent="0.35">
      <c r="A744" s="21" t="s">
        <v>1727</v>
      </c>
      <c r="B744" s="18" t="s">
        <v>969</v>
      </c>
      <c r="C744" s="18">
        <v>129</v>
      </c>
      <c r="D744" s="19" t="s">
        <v>977</v>
      </c>
      <c r="E744" s="20">
        <v>45191</v>
      </c>
      <c r="F744" s="18">
        <v>93</v>
      </c>
      <c r="G744" s="22">
        <v>4.7</v>
      </c>
      <c r="H744">
        <f>IF(MONTH(Call_Center[[#This Row],[Date of Call]])&lt;=6,2023,2024)</f>
        <v>2024</v>
      </c>
      <c r="I744" t="str">
        <f>TEXT(Call_Center[[#This Row],[Date of Call]],"DDDD")</f>
        <v>Friday</v>
      </c>
      <c r="J744" t="str" cm="1">
        <f t="array" ref="J744">_xlfn.IFS(Call_Center[[#This Row],[Duration]]&lt;=10,"Under 10 mins",Call_Center[[#This Row],[Duration]]&lt;=30,"10 to 30 min",Call_Center[[#This Row],[Duration]]&lt;=60,"30 to 60 min",Call_Center[[#This Row],[Duration]]&lt;=120,"1 to 2 hours",TRUE,"More than 2 hours")</f>
        <v>More than 2 hours</v>
      </c>
      <c r="K744">
        <f>ROUND(Call_Center[[#This Row],[Satisfaction Rating]],0)</f>
        <v>5</v>
      </c>
    </row>
    <row r="745" spans="1:11" x14ac:dyDescent="0.35">
      <c r="A745" s="21" t="s">
        <v>1728</v>
      </c>
      <c r="B745" s="18" t="s">
        <v>985</v>
      </c>
      <c r="C745" s="18">
        <v>120</v>
      </c>
      <c r="D745" s="19" t="s">
        <v>967</v>
      </c>
      <c r="E745" s="20">
        <v>45191</v>
      </c>
      <c r="F745" s="18">
        <v>38</v>
      </c>
      <c r="G745" s="22">
        <v>4.2</v>
      </c>
      <c r="H745">
        <f>IF(MONTH(Call_Center[[#This Row],[Date of Call]])&lt;=6,2023,2024)</f>
        <v>2024</v>
      </c>
      <c r="I745" t="str">
        <f>TEXT(Call_Center[[#This Row],[Date of Call]],"DDDD")</f>
        <v>Friday</v>
      </c>
      <c r="J745" t="str" cm="1">
        <f t="array" ref="J745">_xlfn.IFS(Call_Center[[#This Row],[Duration]]&lt;=10,"Under 10 mins",Call_Center[[#This Row],[Duration]]&lt;=30,"10 to 30 min",Call_Center[[#This Row],[Duration]]&lt;=60,"30 to 60 min",Call_Center[[#This Row],[Duration]]&lt;=120,"1 to 2 hours",TRUE,"More than 2 hours")</f>
        <v>1 to 2 hours</v>
      </c>
      <c r="K745">
        <f>ROUND(Call_Center[[#This Row],[Satisfaction Rating]],0)</f>
        <v>4</v>
      </c>
    </row>
    <row r="746" spans="1:11" x14ac:dyDescent="0.35">
      <c r="A746" s="21" t="s">
        <v>1729</v>
      </c>
      <c r="B746" s="18" t="s">
        <v>971</v>
      </c>
      <c r="C746" s="18">
        <v>108</v>
      </c>
      <c r="D746" s="19" t="s">
        <v>977</v>
      </c>
      <c r="E746" s="20">
        <v>45192</v>
      </c>
      <c r="F746" s="18">
        <v>66</v>
      </c>
      <c r="G746" s="22">
        <v>3.9</v>
      </c>
      <c r="H746">
        <f>IF(MONTH(Call_Center[[#This Row],[Date of Call]])&lt;=6,2023,2024)</f>
        <v>2024</v>
      </c>
      <c r="I746" t="str">
        <f>TEXT(Call_Center[[#This Row],[Date of Call]],"DDDD")</f>
        <v>Saturday</v>
      </c>
      <c r="J746" t="str" cm="1">
        <f t="array" ref="J746">_xlfn.IFS(Call_Center[[#This Row],[Duration]]&lt;=10,"Under 10 mins",Call_Center[[#This Row],[Duration]]&lt;=30,"10 to 30 min",Call_Center[[#This Row],[Duration]]&lt;=60,"30 to 60 min",Call_Center[[#This Row],[Duration]]&lt;=120,"1 to 2 hours",TRUE,"More than 2 hours")</f>
        <v>1 to 2 hours</v>
      </c>
      <c r="K746">
        <f>ROUND(Call_Center[[#This Row],[Satisfaction Rating]],0)</f>
        <v>4</v>
      </c>
    </row>
    <row r="747" spans="1:11" x14ac:dyDescent="0.35">
      <c r="A747" s="21" t="s">
        <v>1730</v>
      </c>
      <c r="B747" s="18" t="s">
        <v>980</v>
      </c>
      <c r="C747" s="18">
        <v>79</v>
      </c>
      <c r="D747" s="19" t="s">
        <v>967</v>
      </c>
      <c r="E747" s="20">
        <v>45192</v>
      </c>
      <c r="F747" s="18">
        <v>215</v>
      </c>
      <c r="G747" s="22">
        <v>4.5999999999999996</v>
      </c>
      <c r="H747">
        <f>IF(MONTH(Call_Center[[#This Row],[Date of Call]])&lt;=6,2023,2024)</f>
        <v>2024</v>
      </c>
      <c r="I747" t="str">
        <f>TEXT(Call_Center[[#This Row],[Date of Call]],"DDDD")</f>
        <v>Saturday</v>
      </c>
      <c r="J747" t="str" cm="1">
        <f t="array" ref="J747">_xlfn.IFS(Call_Center[[#This Row],[Duration]]&lt;=10,"Under 10 mins",Call_Center[[#This Row],[Duration]]&lt;=30,"10 to 30 min",Call_Center[[#This Row],[Duration]]&lt;=60,"30 to 60 min",Call_Center[[#This Row],[Duration]]&lt;=120,"1 to 2 hours",TRUE,"More than 2 hours")</f>
        <v>1 to 2 hours</v>
      </c>
      <c r="K747">
        <f>ROUND(Call_Center[[#This Row],[Satisfaction Rating]],0)</f>
        <v>5</v>
      </c>
    </row>
    <row r="748" spans="1:11" x14ac:dyDescent="0.35">
      <c r="A748" s="21" t="s">
        <v>1731</v>
      </c>
      <c r="B748" s="18" t="s">
        <v>980</v>
      </c>
      <c r="C748" s="18">
        <v>45</v>
      </c>
      <c r="D748" s="19" t="s">
        <v>977</v>
      </c>
      <c r="E748" s="20">
        <v>45192</v>
      </c>
      <c r="F748" s="18">
        <v>92</v>
      </c>
      <c r="G748" s="22">
        <v>4.3</v>
      </c>
      <c r="H748">
        <f>IF(MONTH(Call_Center[[#This Row],[Date of Call]])&lt;=6,2023,2024)</f>
        <v>2024</v>
      </c>
      <c r="I748" t="str">
        <f>TEXT(Call_Center[[#This Row],[Date of Call]],"DDDD")</f>
        <v>Saturday</v>
      </c>
      <c r="J748" t="str" cm="1">
        <f t="array" ref="J748">_xlfn.IFS(Call_Center[[#This Row],[Duration]]&lt;=10,"Under 10 mins",Call_Center[[#This Row],[Duration]]&lt;=30,"10 to 30 min",Call_Center[[#This Row],[Duration]]&lt;=60,"30 to 60 min",Call_Center[[#This Row],[Duration]]&lt;=120,"1 to 2 hours",TRUE,"More than 2 hours")</f>
        <v>30 to 60 min</v>
      </c>
      <c r="K748">
        <f>ROUND(Call_Center[[#This Row],[Satisfaction Rating]],0)</f>
        <v>4</v>
      </c>
    </row>
    <row r="749" spans="1:11" x14ac:dyDescent="0.35">
      <c r="A749" s="21" t="s">
        <v>1732</v>
      </c>
      <c r="B749" s="18" t="s">
        <v>976</v>
      </c>
      <c r="C749" s="18">
        <v>96</v>
      </c>
      <c r="D749" s="19" t="s">
        <v>967</v>
      </c>
      <c r="E749" s="20">
        <v>45192</v>
      </c>
      <c r="F749" s="18">
        <v>80</v>
      </c>
      <c r="G749" s="22">
        <v>3.6</v>
      </c>
      <c r="H749">
        <f>IF(MONTH(Call_Center[[#This Row],[Date of Call]])&lt;=6,2023,2024)</f>
        <v>2024</v>
      </c>
      <c r="I749" t="str">
        <f>TEXT(Call_Center[[#This Row],[Date of Call]],"DDDD")</f>
        <v>Saturday</v>
      </c>
      <c r="J749" t="str" cm="1">
        <f t="array" ref="J749">_xlfn.IFS(Call_Center[[#This Row],[Duration]]&lt;=10,"Under 10 mins",Call_Center[[#This Row],[Duration]]&lt;=30,"10 to 30 min",Call_Center[[#This Row],[Duration]]&lt;=60,"30 to 60 min",Call_Center[[#This Row],[Duration]]&lt;=120,"1 to 2 hours",TRUE,"More than 2 hours")</f>
        <v>1 to 2 hours</v>
      </c>
      <c r="K749">
        <f>ROUND(Call_Center[[#This Row],[Satisfaction Rating]],0)</f>
        <v>4</v>
      </c>
    </row>
    <row r="750" spans="1:11" x14ac:dyDescent="0.35">
      <c r="A750" s="21" t="s">
        <v>1733</v>
      </c>
      <c r="B750" s="18" t="s">
        <v>976</v>
      </c>
      <c r="C750" s="18">
        <v>81</v>
      </c>
      <c r="D750" s="19" t="s">
        <v>967</v>
      </c>
      <c r="E750" s="20">
        <v>45193</v>
      </c>
      <c r="F750" s="18">
        <v>123</v>
      </c>
      <c r="G750" s="22">
        <v>4.9000000000000004</v>
      </c>
      <c r="H750">
        <f>IF(MONTH(Call_Center[[#This Row],[Date of Call]])&lt;=6,2023,2024)</f>
        <v>2024</v>
      </c>
      <c r="I750" t="str">
        <f>TEXT(Call_Center[[#This Row],[Date of Call]],"DDDD")</f>
        <v>Sunday</v>
      </c>
      <c r="J750" t="str" cm="1">
        <f t="array" ref="J750">_xlfn.IFS(Call_Center[[#This Row],[Duration]]&lt;=10,"Under 10 mins",Call_Center[[#This Row],[Duration]]&lt;=30,"10 to 30 min",Call_Center[[#This Row],[Duration]]&lt;=60,"30 to 60 min",Call_Center[[#This Row],[Duration]]&lt;=120,"1 to 2 hours",TRUE,"More than 2 hours")</f>
        <v>1 to 2 hours</v>
      </c>
      <c r="K750">
        <f>ROUND(Call_Center[[#This Row],[Satisfaction Rating]],0)</f>
        <v>5</v>
      </c>
    </row>
    <row r="751" spans="1:11" x14ac:dyDescent="0.35">
      <c r="A751" s="21" t="s">
        <v>1734</v>
      </c>
      <c r="B751" s="18" t="s">
        <v>1008</v>
      </c>
      <c r="C751" s="18">
        <v>95</v>
      </c>
      <c r="D751" s="19" t="s">
        <v>982</v>
      </c>
      <c r="E751" s="20">
        <v>45193</v>
      </c>
      <c r="F751" s="18">
        <v>23</v>
      </c>
      <c r="G751" s="22">
        <v>2.4</v>
      </c>
      <c r="H751">
        <f>IF(MONTH(Call_Center[[#This Row],[Date of Call]])&lt;=6,2023,2024)</f>
        <v>2024</v>
      </c>
      <c r="I751" t="str">
        <f>TEXT(Call_Center[[#This Row],[Date of Call]],"DDDD")</f>
        <v>Sunday</v>
      </c>
      <c r="J751" t="str" cm="1">
        <f t="array" ref="J751">_xlfn.IFS(Call_Center[[#This Row],[Duration]]&lt;=10,"Under 10 mins",Call_Center[[#This Row],[Duration]]&lt;=30,"10 to 30 min",Call_Center[[#This Row],[Duration]]&lt;=60,"30 to 60 min",Call_Center[[#This Row],[Duration]]&lt;=120,"1 to 2 hours",TRUE,"More than 2 hours")</f>
        <v>1 to 2 hours</v>
      </c>
      <c r="K751">
        <f>ROUND(Call_Center[[#This Row],[Satisfaction Rating]],0)</f>
        <v>2</v>
      </c>
    </row>
    <row r="752" spans="1:11" x14ac:dyDescent="0.35">
      <c r="A752" s="21" t="s">
        <v>1735</v>
      </c>
      <c r="B752" s="18" t="s">
        <v>1005</v>
      </c>
      <c r="C752" s="18">
        <v>159</v>
      </c>
      <c r="D752" s="19" t="s">
        <v>972</v>
      </c>
      <c r="E752" s="20">
        <v>45193</v>
      </c>
      <c r="F752" s="18">
        <v>63</v>
      </c>
      <c r="G752" s="22">
        <v>4.2</v>
      </c>
      <c r="H752">
        <f>IF(MONTH(Call_Center[[#This Row],[Date of Call]])&lt;=6,2023,2024)</f>
        <v>2024</v>
      </c>
      <c r="I752" t="str">
        <f>TEXT(Call_Center[[#This Row],[Date of Call]],"DDDD")</f>
        <v>Sunday</v>
      </c>
      <c r="J752" t="str" cm="1">
        <f t="array" ref="J752">_xlfn.IFS(Call_Center[[#This Row],[Duration]]&lt;=10,"Under 10 mins",Call_Center[[#This Row],[Duration]]&lt;=30,"10 to 30 min",Call_Center[[#This Row],[Duration]]&lt;=60,"30 to 60 min",Call_Center[[#This Row],[Duration]]&lt;=120,"1 to 2 hours",TRUE,"More than 2 hours")</f>
        <v>More than 2 hours</v>
      </c>
      <c r="K752">
        <f>ROUND(Call_Center[[#This Row],[Satisfaction Rating]],0)</f>
        <v>4</v>
      </c>
    </row>
    <row r="753" spans="1:11" x14ac:dyDescent="0.35">
      <c r="A753" s="21" t="s">
        <v>1736</v>
      </c>
      <c r="B753" s="18" t="s">
        <v>1038</v>
      </c>
      <c r="C753" s="18">
        <v>109</v>
      </c>
      <c r="D753" s="19" t="s">
        <v>986</v>
      </c>
      <c r="E753" s="20">
        <v>45193</v>
      </c>
      <c r="F753" s="18">
        <v>52</v>
      </c>
      <c r="G753" s="22">
        <v>3.9</v>
      </c>
      <c r="H753">
        <f>IF(MONTH(Call_Center[[#This Row],[Date of Call]])&lt;=6,2023,2024)</f>
        <v>2024</v>
      </c>
      <c r="I753" t="str">
        <f>TEXT(Call_Center[[#This Row],[Date of Call]],"DDDD")</f>
        <v>Sunday</v>
      </c>
      <c r="J753" t="str" cm="1">
        <f t="array" ref="J753">_xlfn.IFS(Call_Center[[#This Row],[Duration]]&lt;=10,"Under 10 mins",Call_Center[[#This Row],[Duration]]&lt;=30,"10 to 30 min",Call_Center[[#This Row],[Duration]]&lt;=60,"30 to 60 min",Call_Center[[#This Row],[Duration]]&lt;=120,"1 to 2 hours",TRUE,"More than 2 hours")</f>
        <v>1 to 2 hours</v>
      </c>
      <c r="K753">
        <f>ROUND(Call_Center[[#This Row],[Satisfaction Rating]],0)</f>
        <v>4</v>
      </c>
    </row>
    <row r="754" spans="1:11" x14ac:dyDescent="0.35">
      <c r="A754" s="21" t="s">
        <v>1737</v>
      </c>
      <c r="B754" s="18" t="s">
        <v>980</v>
      </c>
      <c r="C754" s="18">
        <v>107</v>
      </c>
      <c r="D754" s="19" t="s">
        <v>986</v>
      </c>
      <c r="E754" s="20">
        <v>45193</v>
      </c>
      <c r="F754" s="18">
        <v>60</v>
      </c>
      <c r="G754" s="22">
        <v>4.2</v>
      </c>
      <c r="H754">
        <f>IF(MONTH(Call_Center[[#This Row],[Date of Call]])&lt;=6,2023,2024)</f>
        <v>2024</v>
      </c>
      <c r="I754" t="str">
        <f>TEXT(Call_Center[[#This Row],[Date of Call]],"DDDD")</f>
        <v>Sunday</v>
      </c>
      <c r="J754" t="str" cm="1">
        <f t="array" ref="J754">_xlfn.IFS(Call_Center[[#This Row],[Duration]]&lt;=10,"Under 10 mins",Call_Center[[#This Row],[Duration]]&lt;=30,"10 to 30 min",Call_Center[[#This Row],[Duration]]&lt;=60,"30 to 60 min",Call_Center[[#This Row],[Duration]]&lt;=120,"1 to 2 hours",TRUE,"More than 2 hours")</f>
        <v>1 to 2 hours</v>
      </c>
      <c r="K754">
        <f>ROUND(Call_Center[[#This Row],[Satisfaction Rating]],0)</f>
        <v>4</v>
      </c>
    </row>
    <row r="755" spans="1:11" x14ac:dyDescent="0.35">
      <c r="A755" s="21" t="s">
        <v>1738</v>
      </c>
      <c r="B755" s="18" t="s">
        <v>976</v>
      </c>
      <c r="C755" s="18">
        <v>67</v>
      </c>
      <c r="D755" s="19" t="s">
        <v>977</v>
      </c>
      <c r="E755" s="20">
        <v>45194</v>
      </c>
      <c r="F755" s="18">
        <v>87</v>
      </c>
      <c r="G755" s="22">
        <v>3.9</v>
      </c>
      <c r="H755">
        <f>IF(MONTH(Call_Center[[#This Row],[Date of Call]])&lt;=6,2023,2024)</f>
        <v>2024</v>
      </c>
      <c r="I755" t="str">
        <f>TEXT(Call_Center[[#This Row],[Date of Call]],"DDDD")</f>
        <v>Monday</v>
      </c>
      <c r="J755" t="str" cm="1">
        <f t="array" ref="J755">_xlfn.IFS(Call_Center[[#This Row],[Duration]]&lt;=10,"Under 10 mins",Call_Center[[#This Row],[Duration]]&lt;=30,"10 to 30 min",Call_Center[[#This Row],[Duration]]&lt;=60,"30 to 60 min",Call_Center[[#This Row],[Duration]]&lt;=120,"1 to 2 hours",TRUE,"More than 2 hours")</f>
        <v>1 to 2 hours</v>
      </c>
      <c r="K755">
        <f>ROUND(Call_Center[[#This Row],[Satisfaction Rating]],0)</f>
        <v>4</v>
      </c>
    </row>
    <row r="756" spans="1:11" x14ac:dyDescent="0.35">
      <c r="A756" s="21" t="s">
        <v>1739</v>
      </c>
      <c r="B756" s="18" t="s">
        <v>991</v>
      </c>
      <c r="C756" s="18">
        <v>96</v>
      </c>
      <c r="D756" s="19" t="s">
        <v>967</v>
      </c>
      <c r="E756" s="20">
        <v>45195</v>
      </c>
      <c r="F756" s="18">
        <v>42</v>
      </c>
      <c r="G756" s="22">
        <v>4.5</v>
      </c>
      <c r="H756">
        <f>IF(MONTH(Call_Center[[#This Row],[Date of Call]])&lt;=6,2023,2024)</f>
        <v>2024</v>
      </c>
      <c r="I756" t="str">
        <f>TEXT(Call_Center[[#This Row],[Date of Call]],"DDDD")</f>
        <v>Tuesday</v>
      </c>
      <c r="J756" t="str" cm="1">
        <f t="array" ref="J756">_xlfn.IFS(Call_Center[[#This Row],[Duration]]&lt;=10,"Under 10 mins",Call_Center[[#This Row],[Duration]]&lt;=30,"10 to 30 min",Call_Center[[#This Row],[Duration]]&lt;=60,"30 to 60 min",Call_Center[[#This Row],[Duration]]&lt;=120,"1 to 2 hours",TRUE,"More than 2 hours")</f>
        <v>1 to 2 hours</v>
      </c>
      <c r="K756">
        <f>ROUND(Call_Center[[#This Row],[Satisfaction Rating]],0)</f>
        <v>5</v>
      </c>
    </row>
    <row r="757" spans="1:11" x14ac:dyDescent="0.35">
      <c r="A757" s="21" t="s">
        <v>1740</v>
      </c>
      <c r="B757" s="18" t="s">
        <v>1000</v>
      </c>
      <c r="C757" s="18">
        <v>142</v>
      </c>
      <c r="D757" s="19" t="s">
        <v>972</v>
      </c>
      <c r="E757" s="20">
        <v>45196</v>
      </c>
      <c r="F757" s="18">
        <v>37</v>
      </c>
      <c r="G757" s="22">
        <v>3.8</v>
      </c>
      <c r="H757">
        <f>IF(MONTH(Call_Center[[#This Row],[Date of Call]])&lt;=6,2023,2024)</f>
        <v>2024</v>
      </c>
      <c r="I757" t="str">
        <f>TEXT(Call_Center[[#This Row],[Date of Call]],"DDDD")</f>
        <v>Wednesday</v>
      </c>
      <c r="J757" t="str" cm="1">
        <f t="array" ref="J757">_xlfn.IFS(Call_Center[[#This Row],[Duration]]&lt;=10,"Under 10 mins",Call_Center[[#This Row],[Duration]]&lt;=30,"10 to 30 min",Call_Center[[#This Row],[Duration]]&lt;=60,"30 to 60 min",Call_Center[[#This Row],[Duration]]&lt;=120,"1 to 2 hours",TRUE,"More than 2 hours")</f>
        <v>More than 2 hours</v>
      </c>
      <c r="K757">
        <f>ROUND(Call_Center[[#This Row],[Satisfaction Rating]],0)</f>
        <v>4</v>
      </c>
    </row>
    <row r="758" spans="1:11" x14ac:dyDescent="0.35">
      <c r="A758" s="21" t="s">
        <v>1741</v>
      </c>
      <c r="B758" s="18" t="s">
        <v>1000</v>
      </c>
      <c r="C758" s="18">
        <v>71</v>
      </c>
      <c r="D758" s="19" t="s">
        <v>982</v>
      </c>
      <c r="E758" s="20">
        <v>45196</v>
      </c>
      <c r="F758" s="18">
        <v>135</v>
      </c>
      <c r="G758" s="22">
        <v>3.9</v>
      </c>
      <c r="H758">
        <f>IF(MONTH(Call_Center[[#This Row],[Date of Call]])&lt;=6,2023,2024)</f>
        <v>2024</v>
      </c>
      <c r="I758" t="str">
        <f>TEXT(Call_Center[[#This Row],[Date of Call]],"DDDD")</f>
        <v>Wednesday</v>
      </c>
      <c r="J758" t="str" cm="1">
        <f t="array" ref="J758">_xlfn.IFS(Call_Center[[#This Row],[Duration]]&lt;=10,"Under 10 mins",Call_Center[[#This Row],[Duration]]&lt;=30,"10 to 30 min",Call_Center[[#This Row],[Duration]]&lt;=60,"30 to 60 min",Call_Center[[#This Row],[Duration]]&lt;=120,"1 to 2 hours",TRUE,"More than 2 hours")</f>
        <v>1 to 2 hours</v>
      </c>
      <c r="K758">
        <f>ROUND(Call_Center[[#This Row],[Satisfaction Rating]],0)</f>
        <v>4</v>
      </c>
    </row>
    <row r="759" spans="1:11" x14ac:dyDescent="0.35">
      <c r="A759" s="21" t="s">
        <v>1742</v>
      </c>
      <c r="B759" s="18" t="s">
        <v>991</v>
      </c>
      <c r="C759" s="18">
        <v>152</v>
      </c>
      <c r="D759" s="19" t="s">
        <v>982</v>
      </c>
      <c r="E759" s="20">
        <v>45196</v>
      </c>
      <c r="F759" s="18">
        <v>88</v>
      </c>
      <c r="G759" s="22">
        <v>4.7</v>
      </c>
      <c r="H759">
        <f>IF(MONTH(Call_Center[[#This Row],[Date of Call]])&lt;=6,2023,2024)</f>
        <v>2024</v>
      </c>
      <c r="I759" t="str">
        <f>TEXT(Call_Center[[#This Row],[Date of Call]],"DDDD")</f>
        <v>Wednesday</v>
      </c>
      <c r="J759" t="str" cm="1">
        <f t="array" ref="J759">_xlfn.IFS(Call_Center[[#This Row],[Duration]]&lt;=10,"Under 10 mins",Call_Center[[#This Row],[Duration]]&lt;=30,"10 to 30 min",Call_Center[[#This Row],[Duration]]&lt;=60,"30 to 60 min",Call_Center[[#This Row],[Duration]]&lt;=120,"1 to 2 hours",TRUE,"More than 2 hours")</f>
        <v>More than 2 hours</v>
      </c>
      <c r="K759">
        <f>ROUND(Call_Center[[#This Row],[Satisfaction Rating]],0)</f>
        <v>5</v>
      </c>
    </row>
    <row r="760" spans="1:11" x14ac:dyDescent="0.35">
      <c r="A760" s="21" t="s">
        <v>1743</v>
      </c>
      <c r="B760" s="18" t="s">
        <v>1018</v>
      </c>
      <c r="C760" s="18">
        <v>108</v>
      </c>
      <c r="D760" s="19" t="s">
        <v>972</v>
      </c>
      <c r="E760" s="20">
        <v>45196</v>
      </c>
      <c r="F760" s="18">
        <v>190</v>
      </c>
      <c r="G760" s="22">
        <v>3.2</v>
      </c>
      <c r="H760">
        <f>IF(MONTH(Call_Center[[#This Row],[Date of Call]])&lt;=6,2023,2024)</f>
        <v>2024</v>
      </c>
      <c r="I760" t="str">
        <f>TEXT(Call_Center[[#This Row],[Date of Call]],"DDDD")</f>
        <v>Wednesday</v>
      </c>
      <c r="J760" t="str" cm="1">
        <f t="array" ref="J760">_xlfn.IFS(Call_Center[[#This Row],[Duration]]&lt;=10,"Under 10 mins",Call_Center[[#This Row],[Duration]]&lt;=30,"10 to 30 min",Call_Center[[#This Row],[Duration]]&lt;=60,"30 to 60 min",Call_Center[[#This Row],[Duration]]&lt;=120,"1 to 2 hours",TRUE,"More than 2 hours")</f>
        <v>1 to 2 hours</v>
      </c>
      <c r="K760">
        <f>ROUND(Call_Center[[#This Row],[Satisfaction Rating]],0)</f>
        <v>3</v>
      </c>
    </row>
    <row r="761" spans="1:11" x14ac:dyDescent="0.35">
      <c r="A761" s="21" t="s">
        <v>1744</v>
      </c>
      <c r="B761" s="18" t="s">
        <v>1018</v>
      </c>
      <c r="C761" s="18">
        <v>156</v>
      </c>
      <c r="D761" s="19" t="s">
        <v>982</v>
      </c>
      <c r="E761" s="20">
        <v>45196</v>
      </c>
      <c r="F761" s="18">
        <v>81</v>
      </c>
      <c r="G761" s="22">
        <v>5</v>
      </c>
      <c r="H761">
        <f>IF(MONTH(Call_Center[[#This Row],[Date of Call]])&lt;=6,2023,2024)</f>
        <v>2024</v>
      </c>
      <c r="I761" t="str">
        <f>TEXT(Call_Center[[#This Row],[Date of Call]],"DDDD")</f>
        <v>Wednesday</v>
      </c>
      <c r="J761" t="str" cm="1">
        <f t="array" ref="J761">_xlfn.IFS(Call_Center[[#This Row],[Duration]]&lt;=10,"Under 10 mins",Call_Center[[#This Row],[Duration]]&lt;=30,"10 to 30 min",Call_Center[[#This Row],[Duration]]&lt;=60,"30 to 60 min",Call_Center[[#This Row],[Duration]]&lt;=120,"1 to 2 hours",TRUE,"More than 2 hours")</f>
        <v>More than 2 hours</v>
      </c>
      <c r="K761">
        <f>ROUND(Call_Center[[#This Row],[Satisfaction Rating]],0)</f>
        <v>5</v>
      </c>
    </row>
    <row r="762" spans="1:11" x14ac:dyDescent="0.35">
      <c r="A762" s="21" t="s">
        <v>1745</v>
      </c>
      <c r="B762" s="18" t="s">
        <v>1000</v>
      </c>
      <c r="C762" s="18">
        <v>126</v>
      </c>
      <c r="D762" s="19" t="s">
        <v>972</v>
      </c>
      <c r="E762" s="20">
        <v>45196</v>
      </c>
      <c r="F762" s="18">
        <v>44</v>
      </c>
      <c r="G762" s="22">
        <v>3.7</v>
      </c>
      <c r="H762">
        <f>IF(MONTH(Call_Center[[#This Row],[Date of Call]])&lt;=6,2023,2024)</f>
        <v>2024</v>
      </c>
      <c r="I762" t="str">
        <f>TEXT(Call_Center[[#This Row],[Date of Call]],"DDDD")</f>
        <v>Wednesday</v>
      </c>
      <c r="J762" t="str" cm="1">
        <f t="array" ref="J762">_xlfn.IFS(Call_Center[[#This Row],[Duration]]&lt;=10,"Under 10 mins",Call_Center[[#This Row],[Duration]]&lt;=30,"10 to 30 min",Call_Center[[#This Row],[Duration]]&lt;=60,"30 to 60 min",Call_Center[[#This Row],[Duration]]&lt;=120,"1 to 2 hours",TRUE,"More than 2 hours")</f>
        <v>More than 2 hours</v>
      </c>
      <c r="K762">
        <f>ROUND(Call_Center[[#This Row],[Satisfaction Rating]],0)</f>
        <v>4</v>
      </c>
    </row>
    <row r="763" spans="1:11" x14ac:dyDescent="0.35">
      <c r="A763" s="21" t="s">
        <v>1746</v>
      </c>
      <c r="B763" s="18" t="s">
        <v>971</v>
      </c>
      <c r="C763" s="18">
        <v>135</v>
      </c>
      <c r="D763" s="19" t="s">
        <v>982</v>
      </c>
      <c r="E763" s="20">
        <v>45197</v>
      </c>
      <c r="F763" s="18">
        <v>92</v>
      </c>
      <c r="G763" s="22">
        <v>3.9</v>
      </c>
      <c r="H763">
        <f>IF(MONTH(Call_Center[[#This Row],[Date of Call]])&lt;=6,2023,2024)</f>
        <v>2024</v>
      </c>
      <c r="I763" t="str">
        <f>TEXT(Call_Center[[#This Row],[Date of Call]],"DDDD")</f>
        <v>Thursday</v>
      </c>
      <c r="J763" t="str" cm="1">
        <f t="array" ref="J763">_xlfn.IFS(Call_Center[[#This Row],[Duration]]&lt;=10,"Under 10 mins",Call_Center[[#This Row],[Duration]]&lt;=30,"10 to 30 min",Call_Center[[#This Row],[Duration]]&lt;=60,"30 to 60 min",Call_Center[[#This Row],[Duration]]&lt;=120,"1 to 2 hours",TRUE,"More than 2 hours")</f>
        <v>More than 2 hours</v>
      </c>
      <c r="K763">
        <f>ROUND(Call_Center[[#This Row],[Satisfaction Rating]],0)</f>
        <v>4</v>
      </c>
    </row>
    <row r="764" spans="1:11" x14ac:dyDescent="0.35">
      <c r="A764" s="21" t="s">
        <v>1747</v>
      </c>
      <c r="B764" s="18" t="s">
        <v>1000</v>
      </c>
      <c r="C764" s="18">
        <v>110</v>
      </c>
      <c r="D764" s="19" t="s">
        <v>967</v>
      </c>
      <c r="E764" s="20">
        <v>45198</v>
      </c>
      <c r="F764" s="18">
        <v>90</v>
      </c>
      <c r="G764" s="22">
        <v>3.1</v>
      </c>
      <c r="H764">
        <f>IF(MONTH(Call_Center[[#This Row],[Date of Call]])&lt;=6,2023,2024)</f>
        <v>2024</v>
      </c>
      <c r="I764" t="str">
        <f>TEXT(Call_Center[[#This Row],[Date of Call]],"DDDD")</f>
        <v>Friday</v>
      </c>
      <c r="J764" t="str" cm="1">
        <f t="array" ref="J764">_xlfn.IFS(Call_Center[[#This Row],[Duration]]&lt;=10,"Under 10 mins",Call_Center[[#This Row],[Duration]]&lt;=30,"10 to 30 min",Call_Center[[#This Row],[Duration]]&lt;=60,"30 to 60 min",Call_Center[[#This Row],[Duration]]&lt;=120,"1 to 2 hours",TRUE,"More than 2 hours")</f>
        <v>1 to 2 hours</v>
      </c>
      <c r="K764">
        <f>ROUND(Call_Center[[#This Row],[Satisfaction Rating]],0)</f>
        <v>3</v>
      </c>
    </row>
    <row r="765" spans="1:11" x14ac:dyDescent="0.35">
      <c r="A765" s="21" t="s">
        <v>1748</v>
      </c>
      <c r="B765" s="18" t="s">
        <v>1005</v>
      </c>
      <c r="C765" s="18">
        <v>64</v>
      </c>
      <c r="D765" s="19" t="s">
        <v>982</v>
      </c>
      <c r="E765" s="20">
        <v>45198</v>
      </c>
      <c r="F765" s="18">
        <v>112</v>
      </c>
      <c r="G765" s="22">
        <v>2</v>
      </c>
      <c r="H765">
        <f>IF(MONTH(Call_Center[[#This Row],[Date of Call]])&lt;=6,2023,2024)</f>
        <v>2024</v>
      </c>
      <c r="I765" t="str">
        <f>TEXT(Call_Center[[#This Row],[Date of Call]],"DDDD")</f>
        <v>Friday</v>
      </c>
      <c r="J765" t="str" cm="1">
        <f t="array" ref="J765">_xlfn.IFS(Call_Center[[#This Row],[Duration]]&lt;=10,"Under 10 mins",Call_Center[[#This Row],[Duration]]&lt;=30,"10 to 30 min",Call_Center[[#This Row],[Duration]]&lt;=60,"30 to 60 min",Call_Center[[#This Row],[Duration]]&lt;=120,"1 to 2 hours",TRUE,"More than 2 hours")</f>
        <v>1 to 2 hours</v>
      </c>
      <c r="K765">
        <f>ROUND(Call_Center[[#This Row],[Satisfaction Rating]],0)</f>
        <v>2</v>
      </c>
    </row>
    <row r="766" spans="1:11" x14ac:dyDescent="0.35">
      <c r="A766" s="21" t="s">
        <v>1749</v>
      </c>
      <c r="B766" s="18" t="s">
        <v>997</v>
      </c>
      <c r="C766" s="18">
        <v>127</v>
      </c>
      <c r="D766" s="19" t="s">
        <v>972</v>
      </c>
      <c r="E766" s="20">
        <v>45198</v>
      </c>
      <c r="F766" s="18">
        <v>112</v>
      </c>
      <c r="G766" s="22">
        <v>4.5999999999999996</v>
      </c>
      <c r="H766">
        <f>IF(MONTH(Call_Center[[#This Row],[Date of Call]])&lt;=6,2023,2024)</f>
        <v>2024</v>
      </c>
      <c r="I766" t="str">
        <f>TEXT(Call_Center[[#This Row],[Date of Call]],"DDDD")</f>
        <v>Friday</v>
      </c>
      <c r="J766" t="str" cm="1">
        <f t="array" ref="J766">_xlfn.IFS(Call_Center[[#This Row],[Duration]]&lt;=10,"Under 10 mins",Call_Center[[#This Row],[Duration]]&lt;=30,"10 to 30 min",Call_Center[[#This Row],[Duration]]&lt;=60,"30 to 60 min",Call_Center[[#This Row],[Duration]]&lt;=120,"1 to 2 hours",TRUE,"More than 2 hours")</f>
        <v>More than 2 hours</v>
      </c>
      <c r="K766">
        <f>ROUND(Call_Center[[#This Row],[Satisfaction Rating]],0)</f>
        <v>5</v>
      </c>
    </row>
    <row r="767" spans="1:11" x14ac:dyDescent="0.35">
      <c r="A767" s="21" t="s">
        <v>1750</v>
      </c>
      <c r="B767" s="18" t="s">
        <v>1038</v>
      </c>
      <c r="C767" s="18">
        <v>124</v>
      </c>
      <c r="D767" s="19" t="s">
        <v>977</v>
      </c>
      <c r="E767" s="20">
        <v>45198</v>
      </c>
      <c r="F767" s="18">
        <v>48</v>
      </c>
      <c r="G767" s="22">
        <v>3.7</v>
      </c>
      <c r="H767">
        <f>IF(MONTH(Call_Center[[#This Row],[Date of Call]])&lt;=6,2023,2024)</f>
        <v>2024</v>
      </c>
      <c r="I767" t="str">
        <f>TEXT(Call_Center[[#This Row],[Date of Call]],"DDDD")</f>
        <v>Friday</v>
      </c>
      <c r="J767" t="str" cm="1">
        <f t="array" ref="J767">_xlfn.IFS(Call_Center[[#This Row],[Duration]]&lt;=10,"Under 10 mins",Call_Center[[#This Row],[Duration]]&lt;=30,"10 to 30 min",Call_Center[[#This Row],[Duration]]&lt;=60,"30 to 60 min",Call_Center[[#This Row],[Duration]]&lt;=120,"1 to 2 hours",TRUE,"More than 2 hours")</f>
        <v>More than 2 hours</v>
      </c>
      <c r="K767">
        <f>ROUND(Call_Center[[#This Row],[Satisfaction Rating]],0)</f>
        <v>4</v>
      </c>
    </row>
    <row r="768" spans="1:11" x14ac:dyDescent="0.35">
      <c r="A768" s="21" t="s">
        <v>1751</v>
      </c>
      <c r="B768" s="18" t="s">
        <v>1005</v>
      </c>
      <c r="C768" s="18">
        <v>125</v>
      </c>
      <c r="D768" s="19" t="s">
        <v>972</v>
      </c>
      <c r="E768" s="20">
        <v>45198</v>
      </c>
      <c r="F768" s="18">
        <v>116</v>
      </c>
      <c r="G768" s="22">
        <v>4.4000000000000004</v>
      </c>
      <c r="H768">
        <f>IF(MONTH(Call_Center[[#This Row],[Date of Call]])&lt;=6,2023,2024)</f>
        <v>2024</v>
      </c>
      <c r="I768" t="str">
        <f>TEXT(Call_Center[[#This Row],[Date of Call]],"DDDD")</f>
        <v>Friday</v>
      </c>
      <c r="J768" t="str" cm="1">
        <f t="array" ref="J768">_xlfn.IFS(Call_Center[[#This Row],[Duration]]&lt;=10,"Under 10 mins",Call_Center[[#This Row],[Duration]]&lt;=30,"10 to 30 min",Call_Center[[#This Row],[Duration]]&lt;=60,"30 to 60 min",Call_Center[[#This Row],[Duration]]&lt;=120,"1 to 2 hours",TRUE,"More than 2 hours")</f>
        <v>More than 2 hours</v>
      </c>
      <c r="K768">
        <f>ROUND(Call_Center[[#This Row],[Satisfaction Rating]],0)</f>
        <v>4</v>
      </c>
    </row>
    <row r="769" spans="1:11" x14ac:dyDescent="0.35">
      <c r="A769" s="21" t="s">
        <v>1752</v>
      </c>
      <c r="B769" s="18" t="s">
        <v>969</v>
      </c>
      <c r="C769" s="18">
        <v>70</v>
      </c>
      <c r="D769" s="19" t="s">
        <v>972</v>
      </c>
      <c r="E769" s="20">
        <v>45198</v>
      </c>
      <c r="F769" s="18">
        <v>29</v>
      </c>
      <c r="G769" s="22">
        <v>2.1</v>
      </c>
      <c r="H769">
        <f>IF(MONTH(Call_Center[[#This Row],[Date of Call]])&lt;=6,2023,2024)</f>
        <v>2024</v>
      </c>
      <c r="I769" t="str">
        <f>TEXT(Call_Center[[#This Row],[Date of Call]],"DDDD")</f>
        <v>Friday</v>
      </c>
      <c r="J769" t="str" cm="1">
        <f t="array" ref="J769">_xlfn.IFS(Call_Center[[#This Row],[Duration]]&lt;=10,"Under 10 mins",Call_Center[[#This Row],[Duration]]&lt;=30,"10 to 30 min",Call_Center[[#This Row],[Duration]]&lt;=60,"30 to 60 min",Call_Center[[#This Row],[Duration]]&lt;=120,"1 to 2 hours",TRUE,"More than 2 hours")</f>
        <v>1 to 2 hours</v>
      </c>
      <c r="K769">
        <f>ROUND(Call_Center[[#This Row],[Satisfaction Rating]],0)</f>
        <v>2</v>
      </c>
    </row>
    <row r="770" spans="1:11" x14ac:dyDescent="0.35">
      <c r="A770" s="21" t="s">
        <v>1753</v>
      </c>
      <c r="B770" s="18" t="s">
        <v>997</v>
      </c>
      <c r="C770" s="18">
        <v>93</v>
      </c>
      <c r="D770" s="19" t="s">
        <v>982</v>
      </c>
      <c r="E770" s="20">
        <v>45199</v>
      </c>
      <c r="F770" s="18">
        <v>170</v>
      </c>
      <c r="G770" s="22">
        <v>2.2000000000000002</v>
      </c>
      <c r="H770">
        <f>IF(MONTH(Call_Center[[#This Row],[Date of Call]])&lt;=6,2023,2024)</f>
        <v>2024</v>
      </c>
      <c r="I770" t="str">
        <f>TEXT(Call_Center[[#This Row],[Date of Call]],"DDDD")</f>
        <v>Saturday</v>
      </c>
      <c r="J770" t="str" cm="1">
        <f t="array" ref="J770">_xlfn.IFS(Call_Center[[#This Row],[Duration]]&lt;=10,"Under 10 mins",Call_Center[[#This Row],[Duration]]&lt;=30,"10 to 30 min",Call_Center[[#This Row],[Duration]]&lt;=60,"30 to 60 min",Call_Center[[#This Row],[Duration]]&lt;=120,"1 to 2 hours",TRUE,"More than 2 hours")</f>
        <v>1 to 2 hours</v>
      </c>
      <c r="K770">
        <f>ROUND(Call_Center[[#This Row],[Satisfaction Rating]],0)</f>
        <v>2</v>
      </c>
    </row>
    <row r="771" spans="1:11" x14ac:dyDescent="0.35">
      <c r="A771" s="21" t="s">
        <v>1754</v>
      </c>
      <c r="B771" s="18" t="s">
        <v>969</v>
      </c>
      <c r="C771" s="18">
        <v>120</v>
      </c>
      <c r="D771" s="19" t="s">
        <v>986</v>
      </c>
      <c r="E771" s="20">
        <v>45199</v>
      </c>
      <c r="F771" s="18">
        <v>68</v>
      </c>
      <c r="G771" s="22">
        <v>3.4</v>
      </c>
      <c r="H771">
        <f>IF(MONTH(Call_Center[[#This Row],[Date of Call]])&lt;=6,2023,2024)</f>
        <v>2024</v>
      </c>
      <c r="I771" t="str">
        <f>TEXT(Call_Center[[#This Row],[Date of Call]],"DDDD")</f>
        <v>Saturday</v>
      </c>
      <c r="J771" t="str" cm="1">
        <f t="array" ref="J771">_xlfn.IFS(Call_Center[[#This Row],[Duration]]&lt;=10,"Under 10 mins",Call_Center[[#This Row],[Duration]]&lt;=30,"10 to 30 min",Call_Center[[#This Row],[Duration]]&lt;=60,"30 to 60 min",Call_Center[[#This Row],[Duration]]&lt;=120,"1 to 2 hours",TRUE,"More than 2 hours")</f>
        <v>1 to 2 hours</v>
      </c>
      <c r="K771">
        <f>ROUND(Call_Center[[#This Row],[Satisfaction Rating]],0)</f>
        <v>3</v>
      </c>
    </row>
    <row r="772" spans="1:11" x14ac:dyDescent="0.35">
      <c r="A772" s="21" t="s">
        <v>1755</v>
      </c>
      <c r="B772" s="18" t="s">
        <v>976</v>
      </c>
      <c r="C772" s="18">
        <v>96</v>
      </c>
      <c r="D772" s="19" t="s">
        <v>967</v>
      </c>
      <c r="E772" s="20">
        <v>45199</v>
      </c>
      <c r="F772" s="18">
        <v>195</v>
      </c>
      <c r="G772" s="22">
        <v>2.7</v>
      </c>
      <c r="H772">
        <f>IF(MONTH(Call_Center[[#This Row],[Date of Call]])&lt;=6,2023,2024)</f>
        <v>2024</v>
      </c>
      <c r="I772" t="str">
        <f>TEXT(Call_Center[[#This Row],[Date of Call]],"DDDD")</f>
        <v>Saturday</v>
      </c>
      <c r="J772" t="str" cm="1">
        <f t="array" ref="J772">_xlfn.IFS(Call_Center[[#This Row],[Duration]]&lt;=10,"Under 10 mins",Call_Center[[#This Row],[Duration]]&lt;=30,"10 to 30 min",Call_Center[[#This Row],[Duration]]&lt;=60,"30 to 60 min",Call_Center[[#This Row],[Duration]]&lt;=120,"1 to 2 hours",TRUE,"More than 2 hours")</f>
        <v>1 to 2 hours</v>
      </c>
      <c r="K772">
        <f>ROUND(Call_Center[[#This Row],[Satisfaction Rating]],0)</f>
        <v>3</v>
      </c>
    </row>
    <row r="773" spans="1:11" x14ac:dyDescent="0.35">
      <c r="A773" s="21" t="s">
        <v>1756</v>
      </c>
      <c r="B773" s="18" t="s">
        <v>974</v>
      </c>
      <c r="C773" s="18">
        <v>67</v>
      </c>
      <c r="D773" s="19" t="s">
        <v>967</v>
      </c>
      <c r="E773" s="20">
        <v>45199</v>
      </c>
      <c r="F773" s="18">
        <v>96</v>
      </c>
      <c r="G773" s="22">
        <v>3.7</v>
      </c>
      <c r="H773">
        <f>IF(MONTH(Call_Center[[#This Row],[Date of Call]])&lt;=6,2023,2024)</f>
        <v>2024</v>
      </c>
      <c r="I773" t="str">
        <f>TEXT(Call_Center[[#This Row],[Date of Call]],"DDDD")</f>
        <v>Saturday</v>
      </c>
      <c r="J773" t="str" cm="1">
        <f t="array" ref="J773">_xlfn.IFS(Call_Center[[#This Row],[Duration]]&lt;=10,"Under 10 mins",Call_Center[[#This Row],[Duration]]&lt;=30,"10 to 30 min",Call_Center[[#This Row],[Duration]]&lt;=60,"30 to 60 min",Call_Center[[#This Row],[Duration]]&lt;=120,"1 to 2 hours",TRUE,"More than 2 hours")</f>
        <v>1 to 2 hours</v>
      </c>
      <c r="K773">
        <f>ROUND(Call_Center[[#This Row],[Satisfaction Rating]],0)</f>
        <v>4</v>
      </c>
    </row>
    <row r="774" spans="1:11" x14ac:dyDescent="0.35">
      <c r="A774" s="21" t="s">
        <v>1757</v>
      </c>
      <c r="B774" s="18" t="s">
        <v>1005</v>
      </c>
      <c r="C774" s="18">
        <v>119</v>
      </c>
      <c r="D774" s="19" t="s">
        <v>967</v>
      </c>
      <c r="E774" s="20">
        <v>45199</v>
      </c>
      <c r="F774" s="18">
        <v>96</v>
      </c>
      <c r="G774" s="22">
        <v>3.1</v>
      </c>
      <c r="H774">
        <f>IF(MONTH(Call_Center[[#This Row],[Date of Call]])&lt;=6,2023,2024)</f>
        <v>2024</v>
      </c>
      <c r="I774" t="str">
        <f>TEXT(Call_Center[[#This Row],[Date of Call]],"DDDD")</f>
        <v>Saturday</v>
      </c>
      <c r="J774" t="str" cm="1">
        <f t="array" ref="J774">_xlfn.IFS(Call_Center[[#This Row],[Duration]]&lt;=10,"Under 10 mins",Call_Center[[#This Row],[Duration]]&lt;=30,"10 to 30 min",Call_Center[[#This Row],[Duration]]&lt;=60,"30 to 60 min",Call_Center[[#This Row],[Duration]]&lt;=120,"1 to 2 hours",TRUE,"More than 2 hours")</f>
        <v>1 to 2 hours</v>
      </c>
      <c r="K774">
        <f>ROUND(Call_Center[[#This Row],[Satisfaction Rating]],0)</f>
        <v>3</v>
      </c>
    </row>
    <row r="775" spans="1:11" x14ac:dyDescent="0.35">
      <c r="A775" s="21" t="s">
        <v>1758</v>
      </c>
      <c r="B775" s="18" t="s">
        <v>1038</v>
      </c>
      <c r="C775" s="18">
        <v>61</v>
      </c>
      <c r="D775" s="19" t="s">
        <v>977</v>
      </c>
      <c r="E775" s="20">
        <v>45199</v>
      </c>
      <c r="F775" s="18">
        <v>117</v>
      </c>
      <c r="G775" s="22">
        <v>4.0999999999999996</v>
      </c>
      <c r="H775">
        <f>IF(MONTH(Call_Center[[#This Row],[Date of Call]])&lt;=6,2023,2024)</f>
        <v>2024</v>
      </c>
      <c r="I775" t="str">
        <f>TEXT(Call_Center[[#This Row],[Date of Call]],"DDDD")</f>
        <v>Saturday</v>
      </c>
      <c r="J775" t="str" cm="1">
        <f t="array" ref="J775">_xlfn.IFS(Call_Center[[#This Row],[Duration]]&lt;=10,"Under 10 mins",Call_Center[[#This Row],[Duration]]&lt;=30,"10 to 30 min",Call_Center[[#This Row],[Duration]]&lt;=60,"30 to 60 min",Call_Center[[#This Row],[Duration]]&lt;=120,"1 to 2 hours",TRUE,"More than 2 hours")</f>
        <v>1 to 2 hours</v>
      </c>
      <c r="K775">
        <f>ROUND(Call_Center[[#This Row],[Satisfaction Rating]],0)</f>
        <v>4</v>
      </c>
    </row>
    <row r="776" spans="1:11" x14ac:dyDescent="0.35">
      <c r="A776" s="21" t="s">
        <v>1759</v>
      </c>
      <c r="B776" s="18" t="s">
        <v>976</v>
      </c>
      <c r="C776" s="18">
        <v>29</v>
      </c>
      <c r="D776" s="19" t="s">
        <v>982</v>
      </c>
      <c r="E776" s="20">
        <v>45199</v>
      </c>
      <c r="F776" s="18">
        <v>80</v>
      </c>
      <c r="G776" s="22">
        <v>4.8</v>
      </c>
      <c r="H776">
        <f>IF(MONTH(Call_Center[[#This Row],[Date of Call]])&lt;=6,2023,2024)</f>
        <v>2024</v>
      </c>
      <c r="I776" t="str">
        <f>TEXT(Call_Center[[#This Row],[Date of Call]],"DDDD")</f>
        <v>Saturday</v>
      </c>
      <c r="J776" t="str" cm="1">
        <f t="array" ref="J776">_xlfn.IFS(Call_Center[[#This Row],[Duration]]&lt;=10,"Under 10 mins",Call_Center[[#This Row],[Duration]]&lt;=30,"10 to 30 min",Call_Center[[#This Row],[Duration]]&lt;=60,"30 to 60 min",Call_Center[[#This Row],[Duration]]&lt;=120,"1 to 2 hours",TRUE,"More than 2 hours")</f>
        <v>10 to 30 min</v>
      </c>
      <c r="K776">
        <f>ROUND(Call_Center[[#This Row],[Satisfaction Rating]],0)</f>
        <v>5</v>
      </c>
    </row>
    <row r="777" spans="1:11" x14ac:dyDescent="0.35">
      <c r="A777" s="21" t="s">
        <v>1760</v>
      </c>
      <c r="B777" s="18" t="s">
        <v>991</v>
      </c>
      <c r="C777" s="18">
        <v>134</v>
      </c>
      <c r="D777" s="19" t="s">
        <v>986</v>
      </c>
      <c r="E777" s="20">
        <v>45199</v>
      </c>
      <c r="F777" s="18">
        <v>117</v>
      </c>
      <c r="G777" s="22">
        <v>4</v>
      </c>
      <c r="H777">
        <f>IF(MONTH(Call_Center[[#This Row],[Date of Call]])&lt;=6,2023,2024)</f>
        <v>2024</v>
      </c>
      <c r="I777" t="str">
        <f>TEXT(Call_Center[[#This Row],[Date of Call]],"DDDD")</f>
        <v>Saturday</v>
      </c>
      <c r="J777" t="str" cm="1">
        <f t="array" ref="J777">_xlfn.IFS(Call_Center[[#This Row],[Duration]]&lt;=10,"Under 10 mins",Call_Center[[#This Row],[Duration]]&lt;=30,"10 to 30 min",Call_Center[[#This Row],[Duration]]&lt;=60,"30 to 60 min",Call_Center[[#This Row],[Duration]]&lt;=120,"1 to 2 hours",TRUE,"More than 2 hours")</f>
        <v>More than 2 hours</v>
      </c>
      <c r="K777">
        <f>ROUND(Call_Center[[#This Row],[Satisfaction Rating]],0)</f>
        <v>4</v>
      </c>
    </row>
    <row r="778" spans="1:11" x14ac:dyDescent="0.35">
      <c r="A778" s="21" t="s">
        <v>1761</v>
      </c>
      <c r="B778" s="18" t="s">
        <v>1000</v>
      </c>
      <c r="C778" s="18">
        <v>113</v>
      </c>
      <c r="D778" s="19" t="s">
        <v>967</v>
      </c>
      <c r="E778" s="20">
        <v>45200</v>
      </c>
      <c r="F778" s="18">
        <v>40</v>
      </c>
      <c r="G778" s="22">
        <v>3</v>
      </c>
      <c r="H778">
        <f>IF(MONTH(Call_Center[[#This Row],[Date of Call]])&lt;=6,2023,2024)</f>
        <v>2024</v>
      </c>
      <c r="I778" t="str">
        <f>TEXT(Call_Center[[#This Row],[Date of Call]],"DDDD")</f>
        <v>Sunday</v>
      </c>
      <c r="J778" t="str" cm="1">
        <f t="array" ref="J778">_xlfn.IFS(Call_Center[[#This Row],[Duration]]&lt;=10,"Under 10 mins",Call_Center[[#This Row],[Duration]]&lt;=30,"10 to 30 min",Call_Center[[#This Row],[Duration]]&lt;=60,"30 to 60 min",Call_Center[[#This Row],[Duration]]&lt;=120,"1 to 2 hours",TRUE,"More than 2 hours")</f>
        <v>1 to 2 hours</v>
      </c>
      <c r="K778">
        <f>ROUND(Call_Center[[#This Row],[Satisfaction Rating]],0)</f>
        <v>3</v>
      </c>
    </row>
    <row r="779" spans="1:11" x14ac:dyDescent="0.35">
      <c r="A779" s="21" t="s">
        <v>1762</v>
      </c>
      <c r="B779" s="18" t="s">
        <v>1018</v>
      </c>
      <c r="C779" s="18">
        <v>12</v>
      </c>
      <c r="D779" s="19" t="s">
        <v>986</v>
      </c>
      <c r="E779" s="20">
        <v>45200</v>
      </c>
      <c r="F779" s="18">
        <v>117</v>
      </c>
      <c r="G779" s="22">
        <v>4.8</v>
      </c>
      <c r="H779">
        <f>IF(MONTH(Call_Center[[#This Row],[Date of Call]])&lt;=6,2023,2024)</f>
        <v>2024</v>
      </c>
      <c r="I779" t="str">
        <f>TEXT(Call_Center[[#This Row],[Date of Call]],"DDDD")</f>
        <v>Sunday</v>
      </c>
      <c r="J779" t="str" cm="1">
        <f t="array" ref="J779">_xlfn.IFS(Call_Center[[#This Row],[Duration]]&lt;=10,"Under 10 mins",Call_Center[[#This Row],[Duration]]&lt;=30,"10 to 30 min",Call_Center[[#This Row],[Duration]]&lt;=60,"30 to 60 min",Call_Center[[#This Row],[Duration]]&lt;=120,"1 to 2 hours",TRUE,"More than 2 hours")</f>
        <v>10 to 30 min</v>
      </c>
      <c r="K779">
        <f>ROUND(Call_Center[[#This Row],[Satisfaction Rating]],0)</f>
        <v>5</v>
      </c>
    </row>
    <row r="780" spans="1:11" x14ac:dyDescent="0.35">
      <c r="A780" s="21" t="s">
        <v>1763</v>
      </c>
      <c r="B780" s="18" t="s">
        <v>989</v>
      </c>
      <c r="C780" s="18">
        <v>78</v>
      </c>
      <c r="D780" s="19" t="s">
        <v>982</v>
      </c>
      <c r="E780" s="20">
        <v>45200</v>
      </c>
      <c r="F780" s="18">
        <v>135</v>
      </c>
      <c r="G780" s="22">
        <v>4.0999999999999996</v>
      </c>
      <c r="H780">
        <f>IF(MONTH(Call_Center[[#This Row],[Date of Call]])&lt;=6,2023,2024)</f>
        <v>2024</v>
      </c>
      <c r="I780" t="str">
        <f>TEXT(Call_Center[[#This Row],[Date of Call]],"DDDD")</f>
        <v>Sunday</v>
      </c>
      <c r="J780" t="str" cm="1">
        <f t="array" ref="J780">_xlfn.IFS(Call_Center[[#This Row],[Duration]]&lt;=10,"Under 10 mins",Call_Center[[#This Row],[Duration]]&lt;=30,"10 to 30 min",Call_Center[[#This Row],[Duration]]&lt;=60,"30 to 60 min",Call_Center[[#This Row],[Duration]]&lt;=120,"1 to 2 hours",TRUE,"More than 2 hours")</f>
        <v>1 to 2 hours</v>
      </c>
      <c r="K780">
        <f>ROUND(Call_Center[[#This Row],[Satisfaction Rating]],0)</f>
        <v>4</v>
      </c>
    </row>
    <row r="781" spans="1:11" x14ac:dyDescent="0.35">
      <c r="A781" s="21" t="s">
        <v>1764</v>
      </c>
      <c r="B781" s="18" t="s">
        <v>1005</v>
      </c>
      <c r="C781" s="18">
        <v>82</v>
      </c>
      <c r="D781" s="19" t="s">
        <v>972</v>
      </c>
      <c r="E781" s="20">
        <v>45200</v>
      </c>
      <c r="F781" s="18">
        <v>99</v>
      </c>
      <c r="G781" s="22">
        <v>4.2</v>
      </c>
      <c r="H781">
        <f>IF(MONTH(Call_Center[[#This Row],[Date of Call]])&lt;=6,2023,2024)</f>
        <v>2024</v>
      </c>
      <c r="I781" t="str">
        <f>TEXT(Call_Center[[#This Row],[Date of Call]],"DDDD")</f>
        <v>Sunday</v>
      </c>
      <c r="J781" t="str" cm="1">
        <f t="array" ref="J781">_xlfn.IFS(Call_Center[[#This Row],[Duration]]&lt;=10,"Under 10 mins",Call_Center[[#This Row],[Duration]]&lt;=30,"10 to 30 min",Call_Center[[#This Row],[Duration]]&lt;=60,"30 to 60 min",Call_Center[[#This Row],[Duration]]&lt;=120,"1 to 2 hours",TRUE,"More than 2 hours")</f>
        <v>1 to 2 hours</v>
      </c>
      <c r="K781">
        <f>ROUND(Call_Center[[#This Row],[Satisfaction Rating]],0)</f>
        <v>4</v>
      </c>
    </row>
    <row r="782" spans="1:11" x14ac:dyDescent="0.35">
      <c r="A782" s="21" t="s">
        <v>1765</v>
      </c>
      <c r="B782" s="18" t="s">
        <v>985</v>
      </c>
      <c r="C782" s="18">
        <v>149</v>
      </c>
      <c r="D782" s="19" t="s">
        <v>977</v>
      </c>
      <c r="E782" s="20">
        <v>45200</v>
      </c>
      <c r="F782" s="18">
        <v>130</v>
      </c>
      <c r="G782" s="22">
        <v>3.3</v>
      </c>
      <c r="H782">
        <f>IF(MONTH(Call_Center[[#This Row],[Date of Call]])&lt;=6,2023,2024)</f>
        <v>2024</v>
      </c>
      <c r="I782" t="str">
        <f>TEXT(Call_Center[[#This Row],[Date of Call]],"DDDD")</f>
        <v>Sunday</v>
      </c>
      <c r="J782" t="str" cm="1">
        <f t="array" ref="J782">_xlfn.IFS(Call_Center[[#This Row],[Duration]]&lt;=10,"Under 10 mins",Call_Center[[#This Row],[Duration]]&lt;=30,"10 to 30 min",Call_Center[[#This Row],[Duration]]&lt;=60,"30 to 60 min",Call_Center[[#This Row],[Duration]]&lt;=120,"1 to 2 hours",TRUE,"More than 2 hours")</f>
        <v>More than 2 hours</v>
      </c>
      <c r="K782">
        <f>ROUND(Call_Center[[#This Row],[Satisfaction Rating]],0)</f>
        <v>3</v>
      </c>
    </row>
    <row r="783" spans="1:11" x14ac:dyDescent="0.35">
      <c r="A783" s="21" t="s">
        <v>1766</v>
      </c>
      <c r="B783" s="18" t="s">
        <v>980</v>
      </c>
      <c r="C783" s="18">
        <v>56</v>
      </c>
      <c r="D783" s="19" t="s">
        <v>986</v>
      </c>
      <c r="E783" s="20">
        <v>45200</v>
      </c>
      <c r="F783" s="18">
        <v>96</v>
      </c>
      <c r="G783" s="22">
        <v>4.7</v>
      </c>
      <c r="H783">
        <f>IF(MONTH(Call_Center[[#This Row],[Date of Call]])&lt;=6,2023,2024)</f>
        <v>2024</v>
      </c>
      <c r="I783" t="str">
        <f>TEXT(Call_Center[[#This Row],[Date of Call]],"DDDD")</f>
        <v>Sunday</v>
      </c>
      <c r="J783" t="str" cm="1">
        <f t="array" ref="J783">_xlfn.IFS(Call_Center[[#This Row],[Duration]]&lt;=10,"Under 10 mins",Call_Center[[#This Row],[Duration]]&lt;=30,"10 to 30 min",Call_Center[[#This Row],[Duration]]&lt;=60,"30 to 60 min",Call_Center[[#This Row],[Duration]]&lt;=120,"1 to 2 hours",TRUE,"More than 2 hours")</f>
        <v>30 to 60 min</v>
      </c>
      <c r="K783">
        <f>ROUND(Call_Center[[#This Row],[Satisfaction Rating]],0)</f>
        <v>5</v>
      </c>
    </row>
    <row r="784" spans="1:11" x14ac:dyDescent="0.35">
      <c r="A784" s="21" t="s">
        <v>1767</v>
      </c>
      <c r="B784" s="18" t="s">
        <v>976</v>
      </c>
      <c r="C784" s="18">
        <v>80</v>
      </c>
      <c r="D784" s="19" t="s">
        <v>977</v>
      </c>
      <c r="E784" s="20">
        <v>45200</v>
      </c>
      <c r="F784" s="18">
        <v>128</v>
      </c>
      <c r="G784" s="22">
        <v>3.7</v>
      </c>
      <c r="H784">
        <f>IF(MONTH(Call_Center[[#This Row],[Date of Call]])&lt;=6,2023,2024)</f>
        <v>2024</v>
      </c>
      <c r="I784" t="str">
        <f>TEXT(Call_Center[[#This Row],[Date of Call]],"DDDD")</f>
        <v>Sunday</v>
      </c>
      <c r="J784" t="str" cm="1">
        <f t="array" ref="J784">_xlfn.IFS(Call_Center[[#This Row],[Duration]]&lt;=10,"Under 10 mins",Call_Center[[#This Row],[Duration]]&lt;=30,"10 to 30 min",Call_Center[[#This Row],[Duration]]&lt;=60,"30 to 60 min",Call_Center[[#This Row],[Duration]]&lt;=120,"1 to 2 hours",TRUE,"More than 2 hours")</f>
        <v>1 to 2 hours</v>
      </c>
      <c r="K784">
        <f>ROUND(Call_Center[[#This Row],[Satisfaction Rating]],0)</f>
        <v>4</v>
      </c>
    </row>
    <row r="785" spans="1:11" x14ac:dyDescent="0.35">
      <c r="A785" s="21" t="s">
        <v>1768</v>
      </c>
      <c r="B785" s="18" t="s">
        <v>1038</v>
      </c>
      <c r="C785" s="18">
        <v>131</v>
      </c>
      <c r="D785" s="19" t="s">
        <v>967</v>
      </c>
      <c r="E785" s="20">
        <v>45200</v>
      </c>
      <c r="F785" s="18">
        <v>69</v>
      </c>
      <c r="G785" s="22">
        <v>4.7</v>
      </c>
      <c r="H785">
        <f>IF(MONTH(Call_Center[[#This Row],[Date of Call]])&lt;=6,2023,2024)</f>
        <v>2024</v>
      </c>
      <c r="I785" t="str">
        <f>TEXT(Call_Center[[#This Row],[Date of Call]],"DDDD")</f>
        <v>Sunday</v>
      </c>
      <c r="J785" t="str" cm="1">
        <f t="array" ref="J785">_xlfn.IFS(Call_Center[[#This Row],[Duration]]&lt;=10,"Under 10 mins",Call_Center[[#This Row],[Duration]]&lt;=30,"10 to 30 min",Call_Center[[#This Row],[Duration]]&lt;=60,"30 to 60 min",Call_Center[[#This Row],[Duration]]&lt;=120,"1 to 2 hours",TRUE,"More than 2 hours")</f>
        <v>More than 2 hours</v>
      </c>
      <c r="K785">
        <f>ROUND(Call_Center[[#This Row],[Satisfaction Rating]],0)</f>
        <v>5</v>
      </c>
    </row>
    <row r="786" spans="1:11" x14ac:dyDescent="0.35">
      <c r="A786" s="21" t="s">
        <v>1769</v>
      </c>
      <c r="B786" s="18" t="s">
        <v>1038</v>
      </c>
      <c r="C786" s="18">
        <v>109</v>
      </c>
      <c r="D786" s="19" t="s">
        <v>967</v>
      </c>
      <c r="E786" s="20">
        <v>45200</v>
      </c>
      <c r="F786" s="18">
        <v>44</v>
      </c>
      <c r="G786" s="22">
        <v>4.5999999999999996</v>
      </c>
      <c r="H786">
        <f>IF(MONTH(Call_Center[[#This Row],[Date of Call]])&lt;=6,2023,2024)</f>
        <v>2024</v>
      </c>
      <c r="I786" t="str">
        <f>TEXT(Call_Center[[#This Row],[Date of Call]],"DDDD")</f>
        <v>Sunday</v>
      </c>
      <c r="J786" t="str" cm="1">
        <f t="array" ref="J786">_xlfn.IFS(Call_Center[[#This Row],[Duration]]&lt;=10,"Under 10 mins",Call_Center[[#This Row],[Duration]]&lt;=30,"10 to 30 min",Call_Center[[#This Row],[Duration]]&lt;=60,"30 to 60 min",Call_Center[[#This Row],[Duration]]&lt;=120,"1 to 2 hours",TRUE,"More than 2 hours")</f>
        <v>1 to 2 hours</v>
      </c>
      <c r="K786">
        <f>ROUND(Call_Center[[#This Row],[Satisfaction Rating]],0)</f>
        <v>5</v>
      </c>
    </row>
    <row r="787" spans="1:11" x14ac:dyDescent="0.35">
      <c r="A787" s="21" t="s">
        <v>1770</v>
      </c>
      <c r="B787" s="18" t="s">
        <v>980</v>
      </c>
      <c r="C787" s="18">
        <v>142</v>
      </c>
      <c r="D787" s="19" t="s">
        <v>967</v>
      </c>
      <c r="E787" s="20">
        <v>45200</v>
      </c>
      <c r="F787" s="18">
        <v>44</v>
      </c>
      <c r="G787" s="22">
        <v>4.8</v>
      </c>
      <c r="H787">
        <f>IF(MONTH(Call_Center[[#This Row],[Date of Call]])&lt;=6,2023,2024)</f>
        <v>2024</v>
      </c>
      <c r="I787" t="str">
        <f>TEXT(Call_Center[[#This Row],[Date of Call]],"DDDD")</f>
        <v>Sunday</v>
      </c>
      <c r="J787" t="str" cm="1">
        <f t="array" ref="J787">_xlfn.IFS(Call_Center[[#This Row],[Duration]]&lt;=10,"Under 10 mins",Call_Center[[#This Row],[Duration]]&lt;=30,"10 to 30 min",Call_Center[[#This Row],[Duration]]&lt;=60,"30 to 60 min",Call_Center[[#This Row],[Duration]]&lt;=120,"1 to 2 hours",TRUE,"More than 2 hours")</f>
        <v>More than 2 hours</v>
      </c>
      <c r="K787">
        <f>ROUND(Call_Center[[#This Row],[Satisfaction Rating]],0)</f>
        <v>5</v>
      </c>
    </row>
    <row r="788" spans="1:11" x14ac:dyDescent="0.35">
      <c r="A788" s="21" t="s">
        <v>1771</v>
      </c>
      <c r="B788" s="18" t="s">
        <v>997</v>
      </c>
      <c r="C788" s="18">
        <v>114</v>
      </c>
      <c r="D788" s="19" t="s">
        <v>986</v>
      </c>
      <c r="E788" s="20">
        <v>45201</v>
      </c>
      <c r="F788" s="18">
        <v>135</v>
      </c>
      <c r="G788" s="22">
        <v>2</v>
      </c>
      <c r="H788">
        <f>IF(MONTH(Call_Center[[#This Row],[Date of Call]])&lt;=6,2023,2024)</f>
        <v>2024</v>
      </c>
      <c r="I788" t="str">
        <f>TEXT(Call_Center[[#This Row],[Date of Call]],"DDDD")</f>
        <v>Monday</v>
      </c>
      <c r="J788" t="str" cm="1">
        <f t="array" ref="J788">_xlfn.IFS(Call_Center[[#This Row],[Duration]]&lt;=10,"Under 10 mins",Call_Center[[#This Row],[Duration]]&lt;=30,"10 to 30 min",Call_Center[[#This Row],[Duration]]&lt;=60,"30 to 60 min",Call_Center[[#This Row],[Duration]]&lt;=120,"1 to 2 hours",TRUE,"More than 2 hours")</f>
        <v>1 to 2 hours</v>
      </c>
      <c r="K788">
        <f>ROUND(Call_Center[[#This Row],[Satisfaction Rating]],0)</f>
        <v>2</v>
      </c>
    </row>
    <row r="789" spans="1:11" x14ac:dyDescent="0.35">
      <c r="A789" s="21" t="s">
        <v>1772</v>
      </c>
      <c r="B789" s="18" t="s">
        <v>974</v>
      </c>
      <c r="C789" s="18">
        <v>93</v>
      </c>
      <c r="D789" s="19" t="s">
        <v>977</v>
      </c>
      <c r="E789" s="20">
        <v>45201</v>
      </c>
      <c r="F789" s="18">
        <v>45</v>
      </c>
      <c r="G789" s="22">
        <v>3.9</v>
      </c>
      <c r="H789">
        <f>IF(MONTH(Call_Center[[#This Row],[Date of Call]])&lt;=6,2023,2024)</f>
        <v>2024</v>
      </c>
      <c r="I789" t="str">
        <f>TEXT(Call_Center[[#This Row],[Date of Call]],"DDDD")</f>
        <v>Monday</v>
      </c>
      <c r="J789" t="str" cm="1">
        <f t="array" ref="J789">_xlfn.IFS(Call_Center[[#This Row],[Duration]]&lt;=10,"Under 10 mins",Call_Center[[#This Row],[Duration]]&lt;=30,"10 to 30 min",Call_Center[[#This Row],[Duration]]&lt;=60,"30 to 60 min",Call_Center[[#This Row],[Duration]]&lt;=120,"1 to 2 hours",TRUE,"More than 2 hours")</f>
        <v>1 to 2 hours</v>
      </c>
      <c r="K789">
        <f>ROUND(Call_Center[[#This Row],[Satisfaction Rating]],0)</f>
        <v>4</v>
      </c>
    </row>
    <row r="790" spans="1:11" x14ac:dyDescent="0.35">
      <c r="A790" s="21" t="s">
        <v>1773</v>
      </c>
      <c r="B790" s="18" t="s">
        <v>1018</v>
      </c>
      <c r="C790" s="18">
        <v>43</v>
      </c>
      <c r="D790" s="19" t="s">
        <v>977</v>
      </c>
      <c r="E790" s="20">
        <v>45201</v>
      </c>
      <c r="F790" s="18">
        <v>87</v>
      </c>
      <c r="G790" s="22">
        <v>3</v>
      </c>
      <c r="H790">
        <f>IF(MONTH(Call_Center[[#This Row],[Date of Call]])&lt;=6,2023,2024)</f>
        <v>2024</v>
      </c>
      <c r="I790" t="str">
        <f>TEXT(Call_Center[[#This Row],[Date of Call]],"DDDD")</f>
        <v>Monday</v>
      </c>
      <c r="J790" t="str" cm="1">
        <f t="array" ref="J790">_xlfn.IFS(Call_Center[[#This Row],[Duration]]&lt;=10,"Under 10 mins",Call_Center[[#This Row],[Duration]]&lt;=30,"10 to 30 min",Call_Center[[#This Row],[Duration]]&lt;=60,"30 to 60 min",Call_Center[[#This Row],[Duration]]&lt;=120,"1 to 2 hours",TRUE,"More than 2 hours")</f>
        <v>30 to 60 min</v>
      </c>
      <c r="K790">
        <f>ROUND(Call_Center[[#This Row],[Satisfaction Rating]],0)</f>
        <v>3</v>
      </c>
    </row>
    <row r="791" spans="1:11" x14ac:dyDescent="0.35">
      <c r="A791" s="21" t="s">
        <v>1774</v>
      </c>
      <c r="B791" s="18" t="s">
        <v>991</v>
      </c>
      <c r="C791" s="18">
        <v>78</v>
      </c>
      <c r="D791" s="19" t="s">
        <v>982</v>
      </c>
      <c r="E791" s="20">
        <v>45202</v>
      </c>
      <c r="F791" s="18">
        <v>84</v>
      </c>
      <c r="G791" s="22">
        <v>4.5999999999999996</v>
      </c>
      <c r="H791">
        <f>IF(MONTH(Call_Center[[#This Row],[Date of Call]])&lt;=6,2023,2024)</f>
        <v>2024</v>
      </c>
      <c r="I791" t="str">
        <f>TEXT(Call_Center[[#This Row],[Date of Call]],"DDDD")</f>
        <v>Tuesday</v>
      </c>
      <c r="J791" t="str" cm="1">
        <f t="array" ref="J791">_xlfn.IFS(Call_Center[[#This Row],[Duration]]&lt;=10,"Under 10 mins",Call_Center[[#This Row],[Duration]]&lt;=30,"10 to 30 min",Call_Center[[#This Row],[Duration]]&lt;=60,"30 to 60 min",Call_Center[[#This Row],[Duration]]&lt;=120,"1 to 2 hours",TRUE,"More than 2 hours")</f>
        <v>1 to 2 hours</v>
      </c>
      <c r="K791">
        <f>ROUND(Call_Center[[#This Row],[Satisfaction Rating]],0)</f>
        <v>5</v>
      </c>
    </row>
    <row r="792" spans="1:11" x14ac:dyDescent="0.35">
      <c r="A792" s="21" t="s">
        <v>1775</v>
      </c>
      <c r="B792" s="18" t="s">
        <v>997</v>
      </c>
      <c r="C792" s="18">
        <v>89</v>
      </c>
      <c r="D792" s="19" t="s">
        <v>967</v>
      </c>
      <c r="E792" s="20">
        <v>45202</v>
      </c>
      <c r="F792" s="18">
        <v>81</v>
      </c>
      <c r="G792" s="22">
        <v>3.8</v>
      </c>
      <c r="H792">
        <f>IF(MONTH(Call_Center[[#This Row],[Date of Call]])&lt;=6,2023,2024)</f>
        <v>2024</v>
      </c>
      <c r="I792" t="str">
        <f>TEXT(Call_Center[[#This Row],[Date of Call]],"DDDD")</f>
        <v>Tuesday</v>
      </c>
      <c r="J792" t="str" cm="1">
        <f t="array" ref="J792">_xlfn.IFS(Call_Center[[#This Row],[Duration]]&lt;=10,"Under 10 mins",Call_Center[[#This Row],[Duration]]&lt;=30,"10 to 30 min",Call_Center[[#This Row],[Duration]]&lt;=60,"30 to 60 min",Call_Center[[#This Row],[Duration]]&lt;=120,"1 to 2 hours",TRUE,"More than 2 hours")</f>
        <v>1 to 2 hours</v>
      </c>
      <c r="K792">
        <f>ROUND(Call_Center[[#This Row],[Satisfaction Rating]],0)</f>
        <v>4</v>
      </c>
    </row>
    <row r="793" spans="1:11" x14ac:dyDescent="0.35">
      <c r="A793" s="21" t="s">
        <v>1776</v>
      </c>
      <c r="B793" s="18" t="s">
        <v>980</v>
      </c>
      <c r="C793" s="18">
        <v>82</v>
      </c>
      <c r="D793" s="19" t="s">
        <v>972</v>
      </c>
      <c r="E793" s="20">
        <v>45202</v>
      </c>
      <c r="F793" s="18">
        <v>130</v>
      </c>
      <c r="G793" s="22">
        <v>4.4000000000000004</v>
      </c>
      <c r="H793">
        <f>IF(MONTH(Call_Center[[#This Row],[Date of Call]])&lt;=6,2023,2024)</f>
        <v>2024</v>
      </c>
      <c r="I793" t="str">
        <f>TEXT(Call_Center[[#This Row],[Date of Call]],"DDDD")</f>
        <v>Tuesday</v>
      </c>
      <c r="J793" t="str" cm="1">
        <f t="array" ref="J793">_xlfn.IFS(Call_Center[[#This Row],[Duration]]&lt;=10,"Under 10 mins",Call_Center[[#This Row],[Duration]]&lt;=30,"10 to 30 min",Call_Center[[#This Row],[Duration]]&lt;=60,"30 to 60 min",Call_Center[[#This Row],[Duration]]&lt;=120,"1 to 2 hours",TRUE,"More than 2 hours")</f>
        <v>1 to 2 hours</v>
      </c>
      <c r="K793">
        <f>ROUND(Call_Center[[#This Row],[Satisfaction Rating]],0)</f>
        <v>4</v>
      </c>
    </row>
    <row r="794" spans="1:11" x14ac:dyDescent="0.35">
      <c r="A794" s="21" t="s">
        <v>1777</v>
      </c>
      <c r="B794" s="18" t="s">
        <v>976</v>
      </c>
      <c r="C794" s="18">
        <v>86</v>
      </c>
      <c r="D794" s="19" t="s">
        <v>967</v>
      </c>
      <c r="E794" s="20">
        <v>45203</v>
      </c>
      <c r="F794" s="18">
        <v>92</v>
      </c>
      <c r="G794" s="22">
        <v>2.4</v>
      </c>
      <c r="H794">
        <f>IF(MONTH(Call_Center[[#This Row],[Date of Call]])&lt;=6,2023,2024)</f>
        <v>2024</v>
      </c>
      <c r="I794" t="str">
        <f>TEXT(Call_Center[[#This Row],[Date of Call]],"DDDD")</f>
        <v>Wednesday</v>
      </c>
      <c r="J794" t="str" cm="1">
        <f t="array" ref="J794">_xlfn.IFS(Call_Center[[#This Row],[Duration]]&lt;=10,"Under 10 mins",Call_Center[[#This Row],[Duration]]&lt;=30,"10 to 30 min",Call_Center[[#This Row],[Duration]]&lt;=60,"30 to 60 min",Call_Center[[#This Row],[Duration]]&lt;=120,"1 to 2 hours",TRUE,"More than 2 hours")</f>
        <v>1 to 2 hours</v>
      </c>
      <c r="K794">
        <f>ROUND(Call_Center[[#This Row],[Satisfaction Rating]],0)</f>
        <v>2</v>
      </c>
    </row>
    <row r="795" spans="1:11" x14ac:dyDescent="0.35">
      <c r="A795" s="21" t="s">
        <v>1778</v>
      </c>
      <c r="B795" s="18" t="s">
        <v>1008</v>
      </c>
      <c r="C795" s="18">
        <v>57</v>
      </c>
      <c r="D795" s="19" t="s">
        <v>982</v>
      </c>
      <c r="E795" s="20">
        <v>45203</v>
      </c>
      <c r="F795" s="18">
        <v>48</v>
      </c>
      <c r="G795" s="22">
        <v>4.5</v>
      </c>
      <c r="H795">
        <f>IF(MONTH(Call_Center[[#This Row],[Date of Call]])&lt;=6,2023,2024)</f>
        <v>2024</v>
      </c>
      <c r="I795" t="str">
        <f>TEXT(Call_Center[[#This Row],[Date of Call]],"DDDD")</f>
        <v>Wednesday</v>
      </c>
      <c r="J795" t="str" cm="1">
        <f t="array" ref="J795">_xlfn.IFS(Call_Center[[#This Row],[Duration]]&lt;=10,"Under 10 mins",Call_Center[[#This Row],[Duration]]&lt;=30,"10 to 30 min",Call_Center[[#This Row],[Duration]]&lt;=60,"30 to 60 min",Call_Center[[#This Row],[Duration]]&lt;=120,"1 to 2 hours",TRUE,"More than 2 hours")</f>
        <v>30 to 60 min</v>
      </c>
      <c r="K795">
        <f>ROUND(Call_Center[[#This Row],[Satisfaction Rating]],0)</f>
        <v>5</v>
      </c>
    </row>
    <row r="796" spans="1:11" x14ac:dyDescent="0.35">
      <c r="A796" s="21" t="s">
        <v>1779</v>
      </c>
      <c r="B796" s="18" t="s">
        <v>974</v>
      </c>
      <c r="C796" s="18">
        <v>103</v>
      </c>
      <c r="D796" s="19" t="s">
        <v>986</v>
      </c>
      <c r="E796" s="20">
        <v>45203</v>
      </c>
      <c r="F796" s="18">
        <v>160</v>
      </c>
      <c r="G796" s="22">
        <v>4.5</v>
      </c>
      <c r="H796">
        <f>IF(MONTH(Call_Center[[#This Row],[Date of Call]])&lt;=6,2023,2024)</f>
        <v>2024</v>
      </c>
      <c r="I796" t="str">
        <f>TEXT(Call_Center[[#This Row],[Date of Call]],"DDDD")</f>
        <v>Wednesday</v>
      </c>
      <c r="J796" t="str" cm="1">
        <f t="array" ref="J796">_xlfn.IFS(Call_Center[[#This Row],[Duration]]&lt;=10,"Under 10 mins",Call_Center[[#This Row],[Duration]]&lt;=30,"10 to 30 min",Call_Center[[#This Row],[Duration]]&lt;=60,"30 to 60 min",Call_Center[[#This Row],[Duration]]&lt;=120,"1 to 2 hours",TRUE,"More than 2 hours")</f>
        <v>1 to 2 hours</v>
      </c>
      <c r="K796">
        <f>ROUND(Call_Center[[#This Row],[Satisfaction Rating]],0)</f>
        <v>5</v>
      </c>
    </row>
    <row r="797" spans="1:11" x14ac:dyDescent="0.35">
      <c r="A797" s="21" t="s">
        <v>1780</v>
      </c>
      <c r="B797" s="18" t="s">
        <v>989</v>
      </c>
      <c r="C797" s="18">
        <v>138</v>
      </c>
      <c r="D797" s="19" t="s">
        <v>982</v>
      </c>
      <c r="E797" s="20">
        <v>45204</v>
      </c>
      <c r="F797" s="18">
        <v>155</v>
      </c>
      <c r="G797" s="22">
        <v>2.7</v>
      </c>
      <c r="H797">
        <f>IF(MONTH(Call_Center[[#This Row],[Date of Call]])&lt;=6,2023,2024)</f>
        <v>2024</v>
      </c>
      <c r="I797" t="str">
        <f>TEXT(Call_Center[[#This Row],[Date of Call]],"DDDD")</f>
        <v>Thursday</v>
      </c>
      <c r="J797" t="str" cm="1">
        <f t="array" ref="J797">_xlfn.IFS(Call_Center[[#This Row],[Duration]]&lt;=10,"Under 10 mins",Call_Center[[#This Row],[Duration]]&lt;=30,"10 to 30 min",Call_Center[[#This Row],[Duration]]&lt;=60,"30 to 60 min",Call_Center[[#This Row],[Duration]]&lt;=120,"1 to 2 hours",TRUE,"More than 2 hours")</f>
        <v>More than 2 hours</v>
      </c>
      <c r="K797">
        <f>ROUND(Call_Center[[#This Row],[Satisfaction Rating]],0)</f>
        <v>3</v>
      </c>
    </row>
    <row r="798" spans="1:11" x14ac:dyDescent="0.35">
      <c r="A798" s="21" t="s">
        <v>1781</v>
      </c>
      <c r="B798" s="18" t="s">
        <v>985</v>
      </c>
      <c r="C798" s="18">
        <v>88</v>
      </c>
      <c r="D798" s="19" t="s">
        <v>972</v>
      </c>
      <c r="E798" s="20">
        <v>45204</v>
      </c>
      <c r="F798" s="18">
        <v>100</v>
      </c>
      <c r="G798" s="22">
        <v>4.9000000000000004</v>
      </c>
      <c r="H798">
        <f>IF(MONTH(Call_Center[[#This Row],[Date of Call]])&lt;=6,2023,2024)</f>
        <v>2024</v>
      </c>
      <c r="I798" t="str">
        <f>TEXT(Call_Center[[#This Row],[Date of Call]],"DDDD")</f>
        <v>Thursday</v>
      </c>
      <c r="J798" t="str" cm="1">
        <f t="array" ref="J798">_xlfn.IFS(Call_Center[[#This Row],[Duration]]&lt;=10,"Under 10 mins",Call_Center[[#This Row],[Duration]]&lt;=30,"10 to 30 min",Call_Center[[#This Row],[Duration]]&lt;=60,"30 to 60 min",Call_Center[[#This Row],[Duration]]&lt;=120,"1 to 2 hours",TRUE,"More than 2 hours")</f>
        <v>1 to 2 hours</v>
      </c>
      <c r="K798">
        <f>ROUND(Call_Center[[#This Row],[Satisfaction Rating]],0)</f>
        <v>5</v>
      </c>
    </row>
    <row r="799" spans="1:11" x14ac:dyDescent="0.35">
      <c r="A799" s="21" t="s">
        <v>1782</v>
      </c>
      <c r="B799" s="18" t="s">
        <v>997</v>
      </c>
      <c r="C799" s="18">
        <v>118</v>
      </c>
      <c r="D799" s="19" t="s">
        <v>977</v>
      </c>
      <c r="E799" s="20">
        <v>45204</v>
      </c>
      <c r="F799" s="18">
        <v>56</v>
      </c>
      <c r="G799" s="22">
        <v>3.7</v>
      </c>
      <c r="H799">
        <f>IF(MONTH(Call_Center[[#This Row],[Date of Call]])&lt;=6,2023,2024)</f>
        <v>2024</v>
      </c>
      <c r="I799" t="str">
        <f>TEXT(Call_Center[[#This Row],[Date of Call]],"DDDD")</f>
        <v>Thursday</v>
      </c>
      <c r="J799" t="str" cm="1">
        <f t="array" ref="J799">_xlfn.IFS(Call_Center[[#This Row],[Duration]]&lt;=10,"Under 10 mins",Call_Center[[#This Row],[Duration]]&lt;=30,"10 to 30 min",Call_Center[[#This Row],[Duration]]&lt;=60,"30 to 60 min",Call_Center[[#This Row],[Duration]]&lt;=120,"1 to 2 hours",TRUE,"More than 2 hours")</f>
        <v>1 to 2 hours</v>
      </c>
      <c r="K799">
        <f>ROUND(Call_Center[[#This Row],[Satisfaction Rating]],0)</f>
        <v>4</v>
      </c>
    </row>
    <row r="800" spans="1:11" x14ac:dyDescent="0.35">
      <c r="A800" s="21" t="s">
        <v>1783</v>
      </c>
      <c r="B800" s="18" t="s">
        <v>976</v>
      </c>
      <c r="C800" s="18">
        <v>4</v>
      </c>
      <c r="D800" s="19" t="s">
        <v>967</v>
      </c>
      <c r="E800" s="20">
        <v>45204</v>
      </c>
      <c r="F800" s="18">
        <v>170</v>
      </c>
      <c r="G800" s="22">
        <v>3.9</v>
      </c>
      <c r="H800">
        <f>IF(MONTH(Call_Center[[#This Row],[Date of Call]])&lt;=6,2023,2024)</f>
        <v>2024</v>
      </c>
      <c r="I800" t="str">
        <f>TEXT(Call_Center[[#This Row],[Date of Call]],"DDDD")</f>
        <v>Thursday</v>
      </c>
      <c r="J800" t="str" cm="1">
        <f t="array" ref="J800">_xlfn.IFS(Call_Center[[#This Row],[Duration]]&lt;=10,"Under 10 mins",Call_Center[[#This Row],[Duration]]&lt;=30,"10 to 30 min",Call_Center[[#This Row],[Duration]]&lt;=60,"30 to 60 min",Call_Center[[#This Row],[Duration]]&lt;=120,"1 to 2 hours",TRUE,"More than 2 hours")</f>
        <v>Under 10 mins</v>
      </c>
      <c r="K800">
        <f>ROUND(Call_Center[[#This Row],[Satisfaction Rating]],0)</f>
        <v>4</v>
      </c>
    </row>
    <row r="801" spans="1:11" x14ac:dyDescent="0.35">
      <c r="A801" s="21" t="s">
        <v>1784</v>
      </c>
      <c r="B801" s="18" t="s">
        <v>1018</v>
      </c>
      <c r="C801" s="18">
        <v>78</v>
      </c>
      <c r="D801" s="19" t="s">
        <v>986</v>
      </c>
      <c r="E801" s="20">
        <v>45205</v>
      </c>
      <c r="F801" s="18">
        <v>74</v>
      </c>
      <c r="G801" s="22">
        <v>3.5</v>
      </c>
      <c r="H801">
        <f>IF(MONTH(Call_Center[[#This Row],[Date of Call]])&lt;=6,2023,2024)</f>
        <v>2024</v>
      </c>
      <c r="I801" t="str">
        <f>TEXT(Call_Center[[#This Row],[Date of Call]],"DDDD")</f>
        <v>Friday</v>
      </c>
      <c r="J801" t="str" cm="1">
        <f t="array" ref="J801">_xlfn.IFS(Call_Center[[#This Row],[Duration]]&lt;=10,"Under 10 mins",Call_Center[[#This Row],[Duration]]&lt;=30,"10 to 30 min",Call_Center[[#This Row],[Duration]]&lt;=60,"30 to 60 min",Call_Center[[#This Row],[Duration]]&lt;=120,"1 to 2 hours",TRUE,"More than 2 hours")</f>
        <v>1 to 2 hours</v>
      </c>
      <c r="K801">
        <f>ROUND(Call_Center[[#This Row],[Satisfaction Rating]],0)</f>
        <v>4</v>
      </c>
    </row>
    <row r="802" spans="1:11" x14ac:dyDescent="0.35">
      <c r="A802" s="21" t="s">
        <v>1785</v>
      </c>
      <c r="B802" s="18" t="s">
        <v>1000</v>
      </c>
      <c r="C802" s="18">
        <v>69</v>
      </c>
      <c r="D802" s="19" t="s">
        <v>967</v>
      </c>
      <c r="E802" s="20">
        <v>45205</v>
      </c>
      <c r="F802" s="18">
        <v>99</v>
      </c>
      <c r="G802" s="22">
        <v>2.7</v>
      </c>
      <c r="H802">
        <f>IF(MONTH(Call_Center[[#This Row],[Date of Call]])&lt;=6,2023,2024)</f>
        <v>2024</v>
      </c>
      <c r="I802" t="str">
        <f>TEXT(Call_Center[[#This Row],[Date of Call]],"DDDD")</f>
        <v>Friday</v>
      </c>
      <c r="J802" t="str" cm="1">
        <f t="array" ref="J802">_xlfn.IFS(Call_Center[[#This Row],[Duration]]&lt;=10,"Under 10 mins",Call_Center[[#This Row],[Duration]]&lt;=30,"10 to 30 min",Call_Center[[#This Row],[Duration]]&lt;=60,"30 to 60 min",Call_Center[[#This Row],[Duration]]&lt;=120,"1 to 2 hours",TRUE,"More than 2 hours")</f>
        <v>1 to 2 hours</v>
      </c>
      <c r="K802">
        <f>ROUND(Call_Center[[#This Row],[Satisfaction Rating]],0)</f>
        <v>3</v>
      </c>
    </row>
    <row r="803" spans="1:11" x14ac:dyDescent="0.35">
      <c r="A803" s="21" t="s">
        <v>1786</v>
      </c>
      <c r="B803" s="18" t="s">
        <v>980</v>
      </c>
      <c r="C803" s="18">
        <v>90</v>
      </c>
      <c r="D803" s="19" t="s">
        <v>982</v>
      </c>
      <c r="E803" s="20">
        <v>45205</v>
      </c>
      <c r="F803" s="18">
        <v>84</v>
      </c>
      <c r="G803" s="22">
        <v>3.9</v>
      </c>
      <c r="H803">
        <f>IF(MONTH(Call_Center[[#This Row],[Date of Call]])&lt;=6,2023,2024)</f>
        <v>2024</v>
      </c>
      <c r="I803" t="str">
        <f>TEXT(Call_Center[[#This Row],[Date of Call]],"DDDD")</f>
        <v>Friday</v>
      </c>
      <c r="J803" t="str" cm="1">
        <f t="array" ref="J803">_xlfn.IFS(Call_Center[[#This Row],[Duration]]&lt;=10,"Under 10 mins",Call_Center[[#This Row],[Duration]]&lt;=30,"10 to 30 min",Call_Center[[#This Row],[Duration]]&lt;=60,"30 to 60 min",Call_Center[[#This Row],[Duration]]&lt;=120,"1 to 2 hours",TRUE,"More than 2 hours")</f>
        <v>1 to 2 hours</v>
      </c>
      <c r="K803">
        <f>ROUND(Call_Center[[#This Row],[Satisfaction Rating]],0)</f>
        <v>4</v>
      </c>
    </row>
    <row r="804" spans="1:11" x14ac:dyDescent="0.35">
      <c r="A804" s="21" t="s">
        <v>1787</v>
      </c>
      <c r="B804" s="18" t="s">
        <v>1000</v>
      </c>
      <c r="C804" s="18">
        <v>134</v>
      </c>
      <c r="D804" s="19" t="s">
        <v>967</v>
      </c>
      <c r="E804" s="20">
        <v>45205</v>
      </c>
      <c r="F804" s="18">
        <v>35</v>
      </c>
      <c r="G804" s="22">
        <v>3.4</v>
      </c>
      <c r="H804">
        <f>IF(MONTH(Call_Center[[#This Row],[Date of Call]])&lt;=6,2023,2024)</f>
        <v>2024</v>
      </c>
      <c r="I804" t="str">
        <f>TEXT(Call_Center[[#This Row],[Date of Call]],"DDDD")</f>
        <v>Friday</v>
      </c>
      <c r="J804" t="str" cm="1">
        <f t="array" ref="J804">_xlfn.IFS(Call_Center[[#This Row],[Duration]]&lt;=10,"Under 10 mins",Call_Center[[#This Row],[Duration]]&lt;=30,"10 to 30 min",Call_Center[[#This Row],[Duration]]&lt;=60,"30 to 60 min",Call_Center[[#This Row],[Duration]]&lt;=120,"1 to 2 hours",TRUE,"More than 2 hours")</f>
        <v>More than 2 hours</v>
      </c>
      <c r="K804">
        <f>ROUND(Call_Center[[#This Row],[Satisfaction Rating]],0)</f>
        <v>3</v>
      </c>
    </row>
    <row r="805" spans="1:11" x14ac:dyDescent="0.35">
      <c r="A805" s="21" t="s">
        <v>1788</v>
      </c>
      <c r="B805" s="18" t="s">
        <v>969</v>
      </c>
      <c r="C805" s="18">
        <v>65</v>
      </c>
      <c r="D805" s="19" t="s">
        <v>977</v>
      </c>
      <c r="E805" s="20">
        <v>45205</v>
      </c>
      <c r="F805" s="18">
        <v>150</v>
      </c>
      <c r="G805" s="22">
        <v>5</v>
      </c>
      <c r="H805">
        <f>IF(MONTH(Call_Center[[#This Row],[Date of Call]])&lt;=6,2023,2024)</f>
        <v>2024</v>
      </c>
      <c r="I805" t="str">
        <f>TEXT(Call_Center[[#This Row],[Date of Call]],"DDDD")</f>
        <v>Friday</v>
      </c>
      <c r="J805" t="str" cm="1">
        <f t="array" ref="J805">_xlfn.IFS(Call_Center[[#This Row],[Duration]]&lt;=10,"Under 10 mins",Call_Center[[#This Row],[Duration]]&lt;=30,"10 to 30 min",Call_Center[[#This Row],[Duration]]&lt;=60,"30 to 60 min",Call_Center[[#This Row],[Duration]]&lt;=120,"1 to 2 hours",TRUE,"More than 2 hours")</f>
        <v>1 to 2 hours</v>
      </c>
      <c r="K805">
        <f>ROUND(Call_Center[[#This Row],[Satisfaction Rating]],0)</f>
        <v>5</v>
      </c>
    </row>
    <row r="806" spans="1:11" x14ac:dyDescent="0.35">
      <c r="A806" s="21" t="s">
        <v>1789</v>
      </c>
      <c r="B806" s="18" t="s">
        <v>971</v>
      </c>
      <c r="C806" s="18">
        <v>54</v>
      </c>
      <c r="D806" s="19" t="s">
        <v>986</v>
      </c>
      <c r="E806" s="20">
        <v>45206</v>
      </c>
      <c r="F806" s="18">
        <v>176</v>
      </c>
      <c r="G806" s="22">
        <v>4.4000000000000004</v>
      </c>
      <c r="H806">
        <f>IF(MONTH(Call_Center[[#This Row],[Date of Call]])&lt;=6,2023,2024)</f>
        <v>2024</v>
      </c>
      <c r="I806" t="str">
        <f>TEXT(Call_Center[[#This Row],[Date of Call]],"DDDD")</f>
        <v>Saturday</v>
      </c>
      <c r="J806" t="str" cm="1">
        <f t="array" ref="J806">_xlfn.IFS(Call_Center[[#This Row],[Duration]]&lt;=10,"Under 10 mins",Call_Center[[#This Row],[Duration]]&lt;=30,"10 to 30 min",Call_Center[[#This Row],[Duration]]&lt;=60,"30 to 60 min",Call_Center[[#This Row],[Duration]]&lt;=120,"1 to 2 hours",TRUE,"More than 2 hours")</f>
        <v>30 to 60 min</v>
      </c>
      <c r="K806">
        <f>ROUND(Call_Center[[#This Row],[Satisfaction Rating]],0)</f>
        <v>4</v>
      </c>
    </row>
    <row r="807" spans="1:11" x14ac:dyDescent="0.35">
      <c r="A807" s="21" t="s">
        <v>1790</v>
      </c>
      <c r="B807" s="18" t="s">
        <v>971</v>
      </c>
      <c r="C807" s="18">
        <v>90</v>
      </c>
      <c r="D807" s="19" t="s">
        <v>986</v>
      </c>
      <c r="E807" s="20">
        <v>45206</v>
      </c>
      <c r="F807" s="18">
        <v>84</v>
      </c>
      <c r="G807" s="22">
        <v>4.3</v>
      </c>
      <c r="H807">
        <f>IF(MONTH(Call_Center[[#This Row],[Date of Call]])&lt;=6,2023,2024)</f>
        <v>2024</v>
      </c>
      <c r="I807" t="str">
        <f>TEXT(Call_Center[[#This Row],[Date of Call]],"DDDD")</f>
        <v>Saturday</v>
      </c>
      <c r="J807" t="str" cm="1">
        <f t="array" ref="J807">_xlfn.IFS(Call_Center[[#This Row],[Duration]]&lt;=10,"Under 10 mins",Call_Center[[#This Row],[Duration]]&lt;=30,"10 to 30 min",Call_Center[[#This Row],[Duration]]&lt;=60,"30 to 60 min",Call_Center[[#This Row],[Duration]]&lt;=120,"1 to 2 hours",TRUE,"More than 2 hours")</f>
        <v>1 to 2 hours</v>
      </c>
      <c r="K807">
        <f>ROUND(Call_Center[[#This Row],[Satisfaction Rating]],0)</f>
        <v>4</v>
      </c>
    </row>
    <row r="808" spans="1:11" x14ac:dyDescent="0.35">
      <c r="A808" s="21" t="s">
        <v>1791</v>
      </c>
      <c r="B808" s="18" t="s">
        <v>980</v>
      </c>
      <c r="C808" s="18">
        <v>66</v>
      </c>
      <c r="D808" s="19" t="s">
        <v>986</v>
      </c>
      <c r="E808" s="20">
        <v>45206</v>
      </c>
      <c r="F808" s="18">
        <v>136</v>
      </c>
      <c r="G808" s="22">
        <v>4.7</v>
      </c>
      <c r="H808">
        <f>IF(MONTH(Call_Center[[#This Row],[Date of Call]])&lt;=6,2023,2024)</f>
        <v>2024</v>
      </c>
      <c r="I808" t="str">
        <f>TEXT(Call_Center[[#This Row],[Date of Call]],"DDDD")</f>
        <v>Saturday</v>
      </c>
      <c r="J808" t="str" cm="1">
        <f t="array" ref="J808">_xlfn.IFS(Call_Center[[#This Row],[Duration]]&lt;=10,"Under 10 mins",Call_Center[[#This Row],[Duration]]&lt;=30,"10 to 30 min",Call_Center[[#This Row],[Duration]]&lt;=60,"30 to 60 min",Call_Center[[#This Row],[Duration]]&lt;=120,"1 to 2 hours",TRUE,"More than 2 hours")</f>
        <v>1 to 2 hours</v>
      </c>
      <c r="K808">
        <f>ROUND(Call_Center[[#This Row],[Satisfaction Rating]],0)</f>
        <v>5</v>
      </c>
    </row>
    <row r="809" spans="1:11" x14ac:dyDescent="0.35">
      <c r="A809" s="21" t="s">
        <v>1792</v>
      </c>
      <c r="B809" s="18" t="s">
        <v>976</v>
      </c>
      <c r="C809" s="18">
        <v>150</v>
      </c>
      <c r="D809" s="19" t="s">
        <v>986</v>
      </c>
      <c r="E809" s="20">
        <v>45207</v>
      </c>
      <c r="F809" s="18">
        <v>70</v>
      </c>
      <c r="G809" s="22">
        <v>4.0999999999999996</v>
      </c>
      <c r="H809">
        <f>IF(MONTH(Call_Center[[#This Row],[Date of Call]])&lt;=6,2023,2024)</f>
        <v>2024</v>
      </c>
      <c r="I809" t="str">
        <f>TEXT(Call_Center[[#This Row],[Date of Call]],"DDDD")</f>
        <v>Sunday</v>
      </c>
      <c r="J809" t="str" cm="1">
        <f t="array" ref="J809">_xlfn.IFS(Call_Center[[#This Row],[Duration]]&lt;=10,"Under 10 mins",Call_Center[[#This Row],[Duration]]&lt;=30,"10 to 30 min",Call_Center[[#This Row],[Duration]]&lt;=60,"30 to 60 min",Call_Center[[#This Row],[Duration]]&lt;=120,"1 to 2 hours",TRUE,"More than 2 hours")</f>
        <v>More than 2 hours</v>
      </c>
      <c r="K809">
        <f>ROUND(Call_Center[[#This Row],[Satisfaction Rating]],0)</f>
        <v>4</v>
      </c>
    </row>
    <row r="810" spans="1:11" x14ac:dyDescent="0.35">
      <c r="A810" s="21" t="s">
        <v>1793</v>
      </c>
      <c r="B810" s="18" t="s">
        <v>991</v>
      </c>
      <c r="C810" s="18">
        <v>18</v>
      </c>
      <c r="D810" s="19" t="s">
        <v>977</v>
      </c>
      <c r="E810" s="20">
        <v>45207</v>
      </c>
      <c r="F810" s="18">
        <v>96</v>
      </c>
      <c r="G810" s="22">
        <v>4.8</v>
      </c>
      <c r="H810">
        <f>IF(MONTH(Call_Center[[#This Row],[Date of Call]])&lt;=6,2023,2024)</f>
        <v>2024</v>
      </c>
      <c r="I810" t="str">
        <f>TEXT(Call_Center[[#This Row],[Date of Call]],"DDDD")</f>
        <v>Sunday</v>
      </c>
      <c r="J810" t="str" cm="1">
        <f t="array" ref="J810">_xlfn.IFS(Call_Center[[#This Row],[Duration]]&lt;=10,"Under 10 mins",Call_Center[[#This Row],[Duration]]&lt;=30,"10 to 30 min",Call_Center[[#This Row],[Duration]]&lt;=60,"30 to 60 min",Call_Center[[#This Row],[Duration]]&lt;=120,"1 to 2 hours",TRUE,"More than 2 hours")</f>
        <v>10 to 30 min</v>
      </c>
      <c r="K810">
        <f>ROUND(Call_Center[[#This Row],[Satisfaction Rating]],0)</f>
        <v>5</v>
      </c>
    </row>
    <row r="811" spans="1:11" x14ac:dyDescent="0.35">
      <c r="A811" s="21" t="s">
        <v>1794</v>
      </c>
      <c r="B811" s="18" t="s">
        <v>971</v>
      </c>
      <c r="C811" s="18">
        <v>87</v>
      </c>
      <c r="D811" s="19" t="s">
        <v>977</v>
      </c>
      <c r="E811" s="20">
        <v>45207</v>
      </c>
      <c r="F811" s="18">
        <v>23</v>
      </c>
      <c r="G811" s="22">
        <v>4.2</v>
      </c>
      <c r="H811">
        <f>IF(MONTH(Call_Center[[#This Row],[Date of Call]])&lt;=6,2023,2024)</f>
        <v>2024</v>
      </c>
      <c r="I811" t="str">
        <f>TEXT(Call_Center[[#This Row],[Date of Call]],"DDDD")</f>
        <v>Sunday</v>
      </c>
      <c r="J811" t="str" cm="1">
        <f t="array" ref="J811">_xlfn.IFS(Call_Center[[#This Row],[Duration]]&lt;=10,"Under 10 mins",Call_Center[[#This Row],[Duration]]&lt;=30,"10 to 30 min",Call_Center[[#This Row],[Duration]]&lt;=60,"30 to 60 min",Call_Center[[#This Row],[Duration]]&lt;=120,"1 to 2 hours",TRUE,"More than 2 hours")</f>
        <v>1 to 2 hours</v>
      </c>
      <c r="K811">
        <f>ROUND(Call_Center[[#This Row],[Satisfaction Rating]],0)</f>
        <v>4</v>
      </c>
    </row>
    <row r="812" spans="1:11" x14ac:dyDescent="0.35">
      <c r="A812" s="21" t="s">
        <v>1795</v>
      </c>
      <c r="B812" s="18" t="s">
        <v>989</v>
      </c>
      <c r="C812" s="18">
        <v>94</v>
      </c>
      <c r="D812" s="19" t="s">
        <v>986</v>
      </c>
      <c r="E812" s="20">
        <v>45208</v>
      </c>
      <c r="F812" s="18">
        <v>120</v>
      </c>
      <c r="G812" s="22">
        <v>3.4</v>
      </c>
      <c r="H812">
        <f>IF(MONTH(Call_Center[[#This Row],[Date of Call]])&lt;=6,2023,2024)</f>
        <v>2024</v>
      </c>
      <c r="I812" t="str">
        <f>TEXT(Call_Center[[#This Row],[Date of Call]],"DDDD")</f>
        <v>Monday</v>
      </c>
      <c r="J812" t="str" cm="1">
        <f t="array" ref="J812">_xlfn.IFS(Call_Center[[#This Row],[Duration]]&lt;=10,"Under 10 mins",Call_Center[[#This Row],[Duration]]&lt;=30,"10 to 30 min",Call_Center[[#This Row],[Duration]]&lt;=60,"30 to 60 min",Call_Center[[#This Row],[Duration]]&lt;=120,"1 to 2 hours",TRUE,"More than 2 hours")</f>
        <v>1 to 2 hours</v>
      </c>
      <c r="K812">
        <f>ROUND(Call_Center[[#This Row],[Satisfaction Rating]],0)</f>
        <v>3</v>
      </c>
    </row>
    <row r="813" spans="1:11" x14ac:dyDescent="0.35">
      <c r="A813" s="21" t="s">
        <v>1796</v>
      </c>
      <c r="B813" s="18" t="s">
        <v>1008</v>
      </c>
      <c r="C813" s="18">
        <v>56</v>
      </c>
      <c r="D813" s="19" t="s">
        <v>986</v>
      </c>
      <c r="E813" s="20">
        <v>45208</v>
      </c>
      <c r="F813" s="18">
        <v>205</v>
      </c>
      <c r="G813" s="22">
        <v>3.3</v>
      </c>
      <c r="H813">
        <f>IF(MONTH(Call_Center[[#This Row],[Date of Call]])&lt;=6,2023,2024)</f>
        <v>2024</v>
      </c>
      <c r="I813" t="str">
        <f>TEXT(Call_Center[[#This Row],[Date of Call]],"DDDD")</f>
        <v>Monday</v>
      </c>
      <c r="J813" t="str" cm="1">
        <f t="array" ref="J813">_xlfn.IFS(Call_Center[[#This Row],[Duration]]&lt;=10,"Under 10 mins",Call_Center[[#This Row],[Duration]]&lt;=30,"10 to 30 min",Call_Center[[#This Row],[Duration]]&lt;=60,"30 to 60 min",Call_Center[[#This Row],[Duration]]&lt;=120,"1 to 2 hours",TRUE,"More than 2 hours")</f>
        <v>30 to 60 min</v>
      </c>
      <c r="K813">
        <f>ROUND(Call_Center[[#This Row],[Satisfaction Rating]],0)</f>
        <v>3</v>
      </c>
    </row>
    <row r="814" spans="1:11" x14ac:dyDescent="0.35">
      <c r="A814" s="21" t="s">
        <v>1797</v>
      </c>
      <c r="B814" s="18" t="s">
        <v>997</v>
      </c>
      <c r="C814" s="18">
        <v>41</v>
      </c>
      <c r="D814" s="19" t="s">
        <v>972</v>
      </c>
      <c r="E814" s="20">
        <v>45209</v>
      </c>
      <c r="F814" s="18">
        <v>42</v>
      </c>
      <c r="G814" s="22">
        <v>3.8</v>
      </c>
      <c r="H814">
        <f>IF(MONTH(Call_Center[[#This Row],[Date of Call]])&lt;=6,2023,2024)</f>
        <v>2024</v>
      </c>
      <c r="I814" t="str">
        <f>TEXT(Call_Center[[#This Row],[Date of Call]],"DDDD")</f>
        <v>Tuesday</v>
      </c>
      <c r="J814" t="str" cm="1">
        <f t="array" ref="J814">_xlfn.IFS(Call_Center[[#This Row],[Duration]]&lt;=10,"Under 10 mins",Call_Center[[#This Row],[Duration]]&lt;=30,"10 to 30 min",Call_Center[[#This Row],[Duration]]&lt;=60,"30 to 60 min",Call_Center[[#This Row],[Duration]]&lt;=120,"1 to 2 hours",TRUE,"More than 2 hours")</f>
        <v>30 to 60 min</v>
      </c>
      <c r="K814">
        <f>ROUND(Call_Center[[#This Row],[Satisfaction Rating]],0)</f>
        <v>4</v>
      </c>
    </row>
    <row r="815" spans="1:11" x14ac:dyDescent="0.35">
      <c r="A815" s="21" t="s">
        <v>1798</v>
      </c>
      <c r="B815" s="18" t="s">
        <v>976</v>
      </c>
      <c r="C815" s="18">
        <v>119</v>
      </c>
      <c r="D815" s="19" t="s">
        <v>982</v>
      </c>
      <c r="E815" s="20">
        <v>45209</v>
      </c>
      <c r="F815" s="18">
        <v>111</v>
      </c>
      <c r="G815" s="22">
        <v>3.9</v>
      </c>
      <c r="H815">
        <f>IF(MONTH(Call_Center[[#This Row],[Date of Call]])&lt;=6,2023,2024)</f>
        <v>2024</v>
      </c>
      <c r="I815" t="str">
        <f>TEXT(Call_Center[[#This Row],[Date of Call]],"DDDD")</f>
        <v>Tuesday</v>
      </c>
      <c r="J815" t="str" cm="1">
        <f t="array" ref="J815">_xlfn.IFS(Call_Center[[#This Row],[Duration]]&lt;=10,"Under 10 mins",Call_Center[[#This Row],[Duration]]&lt;=30,"10 to 30 min",Call_Center[[#This Row],[Duration]]&lt;=60,"30 to 60 min",Call_Center[[#This Row],[Duration]]&lt;=120,"1 to 2 hours",TRUE,"More than 2 hours")</f>
        <v>1 to 2 hours</v>
      </c>
      <c r="K815">
        <f>ROUND(Call_Center[[#This Row],[Satisfaction Rating]],0)</f>
        <v>4</v>
      </c>
    </row>
    <row r="816" spans="1:11" x14ac:dyDescent="0.35">
      <c r="A816" s="21" t="s">
        <v>1799</v>
      </c>
      <c r="B816" s="18" t="s">
        <v>974</v>
      </c>
      <c r="C816" s="18">
        <v>108</v>
      </c>
      <c r="D816" s="19" t="s">
        <v>986</v>
      </c>
      <c r="E816" s="20">
        <v>45209</v>
      </c>
      <c r="F816" s="18">
        <v>68</v>
      </c>
      <c r="G816" s="22">
        <v>2.5</v>
      </c>
      <c r="H816">
        <f>IF(MONTH(Call_Center[[#This Row],[Date of Call]])&lt;=6,2023,2024)</f>
        <v>2024</v>
      </c>
      <c r="I816" t="str">
        <f>TEXT(Call_Center[[#This Row],[Date of Call]],"DDDD")</f>
        <v>Tuesday</v>
      </c>
      <c r="J816" t="str" cm="1">
        <f t="array" ref="J816">_xlfn.IFS(Call_Center[[#This Row],[Duration]]&lt;=10,"Under 10 mins",Call_Center[[#This Row],[Duration]]&lt;=30,"10 to 30 min",Call_Center[[#This Row],[Duration]]&lt;=60,"30 to 60 min",Call_Center[[#This Row],[Duration]]&lt;=120,"1 to 2 hours",TRUE,"More than 2 hours")</f>
        <v>1 to 2 hours</v>
      </c>
      <c r="K816">
        <f>ROUND(Call_Center[[#This Row],[Satisfaction Rating]],0)</f>
        <v>3</v>
      </c>
    </row>
    <row r="817" spans="1:11" x14ac:dyDescent="0.35">
      <c r="A817" s="21" t="s">
        <v>1800</v>
      </c>
      <c r="B817" s="18" t="s">
        <v>1018</v>
      </c>
      <c r="C817" s="18">
        <v>63</v>
      </c>
      <c r="D817" s="19" t="s">
        <v>967</v>
      </c>
      <c r="E817" s="20">
        <v>45209</v>
      </c>
      <c r="F817" s="18">
        <v>172</v>
      </c>
      <c r="G817" s="22">
        <v>4.9000000000000004</v>
      </c>
      <c r="H817">
        <f>IF(MONTH(Call_Center[[#This Row],[Date of Call]])&lt;=6,2023,2024)</f>
        <v>2024</v>
      </c>
      <c r="I817" t="str">
        <f>TEXT(Call_Center[[#This Row],[Date of Call]],"DDDD")</f>
        <v>Tuesday</v>
      </c>
      <c r="J817" t="str" cm="1">
        <f t="array" ref="J817">_xlfn.IFS(Call_Center[[#This Row],[Duration]]&lt;=10,"Under 10 mins",Call_Center[[#This Row],[Duration]]&lt;=30,"10 to 30 min",Call_Center[[#This Row],[Duration]]&lt;=60,"30 to 60 min",Call_Center[[#This Row],[Duration]]&lt;=120,"1 to 2 hours",TRUE,"More than 2 hours")</f>
        <v>1 to 2 hours</v>
      </c>
      <c r="K817">
        <f>ROUND(Call_Center[[#This Row],[Satisfaction Rating]],0)</f>
        <v>5</v>
      </c>
    </row>
    <row r="818" spans="1:11" x14ac:dyDescent="0.35">
      <c r="A818" s="21" t="s">
        <v>1801</v>
      </c>
      <c r="B818" s="18" t="s">
        <v>1005</v>
      </c>
      <c r="C818" s="18">
        <v>59</v>
      </c>
      <c r="D818" s="19" t="s">
        <v>986</v>
      </c>
      <c r="E818" s="20">
        <v>45209</v>
      </c>
      <c r="F818" s="18">
        <v>152</v>
      </c>
      <c r="G818" s="22">
        <v>4.8</v>
      </c>
      <c r="H818">
        <f>IF(MONTH(Call_Center[[#This Row],[Date of Call]])&lt;=6,2023,2024)</f>
        <v>2024</v>
      </c>
      <c r="I818" t="str">
        <f>TEXT(Call_Center[[#This Row],[Date of Call]],"DDDD")</f>
        <v>Tuesday</v>
      </c>
      <c r="J818" t="str" cm="1">
        <f t="array" ref="J818">_xlfn.IFS(Call_Center[[#This Row],[Duration]]&lt;=10,"Under 10 mins",Call_Center[[#This Row],[Duration]]&lt;=30,"10 to 30 min",Call_Center[[#This Row],[Duration]]&lt;=60,"30 to 60 min",Call_Center[[#This Row],[Duration]]&lt;=120,"1 to 2 hours",TRUE,"More than 2 hours")</f>
        <v>30 to 60 min</v>
      </c>
      <c r="K818">
        <f>ROUND(Call_Center[[#This Row],[Satisfaction Rating]],0)</f>
        <v>5</v>
      </c>
    </row>
    <row r="819" spans="1:11" x14ac:dyDescent="0.35">
      <c r="A819" s="21" t="s">
        <v>1802</v>
      </c>
      <c r="B819" s="18" t="s">
        <v>1005</v>
      </c>
      <c r="C819" s="18">
        <v>90</v>
      </c>
      <c r="D819" s="19" t="s">
        <v>972</v>
      </c>
      <c r="E819" s="20">
        <v>45209</v>
      </c>
      <c r="F819" s="18">
        <v>48</v>
      </c>
      <c r="G819" s="22">
        <v>4.7</v>
      </c>
      <c r="H819">
        <f>IF(MONTH(Call_Center[[#This Row],[Date of Call]])&lt;=6,2023,2024)</f>
        <v>2024</v>
      </c>
      <c r="I819" t="str">
        <f>TEXT(Call_Center[[#This Row],[Date of Call]],"DDDD")</f>
        <v>Tuesday</v>
      </c>
      <c r="J819" t="str" cm="1">
        <f t="array" ref="J819">_xlfn.IFS(Call_Center[[#This Row],[Duration]]&lt;=10,"Under 10 mins",Call_Center[[#This Row],[Duration]]&lt;=30,"10 to 30 min",Call_Center[[#This Row],[Duration]]&lt;=60,"30 to 60 min",Call_Center[[#This Row],[Duration]]&lt;=120,"1 to 2 hours",TRUE,"More than 2 hours")</f>
        <v>1 to 2 hours</v>
      </c>
      <c r="K819">
        <f>ROUND(Call_Center[[#This Row],[Satisfaction Rating]],0)</f>
        <v>5</v>
      </c>
    </row>
    <row r="820" spans="1:11" x14ac:dyDescent="0.35">
      <c r="A820" s="21" t="s">
        <v>1803</v>
      </c>
      <c r="B820" s="18" t="s">
        <v>985</v>
      </c>
      <c r="C820" s="18">
        <v>55</v>
      </c>
      <c r="D820" s="19" t="s">
        <v>972</v>
      </c>
      <c r="E820" s="20">
        <v>45209</v>
      </c>
      <c r="F820" s="18">
        <v>25</v>
      </c>
      <c r="G820" s="22">
        <v>4.7</v>
      </c>
      <c r="H820">
        <f>IF(MONTH(Call_Center[[#This Row],[Date of Call]])&lt;=6,2023,2024)</f>
        <v>2024</v>
      </c>
      <c r="I820" t="str">
        <f>TEXT(Call_Center[[#This Row],[Date of Call]],"DDDD")</f>
        <v>Tuesday</v>
      </c>
      <c r="J820" t="str" cm="1">
        <f t="array" ref="J820">_xlfn.IFS(Call_Center[[#This Row],[Duration]]&lt;=10,"Under 10 mins",Call_Center[[#This Row],[Duration]]&lt;=30,"10 to 30 min",Call_Center[[#This Row],[Duration]]&lt;=60,"30 to 60 min",Call_Center[[#This Row],[Duration]]&lt;=120,"1 to 2 hours",TRUE,"More than 2 hours")</f>
        <v>30 to 60 min</v>
      </c>
      <c r="K820">
        <f>ROUND(Call_Center[[#This Row],[Satisfaction Rating]],0)</f>
        <v>5</v>
      </c>
    </row>
    <row r="821" spans="1:11" x14ac:dyDescent="0.35">
      <c r="A821" s="21" t="s">
        <v>1804</v>
      </c>
      <c r="B821" s="18" t="s">
        <v>974</v>
      </c>
      <c r="C821" s="18">
        <v>84</v>
      </c>
      <c r="D821" s="19" t="s">
        <v>982</v>
      </c>
      <c r="E821" s="20">
        <v>45210</v>
      </c>
      <c r="F821" s="18">
        <v>54</v>
      </c>
      <c r="G821" s="22">
        <v>3.3</v>
      </c>
      <c r="H821">
        <f>IF(MONTH(Call_Center[[#This Row],[Date of Call]])&lt;=6,2023,2024)</f>
        <v>2024</v>
      </c>
      <c r="I821" t="str">
        <f>TEXT(Call_Center[[#This Row],[Date of Call]],"DDDD")</f>
        <v>Wednesday</v>
      </c>
      <c r="J821" t="str" cm="1">
        <f t="array" ref="J821">_xlfn.IFS(Call_Center[[#This Row],[Duration]]&lt;=10,"Under 10 mins",Call_Center[[#This Row],[Duration]]&lt;=30,"10 to 30 min",Call_Center[[#This Row],[Duration]]&lt;=60,"30 to 60 min",Call_Center[[#This Row],[Duration]]&lt;=120,"1 to 2 hours",TRUE,"More than 2 hours")</f>
        <v>1 to 2 hours</v>
      </c>
      <c r="K821">
        <f>ROUND(Call_Center[[#This Row],[Satisfaction Rating]],0)</f>
        <v>3</v>
      </c>
    </row>
    <row r="822" spans="1:11" x14ac:dyDescent="0.35">
      <c r="A822" s="21" t="s">
        <v>1805</v>
      </c>
      <c r="B822" s="18" t="s">
        <v>974</v>
      </c>
      <c r="C822" s="18">
        <v>150</v>
      </c>
      <c r="D822" s="19" t="s">
        <v>977</v>
      </c>
      <c r="E822" s="20">
        <v>45210</v>
      </c>
      <c r="F822" s="18">
        <v>108</v>
      </c>
      <c r="G822" s="22">
        <v>4.7</v>
      </c>
      <c r="H822">
        <f>IF(MONTH(Call_Center[[#This Row],[Date of Call]])&lt;=6,2023,2024)</f>
        <v>2024</v>
      </c>
      <c r="I822" t="str">
        <f>TEXT(Call_Center[[#This Row],[Date of Call]],"DDDD")</f>
        <v>Wednesday</v>
      </c>
      <c r="J822" t="str" cm="1">
        <f t="array" ref="J822">_xlfn.IFS(Call_Center[[#This Row],[Duration]]&lt;=10,"Under 10 mins",Call_Center[[#This Row],[Duration]]&lt;=30,"10 to 30 min",Call_Center[[#This Row],[Duration]]&lt;=60,"30 to 60 min",Call_Center[[#This Row],[Duration]]&lt;=120,"1 to 2 hours",TRUE,"More than 2 hours")</f>
        <v>More than 2 hours</v>
      </c>
      <c r="K822">
        <f>ROUND(Call_Center[[#This Row],[Satisfaction Rating]],0)</f>
        <v>5</v>
      </c>
    </row>
    <row r="823" spans="1:11" x14ac:dyDescent="0.35">
      <c r="A823" s="21" t="s">
        <v>1806</v>
      </c>
      <c r="B823" s="18" t="s">
        <v>1038</v>
      </c>
      <c r="C823" s="18">
        <v>69</v>
      </c>
      <c r="D823" s="19" t="s">
        <v>986</v>
      </c>
      <c r="E823" s="20">
        <v>45210</v>
      </c>
      <c r="F823" s="18">
        <v>36</v>
      </c>
      <c r="G823" s="22">
        <v>4.5</v>
      </c>
      <c r="H823">
        <f>IF(MONTH(Call_Center[[#This Row],[Date of Call]])&lt;=6,2023,2024)</f>
        <v>2024</v>
      </c>
      <c r="I823" t="str">
        <f>TEXT(Call_Center[[#This Row],[Date of Call]],"DDDD")</f>
        <v>Wednesday</v>
      </c>
      <c r="J823" t="str" cm="1">
        <f t="array" ref="J823">_xlfn.IFS(Call_Center[[#This Row],[Duration]]&lt;=10,"Under 10 mins",Call_Center[[#This Row],[Duration]]&lt;=30,"10 to 30 min",Call_Center[[#This Row],[Duration]]&lt;=60,"30 to 60 min",Call_Center[[#This Row],[Duration]]&lt;=120,"1 to 2 hours",TRUE,"More than 2 hours")</f>
        <v>1 to 2 hours</v>
      </c>
      <c r="K823">
        <f>ROUND(Call_Center[[#This Row],[Satisfaction Rating]],0)</f>
        <v>5</v>
      </c>
    </row>
    <row r="824" spans="1:11" x14ac:dyDescent="0.35">
      <c r="A824" s="21" t="s">
        <v>1807</v>
      </c>
      <c r="B824" s="18" t="s">
        <v>966</v>
      </c>
      <c r="C824" s="18">
        <v>120</v>
      </c>
      <c r="D824" s="19" t="s">
        <v>972</v>
      </c>
      <c r="E824" s="20">
        <v>45211</v>
      </c>
      <c r="F824" s="18">
        <v>140</v>
      </c>
      <c r="G824" s="22">
        <v>4.5999999999999996</v>
      </c>
      <c r="H824">
        <f>IF(MONTH(Call_Center[[#This Row],[Date of Call]])&lt;=6,2023,2024)</f>
        <v>2024</v>
      </c>
      <c r="I824" t="str">
        <f>TEXT(Call_Center[[#This Row],[Date of Call]],"DDDD")</f>
        <v>Thursday</v>
      </c>
      <c r="J824" t="str" cm="1">
        <f t="array" ref="J824">_xlfn.IFS(Call_Center[[#This Row],[Duration]]&lt;=10,"Under 10 mins",Call_Center[[#This Row],[Duration]]&lt;=30,"10 to 30 min",Call_Center[[#This Row],[Duration]]&lt;=60,"30 to 60 min",Call_Center[[#This Row],[Duration]]&lt;=120,"1 to 2 hours",TRUE,"More than 2 hours")</f>
        <v>1 to 2 hours</v>
      </c>
      <c r="K824">
        <f>ROUND(Call_Center[[#This Row],[Satisfaction Rating]],0)</f>
        <v>5</v>
      </c>
    </row>
    <row r="825" spans="1:11" x14ac:dyDescent="0.35">
      <c r="A825" s="21" t="s">
        <v>1808</v>
      </c>
      <c r="B825" s="18" t="s">
        <v>971</v>
      </c>
      <c r="C825" s="18">
        <v>126</v>
      </c>
      <c r="D825" s="19" t="s">
        <v>982</v>
      </c>
      <c r="E825" s="20">
        <v>45211</v>
      </c>
      <c r="F825" s="18">
        <v>50</v>
      </c>
      <c r="G825" s="22">
        <v>4.8</v>
      </c>
      <c r="H825">
        <f>IF(MONTH(Call_Center[[#This Row],[Date of Call]])&lt;=6,2023,2024)</f>
        <v>2024</v>
      </c>
      <c r="I825" t="str">
        <f>TEXT(Call_Center[[#This Row],[Date of Call]],"DDDD")</f>
        <v>Thursday</v>
      </c>
      <c r="J825" t="str" cm="1">
        <f t="array" ref="J825">_xlfn.IFS(Call_Center[[#This Row],[Duration]]&lt;=10,"Under 10 mins",Call_Center[[#This Row],[Duration]]&lt;=30,"10 to 30 min",Call_Center[[#This Row],[Duration]]&lt;=60,"30 to 60 min",Call_Center[[#This Row],[Duration]]&lt;=120,"1 to 2 hours",TRUE,"More than 2 hours")</f>
        <v>More than 2 hours</v>
      </c>
      <c r="K825">
        <f>ROUND(Call_Center[[#This Row],[Satisfaction Rating]],0)</f>
        <v>5</v>
      </c>
    </row>
    <row r="826" spans="1:11" x14ac:dyDescent="0.35">
      <c r="A826" s="21" t="s">
        <v>1809</v>
      </c>
      <c r="B826" s="18" t="s">
        <v>1038</v>
      </c>
      <c r="C826" s="18">
        <v>120</v>
      </c>
      <c r="D826" s="19" t="s">
        <v>967</v>
      </c>
      <c r="E826" s="20">
        <v>45211</v>
      </c>
      <c r="F826" s="18">
        <v>195</v>
      </c>
      <c r="G826" s="22">
        <v>4.3</v>
      </c>
      <c r="H826">
        <f>IF(MONTH(Call_Center[[#This Row],[Date of Call]])&lt;=6,2023,2024)</f>
        <v>2024</v>
      </c>
      <c r="I826" t="str">
        <f>TEXT(Call_Center[[#This Row],[Date of Call]],"DDDD")</f>
        <v>Thursday</v>
      </c>
      <c r="J826" t="str" cm="1">
        <f t="array" ref="J826">_xlfn.IFS(Call_Center[[#This Row],[Duration]]&lt;=10,"Under 10 mins",Call_Center[[#This Row],[Duration]]&lt;=30,"10 to 30 min",Call_Center[[#This Row],[Duration]]&lt;=60,"30 to 60 min",Call_Center[[#This Row],[Duration]]&lt;=120,"1 to 2 hours",TRUE,"More than 2 hours")</f>
        <v>1 to 2 hours</v>
      </c>
      <c r="K826">
        <f>ROUND(Call_Center[[#This Row],[Satisfaction Rating]],0)</f>
        <v>4</v>
      </c>
    </row>
    <row r="827" spans="1:11" x14ac:dyDescent="0.35">
      <c r="A827" s="21" t="s">
        <v>1810</v>
      </c>
      <c r="B827" s="18" t="s">
        <v>971</v>
      </c>
      <c r="C827" s="18">
        <v>139</v>
      </c>
      <c r="D827" s="19" t="s">
        <v>972</v>
      </c>
      <c r="E827" s="20">
        <v>45212</v>
      </c>
      <c r="F827" s="18">
        <v>48</v>
      </c>
      <c r="G827" s="22">
        <v>4.7</v>
      </c>
      <c r="H827">
        <f>IF(MONTH(Call_Center[[#This Row],[Date of Call]])&lt;=6,2023,2024)</f>
        <v>2024</v>
      </c>
      <c r="I827" t="str">
        <f>TEXT(Call_Center[[#This Row],[Date of Call]],"DDDD")</f>
        <v>Friday</v>
      </c>
      <c r="J827" t="str" cm="1">
        <f t="array" ref="J827">_xlfn.IFS(Call_Center[[#This Row],[Duration]]&lt;=10,"Under 10 mins",Call_Center[[#This Row],[Duration]]&lt;=30,"10 to 30 min",Call_Center[[#This Row],[Duration]]&lt;=60,"30 to 60 min",Call_Center[[#This Row],[Duration]]&lt;=120,"1 to 2 hours",TRUE,"More than 2 hours")</f>
        <v>More than 2 hours</v>
      </c>
      <c r="K827">
        <f>ROUND(Call_Center[[#This Row],[Satisfaction Rating]],0)</f>
        <v>5</v>
      </c>
    </row>
    <row r="828" spans="1:11" x14ac:dyDescent="0.35">
      <c r="A828" s="21" t="s">
        <v>1811</v>
      </c>
      <c r="B828" s="18" t="s">
        <v>985</v>
      </c>
      <c r="C828" s="18">
        <v>124</v>
      </c>
      <c r="D828" s="19" t="s">
        <v>986</v>
      </c>
      <c r="E828" s="20">
        <v>45213</v>
      </c>
      <c r="F828" s="18">
        <v>29</v>
      </c>
      <c r="G828" s="22">
        <v>4.8</v>
      </c>
      <c r="H828">
        <f>IF(MONTH(Call_Center[[#This Row],[Date of Call]])&lt;=6,2023,2024)</f>
        <v>2024</v>
      </c>
      <c r="I828" t="str">
        <f>TEXT(Call_Center[[#This Row],[Date of Call]],"DDDD")</f>
        <v>Saturday</v>
      </c>
      <c r="J828" t="str" cm="1">
        <f t="array" ref="J828">_xlfn.IFS(Call_Center[[#This Row],[Duration]]&lt;=10,"Under 10 mins",Call_Center[[#This Row],[Duration]]&lt;=30,"10 to 30 min",Call_Center[[#This Row],[Duration]]&lt;=60,"30 to 60 min",Call_Center[[#This Row],[Duration]]&lt;=120,"1 to 2 hours",TRUE,"More than 2 hours")</f>
        <v>More than 2 hours</v>
      </c>
      <c r="K828">
        <f>ROUND(Call_Center[[#This Row],[Satisfaction Rating]],0)</f>
        <v>5</v>
      </c>
    </row>
    <row r="829" spans="1:11" x14ac:dyDescent="0.35">
      <c r="A829" s="21" t="s">
        <v>1812</v>
      </c>
      <c r="B829" s="18" t="s">
        <v>966</v>
      </c>
      <c r="C829" s="18">
        <v>108</v>
      </c>
      <c r="D829" s="19" t="s">
        <v>967</v>
      </c>
      <c r="E829" s="20">
        <v>45213</v>
      </c>
      <c r="F829" s="18">
        <v>44</v>
      </c>
      <c r="G829" s="22">
        <v>4.7</v>
      </c>
      <c r="H829">
        <f>IF(MONTH(Call_Center[[#This Row],[Date of Call]])&lt;=6,2023,2024)</f>
        <v>2024</v>
      </c>
      <c r="I829" t="str">
        <f>TEXT(Call_Center[[#This Row],[Date of Call]],"DDDD")</f>
        <v>Saturday</v>
      </c>
      <c r="J829" t="str" cm="1">
        <f t="array" ref="J829">_xlfn.IFS(Call_Center[[#This Row],[Duration]]&lt;=10,"Under 10 mins",Call_Center[[#This Row],[Duration]]&lt;=30,"10 to 30 min",Call_Center[[#This Row],[Duration]]&lt;=60,"30 to 60 min",Call_Center[[#This Row],[Duration]]&lt;=120,"1 to 2 hours",TRUE,"More than 2 hours")</f>
        <v>1 to 2 hours</v>
      </c>
      <c r="K829">
        <f>ROUND(Call_Center[[#This Row],[Satisfaction Rating]],0)</f>
        <v>5</v>
      </c>
    </row>
    <row r="830" spans="1:11" x14ac:dyDescent="0.35">
      <c r="A830" s="21" t="s">
        <v>1813</v>
      </c>
      <c r="B830" s="18" t="s">
        <v>969</v>
      </c>
      <c r="C830" s="18">
        <v>132</v>
      </c>
      <c r="D830" s="19" t="s">
        <v>977</v>
      </c>
      <c r="E830" s="20">
        <v>45213</v>
      </c>
      <c r="F830" s="18">
        <v>140</v>
      </c>
      <c r="G830" s="22">
        <v>4.3</v>
      </c>
      <c r="H830">
        <f>IF(MONTH(Call_Center[[#This Row],[Date of Call]])&lt;=6,2023,2024)</f>
        <v>2024</v>
      </c>
      <c r="I830" t="str">
        <f>TEXT(Call_Center[[#This Row],[Date of Call]],"DDDD")</f>
        <v>Saturday</v>
      </c>
      <c r="J830" t="str" cm="1">
        <f t="array" ref="J830">_xlfn.IFS(Call_Center[[#This Row],[Duration]]&lt;=10,"Under 10 mins",Call_Center[[#This Row],[Duration]]&lt;=30,"10 to 30 min",Call_Center[[#This Row],[Duration]]&lt;=60,"30 to 60 min",Call_Center[[#This Row],[Duration]]&lt;=120,"1 to 2 hours",TRUE,"More than 2 hours")</f>
        <v>More than 2 hours</v>
      </c>
      <c r="K830">
        <f>ROUND(Call_Center[[#This Row],[Satisfaction Rating]],0)</f>
        <v>4</v>
      </c>
    </row>
    <row r="831" spans="1:11" x14ac:dyDescent="0.35">
      <c r="A831" s="21" t="s">
        <v>1814</v>
      </c>
      <c r="B831" s="18" t="s">
        <v>1018</v>
      </c>
      <c r="C831" s="18">
        <v>67</v>
      </c>
      <c r="D831" s="19" t="s">
        <v>977</v>
      </c>
      <c r="E831" s="20">
        <v>45213</v>
      </c>
      <c r="F831" s="18">
        <v>105</v>
      </c>
      <c r="G831" s="22">
        <v>3.8</v>
      </c>
      <c r="H831">
        <f>IF(MONTH(Call_Center[[#This Row],[Date of Call]])&lt;=6,2023,2024)</f>
        <v>2024</v>
      </c>
      <c r="I831" t="str">
        <f>TEXT(Call_Center[[#This Row],[Date of Call]],"DDDD")</f>
        <v>Saturday</v>
      </c>
      <c r="J831" t="str" cm="1">
        <f t="array" ref="J831">_xlfn.IFS(Call_Center[[#This Row],[Duration]]&lt;=10,"Under 10 mins",Call_Center[[#This Row],[Duration]]&lt;=30,"10 to 30 min",Call_Center[[#This Row],[Duration]]&lt;=60,"30 to 60 min",Call_Center[[#This Row],[Duration]]&lt;=120,"1 to 2 hours",TRUE,"More than 2 hours")</f>
        <v>1 to 2 hours</v>
      </c>
      <c r="K831">
        <f>ROUND(Call_Center[[#This Row],[Satisfaction Rating]],0)</f>
        <v>4</v>
      </c>
    </row>
    <row r="832" spans="1:11" x14ac:dyDescent="0.35">
      <c r="A832" s="21" t="s">
        <v>1815</v>
      </c>
      <c r="B832" s="18" t="s">
        <v>980</v>
      </c>
      <c r="C832" s="18">
        <v>125</v>
      </c>
      <c r="D832" s="19" t="s">
        <v>977</v>
      </c>
      <c r="E832" s="20">
        <v>45213</v>
      </c>
      <c r="F832" s="18">
        <v>82</v>
      </c>
      <c r="G832" s="22">
        <v>4.5999999999999996</v>
      </c>
      <c r="H832">
        <f>IF(MONTH(Call_Center[[#This Row],[Date of Call]])&lt;=6,2023,2024)</f>
        <v>2024</v>
      </c>
      <c r="I832" t="str">
        <f>TEXT(Call_Center[[#This Row],[Date of Call]],"DDDD")</f>
        <v>Saturday</v>
      </c>
      <c r="J832" t="str" cm="1">
        <f t="array" ref="J832">_xlfn.IFS(Call_Center[[#This Row],[Duration]]&lt;=10,"Under 10 mins",Call_Center[[#This Row],[Duration]]&lt;=30,"10 to 30 min",Call_Center[[#This Row],[Duration]]&lt;=60,"30 to 60 min",Call_Center[[#This Row],[Duration]]&lt;=120,"1 to 2 hours",TRUE,"More than 2 hours")</f>
        <v>More than 2 hours</v>
      </c>
      <c r="K832">
        <f>ROUND(Call_Center[[#This Row],[Satisfaction Rating]],0)</f>
        <v>5</v>
      </c>
    </row>
    <row r="833" spans="1:11" x14ac:dyDescent="0.35">
      <c r="A833" s="21" t="s">
        <v>1816</v>
      </c>
      <c r="B833" s="18" t="s">
        <v>966</v>
      </c>
      <c r="C833" s="18">
        <v>23</v>
      </c>
      <c r="D833" s="19" t="s">
        <v>967</v>
      </c>
      <c r="E833" s="20">
        <v>45213</v>
      </c>
      <c r="F833" s="18">
        <v>24</v>
      </c>
      <c r="G833" s="22">
        <v>2.9</v>
      </c>
      <c r="H833">
        <f>IF(MONTH(Call_Center[[#This Row],[Date of Call]])&lt;=6,2023,2024)</f>
        <v>2024</v>
      </c>
      <c r="I833" t="str">
        <f>TEXT(Call_Center[[#This Row],[Date of Call]],"DDDD")</f>
        <v>Saturday</v>
      </c>
      <c r="J833" t="str" cm="1">
        <f t="array" ref="J833">_xlfn.IFS(Call_Center[[#This Row],[Duration]]&lt;=10,"Under 10 mins",Call_Center[[#This Row],[Duration]]&lt;=30,"10 to 30 min",Call_Center[[#This Row],[Duration]]&lt;=60,"30 to 60 min",Call_Center[[#This Row],[Duration]]&lt;=120,"1 to 2 hours",TRUE,"More than 2 hours")</f>
        <v>10 to 30 min</v>
      </c>
      <c r="K833">
        <f>ROUND(Call_Center[[#This Row],[Satisfaction Rating]],0)</f>
        <v>3</v>
      </c>
    </row>
    <row r="834" spans="1:11" x14ac:dyDescent="0.35">
      <c r="A834" s="21" t="s">
        <v>1817</v>
      </c>
      <c r="B834" s="18" t="s">
        <v>976</v>
      </c>
      <c r="C834" s="18">
        <v>131</v>
      </c>
      <c r="D834" s="19" t="s">
        <v>986</v>
      </c>
      <c r="E834" s="20">
        <v>45214</v>
      </c>
      <c r="F834" s="18">
        <v>205</v>
      </c>
      <c r="G834" s="22">
        <v>4.8</v>
      </c>
      <c r="H834">
        <f>IF(MONTH(Call_Center[[#This Row],[Date of Call]])&lt;=6,2023,2024)</f>
        <v>2024</v>
      </c>
      <c r="I834" t="str">
        <f>TEXT(Call_Center[[#This Row],[Date of Call]],"DDDD")</f>
        <v>Sunday</v>
      </c>
      <c r="J834" t="str" cm="1">
        <f t="array" ref="J834">_xlfn.IFS(Call_Center[[#This Row],[Duration]]&lt;=10,"Under 10 mins",Call_Center[[#This Row],[Duration]]&lt;=30,"10 to 30 min",Call_Center[[#This Row],[Duration]]&lt;=60,"30 to 60 min",Call_Center[[#This Row],[Duration]]&lt;=120,"1 to 2 hours",TRUE,"More than 2 hours")</f>
        <v>More than 2 hours</v>
      </c>
      <c r="K834">
        <f>ROUND(Call_Center[[#This Row],[Satisfaction Rating]],0)</f>
        <v>5</v>
      </c>
    </row>
    <row r="835" spans="1:11" x14ac:dyDescent="0.35">
      <c r="A835" s="21" t="s">
        <v>1818</v>
      </c>
      <c r="B835" s="18" t="s">
        <v>969</v>
      </c>
      <c r="C835" s="18">
        <v>56</v>
      </c>
      <c r="D835" s="19" t="s">
        <v>972</v>
      </c>
      <c r="E835" s="20">
        <v>45214</v>
      </c>
      <c r="F835" s="18">
        <v>225</v>
      </c>
      <c r="G835" s="22">
        <v>4.9000000000000004</v>
      </c>
      <c r="H835">
        <f>IF(MONTH(Call_Center[[#This Row],[Date of Call]])&lt;=6,2023,2024)</f>
        <v>2024</v>
      </c>
      <c r="I835" t="str">
        <f>TEXT(Call_Center[[#This Row],[Date of Call]],"DDDD")</f>
        <v>Sunday</v>
      </c>
      <c r="J835" t="str" cm="1">
        <f t="array" ref="J835">_xlfn.IFS(Call_Center[[#This Row],[Duration]]&lt;=10,"Under 10 mins",Call_Center[[#This Row],[Duration]]&lt;=30,"10 to 30 min",Call_Center[[#This Row],[Duration]]&lt;=60,"30 to 60 min",Call_Center[[#This Row],[Duration]]&lt;=120,"1 to 2 hours",TRUE,"More than 2 hours")</f>
        <v>30 to 60 min</v>
      </c>
      <c r="K835">
        <f>ROUND(Call_Center[[#This Row],[Satisfaction Rating]],0)</f>
        <v>5</v>
      </c>
    </row>
    <row r="836" spans="1:11" x14ac:dyDescent="0.35">
      <c r="A836" s="21" t="s">
        <v>1819</v>
      </c>
      <c r="B836" s="18" t="s">
        <v>976</v>
      </c>
      <c r="C836" s="18">
        <v>70</v>
      </c>
      <c r="D836" s="19" t="s">
        <v>986</v>
      </c>
      <c r="E836" s="20">
        <v>45214</v>
      </c>
      <c r="F836" s="18">
        <v>50</v>
      </c>
      <c r="G836" s="22">
        <v>3.4</v>
      </c>
      <c r="H836">
        <f>IF(MONTH(Call_Center[[#This Row],[Date of Call]])&lt;=6,2023,2024)</f>
        <v>2024</v>
      </c>
      <c r="I836" t="str">
        <f>TEXT(Call_Center[[#This Row],[Date of Call]],"DDDD")</f>
        <v>Sunday</v>
      </c>
      <c r="J836" t="str" cm="1">
        <f t="array" ref="J836">_xlfn.IFS(Call_Center[[#This Row],[Duration]]&lt;=10,"Under 10 mins",Call_Center[[#This Row],[Duration]]&lt;=30,"10 to 30 min",Call_Center[[#This Row],[Duration]]&lt;=60,"30 to 60 min",Call_Center[[#This Row],[Duration]]&lt;=120,"1 to 2 hours",TRUE,"More than 2 hours")</f>
        <v>1 to 2 hours</v>
      </c>
      <c r="K836">
        <f>ROUND(Call_Center[[#This Row],[Satisfaction Rating]],0)</f>
        <v>3</v>
      </c>
    </row>
    <row r="837" spans="1:11" x14ac:dyDescent="0.35">
      <c r="A837" s="21" t="s">
        <v>1820</v>
      </c>
      <c r="B837" s="18" t="s">
        <v>976</v>
      </c>
      <c r="C837" s="18">
        <v>55</v>
      </c>
      <c r="D837" s="19" t="s">
        <v>977</v>
      </c>
      <c r="E837" s="20">
        <v>45214</v>
      </c>
      <c r="F837" s="18">
        <v>80</v>
      </c>
      <c r="G837" s="22">
        <v>4.3</v>
      </c>
      <c r="H837">
        <f>IF(MONTH(Call_Center[[#This Row],[Date of Call]])&lt;=6,2023,2024)</f>
        <v>2024</v>
      </c>
      <c r="I837" t="str">
        <f>TEXT(Call_Center[[#This Row],[Date of Call]],"DDDD")</f>
        <v>Sunday</v>
      </c>
      <c r="J837" t="str" cm="1">
        <f t="array" ref="J837">_xlfn.IFS(Call_Center[[#This Row],[Duration]]&lt;=10,"Under 10 mins",Call_Center[[#This Row],[Duration]]&lt;=30,"10 to 30 min",Call_Center[[#This Row],[Duration]]&lt;=60,"30 to 60 min",Call_Center[[#This Row],[Duration]]&lt;=120,"1 to 2 hours",TRUE,"More than 2 hours")</f>
        <v>30 to 60 min</v>
      </c>
      <c r="K837">
        <f>ROUND(Call_Center[[#This Row],[Satisfaction Rating]],0)</f>
        <v>4</v>
      </c>
    </row>
    <row r="838" spans="1:11" x14ac:dyDescent="0.35">
      <c r="A838" s="21" t="s">
        <v>1821</v>
      </c>
      <c r="B838" s="18" t="s">
        <v>980</v>
      </c>
      <c r="C838" s="18">
        <v>77</v>
      </c>
      <c r="D838" s="19" t="s">
        <v>972</v>
      </c>
      <c r="E838" s="20">
        <v>45214</v>
      </c>
      <c r="F838" s="18">
        <v>78</v>
      </c>
      <c r="G838" s="22">
        <v>3.9</v>
      </c>
      <c r="H838">
        <f>IF(MONTH(Call_Center[[#This Row],[Date of Call]])&lt;=6,2023,2024)</f>
        <v>2024</v>
      </c>
      <c r="I838" t="str">
        <f>TEXT(Call_Center[[#This Row],[Date of Call]],"DDDD")</f>
        <v>Sunday</v>
      </c>
      <c r="J838" t="str" cm="1">
        <f t="array" ref="J838">_xlfn.IFS(Call_Center[[#This Row],[Duration]]&lt;=10,"Under 10 mins",Call_Center[[#This Row],[Duration]]&lt;=30,"10 to 30 min",Call_Center[[#This Row],[Duration]]&lt;=60,"30 to 60 min",Call_Center[[#This Row],[Duration]]&lt;=120,"1 to 2 hours",TRUE,"More than 2 hours")</f>
        <v>1 to 2 hours</v>
      </c>
      <c r="K838">
        <f>ROUND(Call_Center[[#This Row],[Satisfaction Rating]],0)</f>
        <v>4</v>
      </c>
    </row>
    <row r="839" spans="1:11" x14ac:dyDescent="0.35">
      <c r="A839" s="21" t="s">
        <v>1822</v>
      </c>
      <c r="B839" s="18" t="s">
        <v>974</v>
      </c>
      <c r="C839" s="18">
        <v>133</v>
      </c>
      <c r="D839" s="19" t="s">
        <v>986</v>
      </c>
      <c r="E839" s="20">
        <v>45215</v>
      </c>
      <c r="F839" s="18">
        <v>40</v>
      </c>
      <c r="G839" s="22">
        <v>3.9</v>
      </c>
      <c r="H839">
        <f>IF(MONTH(Call_Center[[#This Row],[Date of Call]])&lt;=6,2023,2024)</f>
        <v>2024</v>
      </c>
      <c r="I839" t="str">
        <f>TEXT(Call_Center[[#This Row],[Date of Call]],"DDDD")</f>
        <v>Monday</v>
      </c>
      <c r="J839" t="str" cm="1">
        <f t="array" ref="J839">_xlfn.IFS(Call_Center[[#This Row],[Duration]]&lt;=10,"Under 10 mins",Call_Center[[#This Row],[Duration]]&lt;=30,"10 to 30 min",Call_Center[[#This Row],[Duration]]&lt;=60,"30 to 60 min",Call_Center[[#This Row],[Duration]]&lt;=120,"1 to 2 hours",TRUE,"More than 2 hours")</f>
        <v>More than 2 hours</v>
      </c>
      <c r="K839">
        <f>ROUND(Call_Center[[#This Row],[Satisfaction Rating]],0)</f>
        <v>4</v>
      </c>
    </row>
    <row r="840" spans="1:11" x14ac:dyDescent="0.35">
      <c r="A840" s="21" t="s">
        <v>1823</v>
      </c>
      <c r="B840" s="18" t="s">
        <v>980</v>
      </c>
      <c r="C840" s="18">
        <v>77</v>
      </c>
      <c r="D840" s="19" t="s">
        <v>972</v>
      </c>
      <c r="E840" s="20">
        <v>45215</v>
      </c>
      <c r="F840" s="18">
        <v>176</v>
      </c>
      <c r="G840" s="22">
        <v>1.5</v>
      </c>
      <c r="H840">
        <f>IF(MONTH(Call_Center[[#This Row],[Date of Call]])&lt;=6,2023,2024)</f>
        <v>2024</v>
      </c>
      <c r="I840" t="str">
        <f>TEXT(Call_Center[[#This Row],[Date of Call]],"DDDD")</f>
        <v>Monday</v>
      </c>
      <c r="J840" t="str" cm="1">
        <f t="array" ref="J840">_xlfn.IFS(Call_Center[[#This Row],[Duration]]&lt;=10,"Under 10 mins",Call_Center[[#This Row],[Duration]]&lt;=30,"10 to 30 min",Call_Center[[#This Row],[Duration]]&lt;=60,"30 to 60 min",Call_Center[[#This Row],[Duration]]&lt;=120,"1 to 2 hours",TRUE,"More than 2 hours")</f>
        <v>1 to 2 hours</v>
      </c>
      <c r="K840">
        <f>ROUND(Call_Center[[#This Row],[Satisfaction Rating]],0)</f>
        <v>2</v>
      </c>
    </row>
    <row r="841" spans="1:11" x14ac:dyDescent="0.35">
      <c r="A841" s="21" t="s">
        <v>1824</v>
      </c>
      <c r="B841" s="18" t="s">
        <v>1005</v>
      </c>
      <c r="C841" s="18">
        <v>103</v>
      </c>
      <c r="D841" s="19" t="s">
        <v>986</v>
      </c>
      <c r="E841" s="20">
        <v>45215</v>
      </c>
      <c r="F841" s="18">
        <v>78</v>
      </c>
      <c r="G841" s="22">
        <v>3</v>
      </c>
      <c r="H841">
        <f>IF(MONTH(Call_Center[[#This Row],[Date of Call]])&lt;=6,2023,2024)</f>
        <v>2024</v>
      </c>
      <c r="I841" t="str">
        <f>TEXT(Call_Center[[#This Row],[Date of Call]],"DDDD")</f>
        <v>Monday</v>
      </c>
      <c r="J841" t="str" cm="1">
        <f t="array" ref="J841">_xlfn.IFS(Call_Center[[#This Row],[Duration]]&lt;=10,"Under 10 mins",Call_Center[[#This Row],[Duration]]&lt;=30,"10 to 30 min",Call_Center[[#This Row],[Duration]]&lt;=60,"30 to 60 min",Call_Center[[#This Row],[Duration]]&lt;=120,"1 to 2 hours",TRUE,"More than 2 hours")</f>
        <v>1 to 2 hours</v>
      </c>
      <c r="K841">
        <f>ROUND(Call_Center[[#This Row],[Satisfaction Rating]],0)</f>
        <v>3</v>
      </c>
    </row>
    <row r="842" spans="1:11" x14ac:dyDescent="0.35">
      <c r="A842" s="21" t="s">
        <v>1825</v>
      </c>
      <c r="B842" s="18" t="s">
        <v>1038</v>
      </c>
      <c r="C842" s="18">
        <v>32</v>
      </c>
      <c r="D842" s="19" t="s">
        <v>972</v>
      </c>
      <c r="E842" s="20">
        <v>45215</v>
      </c>
      <c r="F842" s="18">
        <v>42</v>
      </c>
      <c r="G842" s="22">
        <v>4.2</v>
      </c>
      <c r="H842">
        <f>IF(MONTH(Call_Center[[#This Row],[Date of Call]])&lt;=6,2023,2024)</f>
        <v>2024</v>
      </c>
      <c r="I842" t="str">
        <f>TEXT(Call_Center[[#This Row],[Date of Call]],"DDDD")</f>
        <v>Monday</v>
      </c>
      <c r="J842" t="str" cm="1">
        <f t="array" ref="J842">_xlfn.IFS(Call_Center[[#This Row],[Duration]]&lt;=10,"Under 10 mins",Call_Center[[#This Row],[Duration]]&lt;=30,"10 to 30 min",Call_Center[[#This Row],[Duration]]&lt;=60,"30 to 60 min",Call_Center[[#This Row],[Duration]]&lt;=120,"1 to 2 hours",TRUE,"More than 2 hours")</f>
        <v>30 to 60 min</v>
      </c>
      <c r="K842">
        <f>ROUND(Call_Center[[#This Row],[Satisfaction Rating]],0)</f>
        <v>4</v>
      </c>
    </row>
    <row r="843" spans="1:11" x14ac:dyDescent="0.35">
      <c r="A843" s="21" t="s">
        <v>1826</v>
      </c>
      <c r="B843" s="18" t="s">
        <v>974</v>
      </c>
      <c r="C843" s="18">
        <v>30</v>
      </c>
      <c r="D843" s="19" t="s">
        <v>986</v>
      </c>
      <c r="E843" s="20">
        <v>45215</v>
      </c>
      <c r="F843" s="18">
        <v>38</v>
      </c>
      <c r="G843" s="22">
        <v>3.7</v>
      </c>
      <c r="H843">
        <f>IF(MONTH(Call_Center[[#This Row],[Date of Call]])&lt;=6,2023,2024)</f>
        <v>2024</v>
      </c>
      <c r="I843" t="str">
        <f>TEXT(Call_Center[[#This Row],[Date of Call]],"DDDD")</f>
        <v>Monday</v>
      </c>
      <c r="J843" t="str" cm="1">
        <f t="array" ref="J843">_xlfn.IFS(Call_Center[[#This Row],[Duration]]&lt;=10,"Under 10 mins",Call_Center[[#This Row],[Duration]]&lt;=30,"10 to 30 min",Call_Center[[#This Row],[Duration]]&lt;=60,"30 to 60 min",Call_Center[[#This Row],[Duration]]&lt;=120,"1 to 2 hours",TRUE,"More than 2 hours")</f>
        <v>10 to 30 min</v>
      </c>
      <c r="K843">
        <f>ROUND(Call_Center[[#This Row],[Satisfaction Rating]],0)</f>
        <v>4</v>
      </c>
    </row>
    <row r="844" spans="1:11" x14ac:dyDescent="0.35">
      <c r="A844" s="21" t="s">
        <v>1827</v>
      </c>
      <c r="B844" s="18" t="s">
        <v>971</v>
      </c>
      <c r="C844" s="18">
        <v>87</v>
      </c>
      <c r="D844" s="19" t="s">
        <v>982</v>
      </c>
      <c r="E844" s="20">
        <v>45215</v>
      </c>
      <c r="F844" s="18">
        <v>27</v>
      </c>
      <c r="G844" s="22">
        <v>4.2</v>
      </c>
      <c r="H844">
        <f>IF(MONTH(Call_Center[[#This Row],[Date of Call]])&lt;=6,2023,2024)</f>
        <v>2024</v>
      </c>
      <c r="I844" t="str">
        <f>TEXT(Call_Center[[#This Row],[Date of Call]],"DDDD")</f>
        <v>Monday</v>
      </c>
      <c r="J844" t="str" cm="1">
        <f t="array" ref="J844">_xlfn.IFS(Call_Center[[#This Row],[Duration]]&lt;=10,"Under 10 mins",Call_Center[[#This Row],[Duration]]&lt;=30,"10 to 30 min",Call_Center[[#This Row],[Duration]]&lt;=60,"30 to 60 min",Call_Center[[#This Row],[Duration]]&lt;=120,"1 to 2 hours",TRUE,"More than 2 hours")</f>
        <v>1 to 2 hours</v>
      </c>
      <c r="K844">
        <f>ROUND(Call_Center[[#This Row],[Satisfaction Rating]],0)</f>
        <v>4</v>
      </c>
    </row>
    <row r="845" spans="1:11" x14ac:dyDescent="0.35">
      <c r="A845" s="21" t="s">
        <v>1828</v>
      </c>
      <c r="B845" s="18" t="s">
        <v>980</v>
      </c>
      <c r="C845" s="18">
        <v>137</v>
      </c>
      <c r="D845" s="19" t="s">
        <v>967</v>
      </c>
      <c r="E845" s="20">
        <v>45216</v>
      </c>
      <c r="F845" s="18">
        <v>45</v>
      </c>
      <c r="G845" s="22">
        <v>4.4000000000000004</v>
      </c>
      <c r="H845">
        <f>IF(MONTH(Call_Center[[#This Row],[Date of Call]])&lt;=6,2023,2024)</f>
        <v>2024</v>
      </c>
      <c r="I845" t="str">
        <f>TEXT(Call_Center[[#This Row],[Date of Call]],"DDDD")</f>
        <v>Tuesday</v>
      </c>
      <c r="J845" t="str" cm="1">
        <f t="array" ref="J845">_xlfn.IFS(Call_Center[[#This Row],[Duration]]&lt;=10,"Under 10 mins",Call_Center[[#This Row],[Duration]]&lt;=30,"10 to 30 min",Call_Center[[#This Row],[Duration]]&lt;=60,"30 to 60 min",Call_Center[[#This Row],[Duration]]&lt;=120,"1 to 2 hours",TRUE,"More than 2 hours")</f>
        <v>More than 2 hours</v>
      </c>
      <c r="K845">
        <f>ROUND(Call_Center[[#This Row],[Satisfaction Rating]],0)</f>
        <v>4</v>
      </c>
    </row>
    <row r="846" spans="1:11" x14ac:dyDescent="0.35">
      <c r="A846" s="21" t="s">
        <v>1829</v>
      </c>
      <c r="B846" s="18" t="s">
        <v>989</v>
      </c>
      <c r="C846" s="18">
        <v>96</v>
      </c>
      <c r="D846" s="19" t="s">
        <v>986</v>
      </c>
      <c r="E846" s="20">
        <v>45216</v>
      </c>
      <c r="F846" s="18">
        <v>215</v>
      </c>
      <c r="G846" s="22">
        <v>4</v>
      </c>
      <c r="H846">
        <f>IF(MONTH(Call_Center[[#This Row],[Date of Call]])&lt;=6,2023,2024)</f>
        <v>2024</v>
      </c>
      <c r="I846" t="str">
        <f>TEXT(Call_Center[[#This Row],[Date of Call]],"DDDD")</f>
        <v>Tuesday</v>
      </c>
      <c r="J846" t="str" cm="1">
        <f t="array" ref="J846">_xlfn.IFS(Call_Center[[#This Row],[Duration]]&lt;=10,"Under 10 mins",Call_Center[[#This Row],[Duration]]&lt;=30,"10 to 30 min",Call_Center[[#This Row],[Duration]]&lt;=60,"30 to 60 min",Call_Center[[#This Row],[Duration]]&lt;=120,"1 to 2 hours",TRUE,"More than 2 hours")</f>
        <v>1 to 2 hours</v>
      </c>
      <c r="K846">
        <f>ROUND(Call_Center[[#This Row],[Satisfaction Rating]],0)</f>
        <v>4</v>
      </c>
    </row>
    <row r="847" spans="1:11" x14ac:dyDescent="0.35">
      <c r="A847" s="21" t="s">
        <v>1830</v>
      </c>
      <c r="B847" s="18" t="s">
        <v>985</v>
      </c>
      <c r="C847" s="18">
        <v>155</v>
      </c>
      <c r="D847" s="19" t="s">
        <v>986</v>
      </c>
      <c r="E847" s="20">
        <v>45217</v>
      </c>
      <c r="F847" s="18">
        <v>72</v>
      </c>
      <c r="G847" s="22">
        <v>4.7</v>
      </c>
      <c r="H847">
        <f>IF(MONTH(Call_Center[[#This Row],[Date of Call]])&lt;=6,2023,2024)</f>
        <v>2024</v>
      </c>
      <c r="I847" t="str">
        <f>TEXT(Call_Center[[#This Row],[Date of Call]],"DDDD")</f>
        <v>Wednesday</v>
      </c>
      <c r="J847" t="str" cm="1">
        <f t="array" ref="J847">_xlfn.IFS(Call_Center[[#This Row],[Duration]]&lt;=10,"Under 10 mins",Call_Center[[#This Row],[Duration]]&lt;=30,"10 to 30 min",Call_Center[[#This Row],[Duration]]&lt;=60,"30 to 60 min",Call_Center[[#This Row],[Duration]]&lt;=120,"1 to 2 hours",TRUE,"More than 2 hours")</f>
        <v>More than 2 hours</v>
      </c>
      <c r="K847">
        <f>ROUND(Call_Center[[#This Row],[Satisfaction Rating]],0)</f>
        <v>5</v>
      </c>
    </row>
    <row r="848" spans="1:11" x14ac:dyDescent="0.35">
      <c r="A848" s="21" t="s">
        <v>1831</v>
      </c>
      <c r="B848" s="18" t="s">
        <v>974</v>
      </c>
      <c r="C848" s="18">
        <v>173</v>
      </c>
      <c r="D848" s="19" t="s">
        <v>977</v>
      </c>
      <c r="E848" s="20">
        <v>45217</v>
      </c>
      <c r="F848" s="18">
        <v>160</v>
      </c>
      <c r="G848" s="22">
        <v>2.8</v>
      </c>
      <c r="H848">
        <f>IF(MONTH(Call_Center[[#This Row],[Date of Call]])&lt;=6,2023,2024)</f>
        <v>2024</v>
      </c>
      <c r="I848" t="str">
        <f>TEXT(Call_Center[[#This Row],[Date of Call]],"DDDD")</f>
        <v>Wednesday</v>
      </c>
      <c r="J848" t="str" cm="1">
        <f t="array" ref="J848">_xlfn.IFS(Call_Center[[#This Row],[Duration]]&lt;=10,"Under 10 mins",Call_Center[[#This Row],[Duration]]&lt;=30,"10 to 30 min",Call_Center[[#This Row],[Duration]]&lt;=60,"30 to 60 min",Call_Center[[#This Row],[Duration]]&lt;=120,"1 to 2 hours",TRUE,"More than 2 hours")</f>
        <v>More than 2 hours</v>
      </c>
      <c r="K848">
        <f>ROUND(Call_Center[[#This Row],[Satisfaction Rating]],0)</f>
        <v>3</v>
      </c>
    </row>
    <row r="849" spans="1:11" x14ac:dyDescent="0.35">
      <c r="A849" s="21" t="s">
        <v>1832</v>
      </c>
      <c r="B849" s="18" t="s">
        <v>985</v>
      </c>
      <c r="C849" s="18">
        <v>127</v>
      </c>
      <c r="D849" s="19" t="s">
        <v>986</v>
      </c>
      <c r="E849" s="20">
        <v>45217</v>
      </c>
      <c r="F849" s="18">
        <v>165</v>
      </c>
      <c r="G849" s="22">
        <v>2.5</v>
      </c>
      <c r="H849">
        <f>IF(MONTH(Call_Center[[#This Row],[Date of Call]])&lt;=6,2023,2024)</f>
        <v>2024</v>
      </c>
      <c r="I849" t="str">
        <f>TEXT(Call_Center[[#This Row],[Date of Call]],"DDDD")</f>
        <v>Wednesday</v>
      </c>
      <c r="J849" t="str" cm="1">
        <f t="array" ref="J849">_xlfn.IFS(Call_Center[[#This Row],[Duration]]&lt;=10,"Under 10 mins",Call_Center[[#This Row],[Duration]]&lt;=30,"10 to 30 min",Call_Center[[#This Row],[Duration]]&lt;=60,"30 to 60 min",Call_Center[[#This Row],[Duration]]&lt;=120,"1 to 2 hours",TRUE,"More than 2 hours")</f>
        <v>More than 2 hours</v>
      </c>
      <c r="K849">
        <f>ROUND(Call_Center[[#This Row],[Satisfaction Rating]],0)</f>
        <v>3</v>
      </c>
    </row>
    <row r="850" spans="1:11" x14ac:dyDescent="0.35">
      <c r="A850" s="21" t="s">
        <v>1833</v>
      </c>
      <c r="B850" s="18" t="s">
        <v>969</v>
      </c>
      <c r="C850" s="18">
        <v>117</v>
      </c>
      <c r="D850" s="19" t="s">
        <v>977</v>
      </c>
      <c r="E850" s="20">
        <v>45217</v>
      </c>
      <c r="F850" s="18">
        <v>120</v>
      </c>
      <c r="G850" s="22">
        <v>3.4</v>
      </c>
      <c r="H850">
        <f>IF(MONTH(Call_Center[[#This Row],[Date of Call]])&lt;=6,2023,2024)</f>
        <v>2024</v>
      </c>
      <c r="I850" t="str">
        <f>TEXT(Call_Center[[#This Row],[Date of Call]],"DDDD")</f>
        <v>Wednesday</v>
      </c>
      <c r="J850" t="str" cm="1">
        <f t="array" ref="J850">_xlfn.IFS(Call_Center[[#This Row],[Duration]]&lt;=10,"Under 10 mins",Call_Center[[#This Row],[Duration]]&lt;=30,"10 to 30 min",Call_Center[[#This Row],[Duration]]&lt;=60,"30 to 60 min",Call_Center[[#This Row],[Duration]]&lt;=120,"1 to 2 hours",TRUE,"More than 2 hours")</f>
        <v>1 to 2 hours</v>
      </c>
      <c r="K850">
        <f>ROUND(Call_Center[[#This Row],[Satisfaction Rating]],0)</f>
        <v>3</v>
      </c>
    </row>
    <row r="851" spans="1:11" x14ac:dyDescent="0.35">
      <c r="A851" s="21" t="s">
        <v>1834</v>
      </c>
      <c r="B851" s="18" t="s">
        <v>966</v>
      </c>
      <c r="C851" s="18">
        <v>133</v>
      </c>
      <c r="D851" s="19" t="s">
        <v>972</v>
      </c>
      <c r="E851" s="20">
        <v>45217</v>
      </c>
      <c r="F851" s="18">
        <v>117</v>
      </c>
      <c r="G851" s="22">
        <v>4.8</v>
      </c>
      <c r="H851">
        <f>IF(MONTH(Call_Center[[#This Row],[Date of Call]])&lt;=6,2023,2024)</f>
        <v>2024</v>
      </c>
      <c r="I851" t="str">
        <f>TEXT(Call_Center[[#This Row],[Date of Call]],"DDDD")</f>
        <v>Wednesday</v>
      </c>
      <c r="J851" t="str" cm="1">
        <f t="array" ref="J851">_xlfn.IFS(Call_Center[[#This Row],[Duration]]&lt;=10,"Under 10 mins",Call_Center[[#This Row],[Duration]]&lt;=30,"10 to 30 min",Call_Center[[#This Row],[Duration]]&lt;=60,"30 to 60 min",Call_Center[[#This Row],[Duration]]&lt;=120,"1 to 2 hours",TRUE,"More than 2 hours")</f>
        <v>More than 2 hours</v>
      </c>
      <c r="K851">
        <f>ROUND(Call_Center[[#This Row],[Satisfaction Rating]],0)</f>
        <v>5</v>
      </c>
    </row>
    <row r="852" spans="1:11" x14ac:dyDescent="0.35">
      <c r="A852" s="21" t="s">
        <v>1835</v>
      </c>
      <c r="B852" s="18" t="s">
        <v>991</v>
      </c>
      <c r="C852" s="18">
        <v>166</v>
      </c>
      <c r="D852" s="19" t="s">
        <v>982</v>
      </c>
      <c r="E852" s="20">
        <v>45218</v>
      </c>
      <c r="F852" s="18">
        <v>29</v>
      </c>
      <c r="G852" s="22">
        <v>4.3</v>
      </c>
      <c r="H852">
        <f>IF(MONTH(Call_Center[[#This Row],[Date of Call]])&lt;=6,2023,2024)</f>
        <v>2024</v>
      </c>
      <c r="I852" t="str">
        <f>TEXT(Call_Center[[#This Row],[Date of Call]],"DDDD")</f>
        <v>Thursday</v>
      </c>
      <c r="J852" t="str" cm="1">
        <f t="array" ref="J852">_xlfn.IFS(Call_Center[[#This Row],[Duration]]&lt;=10,"Under 10 mins",Call_Center[[#This Row],[Duration]]&lt;=30,"10 to 30 min",Call_Center[[#This Row],[Duration]]&lt;=60,"30 to 60 min",Call_Center[[#This Row],[Duration]]&lt;=120,"1 to 2 hours",TRUE,"More than 2 hours")</f>
        <v>More than 2 hours</v>
      </c>
      <c r="K852">
        <f>ROUND(Call_Center[[#This Row],[Satisfaction Rating]],0)</f>
        <v>4</v>
      </c>
    </row>
    <row r="853" spans="1:11" x14ac:dyDescent="0.35">
      <c r="A853" s="21" t="s">
        <v>1836</v>
      </c>
      <c r="B853" s="18" t="s">
        <v>966</v>
      </c>
      <c r="C853" s="18">
        <v>50</v>
      </c>
      <c r="D853" s="19" t="s">
        <v>977</v>
      </c>
      <c r="E853" s="20">
        <v>45218</v>
      </c>
      <c r="F853" s="18">
        <v>64</v>
      </c>
      <c r="G853" s="22">
        <v>4.5</v>
      </c>
      <c r="H853">
        <f>IF(MONTH(Call_Center[[#This Row],[Date of Call]])&lt;=6,2023,2024)</f>
        <v>2024</v>
      </c>
      <c r="I853" t="str">
        <f>TEXT(Call_Center[[#This Row],[Date of Call]],"DDDD")</f>
        <v>Thursday</v>
      </c>
      <c r="J853" t="str" cm="1">
        <f t="array" ref="J853">_xlfn.IFS(Call_Center[[#This Row],[Duration]]&lt;=10,"Under 10 mins",Call_Center[[#This Row],[Duration]]&lt;=30,"10 to 30 min",Call_Center[[#This Row],[Duration]]&lt;=60,"30 to 60 min",Call_Center[[#This Row],[Duration]]&lt;=120,"1 to 2 hours",TRUE,"More than 2 hours")</f>
        <v>30 to 60 min</v>
      </c>
      <c r="K853">
        <f>ROUND(Call_Center[[#This Row],[Satisfaction Rating]],0)</f>
        <v>5</v>
      </c>
    </row>
    <row r="854" spans="1:11" x14ac:dyDescent="0.35">
      <c r="A854" s="21" t="s">
        <v>1837</v>
      </c>
      <c r="B854" s="18" t="s">
        <v>1005</v>
      </c>
      <c r="C854" s="18">
        <v>43</v>
      </c>
      <c r="D854" s="19" t="s">
        <v>972</v>
      </c>
      <c r="E854" s="20">
        <v>45218</v>
      </c>
      <c r="F854" s="18">
        <v>84</v>
      </c>
      <c r="G854" s="22">
        <v>3.6</v>
      </c>
      <c r="H854">
        <f>IF(MONTH(Call_Center[[#This Row],[Date of Call]])&lt;=6,2023,2024)</f>
        <v>2024</v>
      </c>
      <c r="I854" t="str">
        <f>TEXT(Call_Center[[#This Row],[Date of Call]],"DDDD")</f>
        <v>Thursday</v>
      </c>
      <c r="J854" t="str" cm="1">
        <f t="array" ref="J854">_xlfn.IFS(Call_Center[[#This Row],[Duration]]&lt;=10,"Under 10 mins",Call_Center[[#This Row],[Duration]]&lt;=30,"10 to 30 min",Call_Center[[#This Row],[Duration]]&lt;=60,"30 to 60 min",Call_Center[[#This Row],[Duration]]&lt;=120,"1 to 2 hours",TRUE,"More than 2 hours")</f>
        <v>30 to 60 min</v>
      </c>
      <c r="K854">
        <f>ROUND(Call_Center[[#This Row],[Satisfaction Rating]],0)</f>
        <v>4</v>
      </c>
    </row>
    <row r="855" spans="1:11" x14ac:dyDescent="0.35">
      <c r="A855" s="21" t="s">
        <v>1838</v>
      </c>
      <c r="B855" s="18" t="s">
        <v>989</v>
      </c>
      <c r="C855" s="18">
        <v>124</v>
      </c>
      <c r="D855" s="19" t="s">
        <v>986</v>
      </c>
      <c r="E855" s="20">
        <v>45218</v>
      </c>
      <c r="F855" s="18">
        <v>42</v>
      </c>
      <c r="G855" s="22">
        <v>3.7</v>
      </c>
      <c r="H855">
        <f>IF(MONTH(Call_Center[[#This Row],[Date of Call]])&lt;=6,2023,2024)</f>
        <v>2024</v>
      </c>
      <c r="I855" t="str">
        <f>TEXT(Call_Center[[#This Row],[Date of Call]],"DDDD")</f>
        <v>Thursday</v>
      </c>
      <c r="J855" t="str" cm="1">
        <f t="array" ref="J855">_xlfn.IFS(Call_Center[[#This Row],[Duration]]&lt;=10,"Under 10 mins",Call_Center[[#This Row],[Duration]]&lt;=30,"10 to 30 min",Call_Center[[#This Row],[Duration]]&lt;=60,"30 to 60 min",Call_Center[[#This Row],[Duration]]&lt;=120,"1 to 2 hours",TRUE,"More than 2 hours")</f>
        <v>More than 2 hours</v>
      </c>
      <c r="K855">
        <f>ROUND(Call_Center[[#This Row],[Satisfaction Rating]],0)</f>
        <v>4</v>
      </c>
    </row>
    <row r="856" spans="1:11" x14ac:dyDescent="0.35">
      <c r="A856" s="21" t="s">
        <v>1839</v>
      </c>
      <c r="B856" s="18" t="s">
        <v>974</v>
      </c>
      <c r="C856" s="18">
        <v>94</v>
      </c>
      <c r="D856" s="19" t="s">
        <v>986</v>
      </c>
      <c r="E856" s="20">
        <v>45218</v>
      </c>
      <c r="F856" s="18">
        <v>120</v>
      </c>
      <c r="G856" s="22">
        <v>3.5</v>
      </c>
      <c r="H856">
        <f>IF(MONTH(Call_Center[[#This Row],[Date of Call]])&lt;=6,2023,2024)</f>
        <v>2024</v>
      </c>
      <c r="I856" t="str">
        <f>TEXT(Call_Center[[#This Row],[Date of Call]],"DDDD")</f>
        <v>Thursday</v>
      </c>
      <c r="J856" t="str" cm="1">
        <f t="array" ref="J856">_xlfn.IFS(Call_Center[[#This Row],[Duration]]&lt;=10,"Under 10 mins",Call_Center[[#This Row],[Duration]]&lt;=30,"10 to 30 min",Call_Center[[#This Row],[Duration]]&lt;=60,"30 to 60 min",Call_Center[[#This Row],[Duration]]&lt;=120,"1 to 2 hours",TRUE,"More than 2 hours")</f>
        <v>1 to 2 hours</v>
      </c>
      <c r="K856">
        <f>ROUND(Call_Center[[#This Row],[Satisfaction Rating]],0)</f>
        <v>4</v>
      </c>
    </row>
    <row r="857" spans="1:11" x14ac:dyDescent="0.35">
      <c r="A857" s="21" t="s">
        <v>1840</v>
      </c>
      <c r="B857" s="18" t="s">
        <v>1005</v>
      </c>
      <c r="C857" s="18">
        <v>126</v>
      </c>
      <c r="D857" s="19" t="s">
        <v>982</v>
      </c>
      <c r="E857" s="20">
        <v>45219</v>
      </c>
      <c r="F857" s="18">
        <v>80</v>
      </c>
      <c r="G857" s="22">
        <v>4.7</v>
      </c>
      <c r="H857">
        <f>IF(MONTH(Call_Center[[#This Row],[Date of Call]])&lt;=6,2023,2024)</f>
        <v>2024</v>
      </c>
      <c r="I857" t="str">
        <f>TEXT(Call_Center[[#This Row],[Date of Call]],"DDDD")</f>
        <v>Friday</v>
      </c>
      <c r="J857" t="str" cm="1">
        <f t="array" ref="J857">_xlfn.IFS(Call_Center[[#This Row],[Duration]]&lt;=10,"Under 10 mins",Call_Center[[#This Row],[Duration]]&lt;=30,"10 to 30 min",Call_Center[[#This Row],[Duration]]&lt;=60,"30 to 60 min",Call_Center[[#This Row],[Duration]]&lt;=120,"1 to 2 hours",TRUE,"More than 2 hours")</f>
        <v>More than 2 hours</v>
      </c>
      <c r="K857">
        <f>ROUND(Call_Center[[#This Row],[Satisfaction Rating]],0)</f>
        <v>5</v>
      </c>
    </row>
    <row r="858" spans="1:11" x14ac:dyDescent="0.35">
      <c r="A858" s="21" t="s">
        <v>1841</v>
      </c>
      <c r="B858" s="18" t="s">
        <v>991</v>
      </c>
      <c r="C858" s="18">
        <v>105</v>
      </c>
      <c r="D858" s="19" t="s">
        <v>977</v>
      </c>
      <c r="E858" s="20">
        <v>45219</v>
      </c>
      <c r="F858" s="18">
        <v>185</v>
      </c>
      <c r="G858" s="22">
        <v>3.5</v>
      </c>
      <c r="H858">
        <f>IF(MONTH(Call_Center[[#This Row],[Date of Call]])&lt;=6,2023,2024)</f>
        <v>2024</v>
      </c>
      <c r="I858" t="str">
        <f>TEXT(Call_Center[[#This Row],[Date of Call]],"DDDD")</f>
        <v>Friday</v>
      </c>
      <c r="J858" t="str" cm="1">
        <f t="array" ref="J858">_xlfn.IFS(Call_Center[[#This Row],[Duration]]&lt;=10,"Under 10 mins",Call_Center[[#This Row],[Duration]]&lt;=30,"10 to 30 min",Call_Center[[#This Row],[Duration]]&lt;=60,"30 to 60 min",Call_Center[[#This Row],[Duration]]&lt;=120,"1 to 2 hours",TRUE,"More than 2 hours")</f>
        <v>1 to 2 hours</v>
      </c>
      <c r="K858">
        <f>ROUND(Call_Center[[#This Row],[Satisfaction Rating]],0)</f>
        <v>4</v>
      </c>
    </row>
    <row r="859" spans="1:11" x14ac:dyDescent="0.35">
      <c r="A859" s="21" t="s">
        <v>1842</v>
      </c>
      <c r="B859" s="18" t="s">
        <v>976</v>
      </c>
      <c r="C859" s="18">
        <v>60</v>
      </c>
      <c r="D859" s="19" t="s">
        <v>967</v>
      </c>
      <c r="E859" s="20">
        <v>45220</v>
      </c>
      <c r="F859" s="18">
        <v>135</v>
      </c>
      <c r="G859" s="22">
        <v>3.9</v>
      </c>
      <c r="H859">
        <f>IF(MONTH(Call_Center[[#This Row],[Date of Call]])&lt;=6,2023,2024)</f>
        <v>2024</v>
      </c>
      <c r="I859" t="str">
        <f>TEXT(Call_Center[[#This Row],[Date of Call]],"DDDD")</f>
        <v>Saturday</v>
      </c>
      <c r="J859" t="str" cm="1">
        <f t="array" ref="J859">_xlfn.IFS(Call_Center[[#This Row],[Duration]]&lt;=10,"Under 10 mins",Call_Center[[#This Row],[Duration]]&lt;=30,"10 to 30 min",Call_Center[[#This Row],[Duration]]&lt;=60,"30 to 60 min",Call_Center[[#This Row],[Duration]]&lt;=120,"1 to 2 hours",TRUE,"More than 2 hours")</f>
        <v>30 to 60 min</v>
      </c>
      <c r="K859">
        <f>ROUND(Call_Center[[#This Row],[Satisfaction Rating]],0)</f>
        <v>4</v>
      </c>
    </row>
    <row r="860" spans="1:11" x14ac:dyDescent="0.35">
      <c r="A860" s="21" t="s">
        <v>1843</v>
      </c>
      <c r="B860" s="18" t="s">
        <v>976</v>
      </c>
      <c r="C860" s="18">
        <v>72</v>
      </c>
      <c r="D860" s="19" t="s">
        <v>977</v>
      </c>
      <c r="E860" s="20">
        <v>45220</v>
      </c>
      <c r="F860" s="18">
        <v>20</v>
      </c>
      <c r="G860" s="22">
        <v>4.8</v>
      </c>
      <c r="H860">
        <f>IF(MONTH(Call_Center[[#This Row],[Date of Call]])&lt;=6,2023,2024)</f>
        <v>2024</v>
      </c>
      <c r="I860" t="str">
        <f>TEXT(Call_Center[[#This Row],[Date of Call]],"DDDD")</f>
        <v>Saturday</v>
      </c>
      <c r="J860" t="str" cm="1">
        <f t="array" ref="J860">_xlfn.IFS(Call_Center[[#This Row],[Duration]]&lt;=10,"Under 10 mins",Call_Center[[#This Row],[Duration]]&lt;=30,"10 to 30 min",Call_Center[[#This Row],[Duration]]&lt;=60,"30 to 60 min",Call_Center[[#This Row],[Duration]]&lt;=120,"1 to 2 hours",TRUE,"More than 2 hours")</f>
        <v>1 to 2 hours</v>
      </c>
      <c r="K860">
        <f>ROUND(Call_Center[[#This Row],[Satisfaction Rating]],0)</f>
        <v>5</v>
      </c>
    </row>
    <row r="861" spans="1:11" x14ac:dyDescent="0.35">
      <c r="A861" s="21" t="s">
        <v>1844</v>
      </c>
      <c r="B861" s="18" t="s">
        <v>1008</v>
      </c>
      <c r="C861" s="18">
        <v>40</v>
      </c>
      <c r="D861" s="19" t="s">
        <v>977</v>
      </c>
      <c r="E861" s="20">
        <v>45220</v>
      </c>
      <c r="F861" s="18">
        <v>31</v>
      </c>
      <c r="G861" s="22">
        <v>4</v>
      </c>
      <c r="H861">
        <f>IF(MONTH(Call_Center[[#This Row],[Date of Call]])&lt;=6,2023,2024)</f>
        <v>2024</v>
      </c>
      <c r="I861" t="str">
        <f>TEXT(Call_Center[[#This Row],[Date of Call]],"DDDD")</f>
        <v>Saturday</v>
      </c>
      <c r="J861" t="str" cm="1">
        <f t="array" ref="J861">_xlfn.IFS(Call_Center[[#This Row],[Duration]]&lt;=10,"Under 10 mins",Call_Center[[#This Row],[Duration]]&lt;=30,"10 to 30 min",Call_Center[[#This Row],[Duration]]&lt;=60,"30 to 60 min",Call_Center[[#This Row],[Duration]]&lt;=120,"1 to 2 hours",TRUE,"More than 2 hours")</f>
        <v>30 to 60 min</v>
      </c>
      <c r="K861">
        <f>ROUND(Call_Center[[#This Row],[Satisfaction Rating]],0)</f>
        <v>4</v>
      </c>
    </row>
    <row r="862" spans="1:11" x14ac:dyDescent="0.35">
      <c r="A862" s="21" t="s">
        <v>1845</v>
      </c>
      <c r="B862" s="18" t="s">
        <v>1038</v>
      </c>
      <c r="C862" s="18">
        <v>54</v>
      </c>
      <c r="D862" s="19" t="s">
        <v>982</v>
      </c>
      <c r="E862" s="20">
        <v>45221</v>
      </c>
      <c r="F862" s="18">
        <v>120</v>
      </c>
      <c r="G862" s="22">
        <v>4.7</v>
      </c>
      <c r="H862">
        <f>IF(MONTH(Call_Center[[#This Row],[Date of Call]])&lt;=6,2023,2024)</f>
        <v>2024</v>
      </c>
      <c r="I862" t="str">
        <f>TEXT(Call_Center[[#This Row],[Date of Call]],"DDDD")</f>
        <v>Sunday</v>
      </c>
      <c r="J862" t="str" cm="1">
        <f t="array" ref="J862">_xlfn.IFS(Call_Center[[#This Row],[Duration]]&lt;=10,"Under 10 mins",Call_Center[[#This Row],[Duration]]&lt;=30,"10 to 30 min",Call_Center[[#This Row],[Duration]]&lt;=60,"30 to 60 min",Call_Center[[#This Row],[Duration]]&lt;=120,"1 to 2 hours",TRUE,"More than 2 hours")</f>
        <v>30 to 60 min</v>
      </c>
      <c r="K862">
        <f>ROUND(Call_Center[[#This Row],[Satisfaction Rating]],0)</f>
        <v>5</v>
      </c>
    </row>
    <row r="863" spans="1:11" x14ac:dyDescent="0.35">
      <c r="A863" s="21" t="s">
        <v>1846</v>
      </c>
      <c r="B863" s="18" t="s">
        <v>969</v>
      </c>
      <c r="C863" s="18">
        <v>81</v>
      </c>
      <c r="D863" s="19" t="s">
        <v>972</v>
      </c>
      <c r="E863" s="20">
        <v>45221</v>
      </c>
      <c r="F863" s="18">
        <v>117</v>
      </c>
      <c r="G863" s="22">
        <v>3.6</v>
      </c>
      <c r="H863">
        <f>IF(MONTH(Call_Center[[#This Row],[Date of Call]])&lt;=6,2023,2024)</f>
        <v>2024</v>
      </c>
      <c r="I863" t="str">
        <f>TEXT(Call_Center[[#This Row],[Date of Call]],"DDDD")</f>
        <v>Sunday</v>
      </c>
      <c r="J863" t="str" cm="1">
        <f t="array" ref="J863">_xlfn.IFS(Call_Center[[#This Row],[Duration]]&lt;=10,"Under 10 mins",Call_Center[[#This Row],[Duration]]&lt;=30,"10 to 30 min",Call_Center[[#This Row],[Duration]]&lt;=60,"30 to 60 min",Call_Center[[#This Row],[Duration]]&lt;=120,"1 to 2 hours",TRUE,"More than 2 hours")</f>
        <v>1 to 2 hours</v>
      </c>
      <c r="K863">
        <f>ROUND(Call_Center[[#This Row],[Satisfaction Rating]],0)</f>
        <v>4</v>
      </c>
    </row>
    <row r="864" spans="1:11" x14ac:dyDescent="0.35">
      <c r="A864" s="21" t="s">
        <v>1847</v>
      </c>
      <c r="B864" s="18" t="s">
        <v>1038</v>
      </c>
      <c r="C864" s="18">
        <v>76</v>
      </c>
      <c r="D864" s="19" t="s">
        <v>986</v>
      </c>
      <c r="E864" s="20">
        <v>45221</v>
      </c>
      <c r="F864" s="18">
        <v>80</v>
      </c>
      <c r="G864" s="22">
        <v>4.5</v>
      </c>
      <c r="H864">
        <f>IF(MONTH(Call_Center[[#This Row],[Date of Call]])&lt;=6,2023,2024)</f>
        <v>2024</v>
      </c>
      <c r="I864" t="str">
        <f>TEXT(Call_Center[[#This Row],[Date of Call]],"DDDD")</f>
        <v>Sunday</v>
      </c>
      <c r="J864" t="str" cm="1">
        <f t="array" ref="J864">_xlfn.IFS(Call_Center[[#This Row],[Duration]]&lt;=10,"Under 10 mins",Call_Center[[#This Row],[Duration]]&lt;=30,"10 to 30 min",Call_Center[[#This Row],[Duration]]&lt;=60,"30 to 60 min",Call_Center[[#This Row],[Duration]]&lt;=120,"1 to 2 hours",TRUE,"More than 2 hours")</f>
        <v>1 to 2 hours</v>
      </c>
      <c r="K864">
        <f>ROUND(Call_Center[[#This Row],[Satisfaction Rating]],0)</f>
        <v>5</v>
      </c>
    </row>
    <row r="865" spans="1:11" x14ac:dyDescent="0.35">
      <c r="A865" s="21" t="s">
        <v>1848</v>
      </c>
      <c r="B865" s="18" t="s">
        <v>1038</v>
      </c>
      <c r="C865" s="18">
        <v>37</v>
      </c>
      <c r="D865" s="19" t="s">
        <v>967</v>
      </c>
      <c r="E865" s="20">
        <v>45222</v>
      </c>
      <c r="F865" s="18">
        <v>117</v>
      </c>
      <c r="G865" s="22">
        <v>4</v>
      </c>
      <c r="H865">
        <f>IF(MONTH(Call_Center[[#This Row],[Date of Call]])&lt;=6,2023,2024)</f>
        <v>2024</v>
      </c>
      <c r="I865" t="str">
        <f>TEXT(Call_Center[[#This Row],[Date of Call]],"DDDD")</f>
        <v>Monday</v>
      </c>
      <c r="J865" t="str" cm="1">
        <f t="array" ref="J865">_xlfn.IFS(Call_Center[[#This Row],[Duration]]&lt;=10,"Under 10 mins",Call_Center[[#This Row],[Duration]]&lt;=30,"10 to 30 min",Call_Center[[#This Row],[Duration]]&lt;=60,"30 to 60 min",Call_Center[[#This Row],[Duration]]&lt;=120,"1 to 2 hours",TRUE,"More than 2 hours")</f>
        <v>30 to 60 min</v>
      </c>
      <c r="K865">
        <f>ROUND(Call_Center[[#This Row],[Satisfaction Rating]],0)</f>
        <v>4</v>
      </c>
    </row>
    <row r="866" spans="1:11" x14ac:dyDescent="0.35">
      <c r="A866" s="21" t="s">
        <v>1849</v>
      </c>
      <c r="B866" s="18" t="s">
        <v>991</v>
      </c>
      <c r="C866" s="18">
        <v>96</v>
      </c>
      <c r="D866" s="19" t="s">
        <v>982</v>
      </c>
      <c r="E866" s="20">
        <v>45222</v>
      </c>
      <c r="F866" s="18">
        <v>60</v>
      </c>
      <c r="G866" s="22">
        <v>4.5</v>
      </c>
      <c r="H866">
        <f>IF(MONTH(Call_Center[[#This Row],[Date of Call]])&lt;=6,2023,2024)</f>
        <v>2024</v>
      </c>
      <c r="I866" t="str">
        <f>TEXT(Call_Center[[#This Row],[Date of Call]],"DDDD")</f>
        <v>Monday</v>
      </c>
      <c r="J866" t="str" cm="1">
        <f t="array" ref="J866">_xlfn.IFS(Call_Center[[#This Row],[Duration]]&lt;=10,"Under 10 mins",Call_Center[[#This Row],[Duration]]&lt;=30,"10 to 30 min",Call_Center[[#This Row],[Duration]]&lt;=60,"30 to 60 min",Call_Center[[#This Row],[Duration]]&lt;=120,"1 to 2 hours",TRUE,"More than 2 hours")</f>
        <v>1 to 2 hours</v>
      </c>
      <c r="K866">
        <f>ROUND(Call_Center[[#This Row],[Satisfaction Rating]],0)</f>
        <v>5</v>
      </c>
    </row>
    <row r="867" spans="1:11" x14ac:dyDescent="0.35">
      <c r="A867" s="21" t="s">
        <v>1850</v>
      </c>
      <c r="B867" s="18" t="s">
        <v>976</v>
      </c>
      <c r="C867" s="18">
        <v>19</v>
      </c>
      <c r="D867" s="19" t="s">
        <v>986</v>
      </c>
      <c r="E867" s="20">
        <v>45223</v>
      </c>
      <c r="F867" s="18">
        <v>58</v>
      </c>
      <c r="G867" s="22">
        <v>3.9</v>
      </c>
      <c r="H867">
        <f>IF(MONTH(Call_Center[[#This Row],[Date of Call]])&lt;=6,2023,2024)</f>
        <v>2024</v>
      </c>
      <c r="I867" t="str">
        <f>TEXT(Call_Center[[#This Row],[Date of Call]],"DDDD")</f>
        <v>Tuesday</v>
      </c>
      <c r="J867" t="str" cm="1">
        <f t="array" ref="J867">_xlfn.IFS(Call_Center[[#This Row],[Duration]]&lt;=10,"Under 10 mins",Call_Center[[#This Row],[Duration]]&lt;=30,"10 to 30 min",Call_Center[[#This Row],[Duration]]&lt;=60,"30 to 60 min",Call_Center[[#This Row],[Duration]]&lt;=120,"1 to 2 hours",TRUE,"More than 2 hours")</f>
        <v>10 to 30 min</v>
      </c>
      <c r="K867">
        <f>ROUND(Call_Center[[#This Row],[Satisfaction Rating]],0)</f>
        <v>4</v>
      </c>
    </row>
    <row r="868" spans="1:11" x14ac:dyDescent="0.35">
      <c r="A868" s="21" t="s">
        <v>1851</v>
      </c>
      <c r="B868" s="18" t="s">
        <v>1008</v>
      </c>
      <c r="C868" s="18">
        <v>72</v>
      </c>
      <c r="D868" s="19" t="s">
        <v>967</v>
      </c>
      <c r="E868" s="20">
        <v>45223</v>
      </c>
      <c r="F868" s="18">
        <v>41</v>
      </c>
      <c r="G868" s="22">
        <v>4.3</v>
      </c>
      <c r="H868">
        <f>IF(MONTH(Call_Center[[#This Row],[Date of Call]])&lt;=6,2023,2024)</f>
        <v>2024</v>
      </c>
      <c r="I868" t="str">
        <f>TEXT(Call_Center[[#This Row],[Date of Call]],"DDDD")</f>
        <v>Tuesday</v>
      </c>
      <c r="J868" t="str" cm="1">
        <f t="array" ref="J868">_xlfn.IFS(Call_Center[[#This Row],[Duration]]&lt;=10,"Under 10 mins",Call_Center[[#This Row],[Duration]]&lt;=30,"10 to 30 min",Call_Center[[#This Row],[Duration]]&lt;=60,"30 to 60 min",Call_Center[[#This Row],[Duration]]&lt;=120,"1 to 2 hours",TRUE,"More than 2 hours")</f>
        <v>1 to 2 hours</v>
      </c>
      <c r="K868">
        <f>ROUND(Call_Center[[#This Row],[Satisfaction Rating]],0)</f>
        <v>4</v>
      </c>
    </row>
    <row r="869" spans="1:11" x14ac:dyDescent="0.35">
      <c r="A869" s="21" t="s">
        <v>1852</v>
      </c>
      <c r="B869" s="18" t="s">
        <v>974</v>
      </c>
      <c r="C869" s="18">
        <v>73</v>
      </c>
      <c r="D869" s="19" t="s">
        <v>972</v>
      </c>
      <c r="E869" s="20">
        <v>45223</v>
      </c>
      <c r="F869" s="18">
        <v>180</v>
      </c>
      <c r="G869" s="22">
        <v>3.6</v>
      </c>
      <c r="H869">
        <f>IF(MONTH(Call_Center[[#This Row],[Date of Call]])&lt;=6,2023,2024)</f>
        <v>2024</v>
      </c>
      <c r="I869" t="str">
        <f>TEXT(Call_Center[[#This Row],[Date of Call]],"DDDD")</f>
        <v>Tuesday</v>
      </c>
      <c r="J869" t="str" cm="1">
        <f t="array" ref="J869">_xlfn.IFS(Call_Center[[#This Row],[Duration]]&lt;=10,"Under 10 mins",Call_Center[[#This Row],[Duration]]&lt;=30,"10 to 30 min",Call_Center[[#This Row],[Duration]]&lt;=60,"30 to 60 min",Call_Center[[#This Row],[Duration]]&lt;=120,"1 to 2 hours",TRUE,"More than 2 hours")</f>
        <v>1 to 2 hours</v>
      </c>
      <c r="K869">
        <f>ROUND(Call_Center[[#This Row],[Satisfaction Rating]],0)</f>
        <v>4</v>
      </c>
    </row>
    <row r="870" spans="1:11" x14ac:dyDescent="0.35">
      <c r="A870" s="21" t="s">
        <v>1853</v>
      </c>
      <c r="B870" s="18" t="s">
        <v>1018</v>
      </c>
      <c r="C870" s="18">
        <v>87</v>
      </c>
      <c r="D870" s="19" t="s">
        <v>972</v>
      </c>
      <c r="E870" s="20">
        <v>45223</v>
      </c>
      <c r="F870" s="18">
        <v>42</v>
      </c>
      <c r="G870" s="22">
        <v>3.6</v>
      </c>
      <c r="H870">
        <f>IF(MONTH(Call_Center[[#This Row],[Date of Call]])&lt;=6,2023,2024)</f>
        <v>2024</v>
      </c>
      <c r="I870" t="str">
        <f>TEXT(Call_Center[[#This Row],[Date of Call]],"DDDD")</f>
        <v>Tuesday</v>
      </c>
      <c r="J870" t="str" cm="1">
        <f t="array" ref="J870">_xlfn.IFS(Call_Center[[#This Row],[Duration]]&lt;=10,"Under 10 mins",Call_Center[[#This Row],[Duration]]&lt;=30,"10 to 30 min",Call_Center[[#This Row],[Duration]]&lt;=60,"30 to 60 min",Call_Center[[#This Row],[Duration]]&lt;=120,"1 to 2 hours",TRUE,"More than 2 hours")</f>
        <v>1 to 2 hours</v>
      </c>
      <c r="K870">
        <f>ROUND(Call_Center[[#This Row],[Satisfaction Rating]],0)</f>
        <v>4</v>
      </c>
    </row>
    <row r="871" spans="1:11" x14ac:dyDescent="0.35">
      <c r="A871" s="21" t="s">
        <v>1854</v>
      </c>
      <c r="B871" s="18" t="s">
        <v>1018</v>
      </c>
      <c r="C871" s="18">
        <v>68</v>
      </c>
      <c r="D871" s="19" t="s">
        <v>972</v>
      </c>
      <c r="E871" s="20">
        <v>45224</v>
      </c>
      <c r="F871" s="18">
        <v>24</v>
      </c>
      <c r="G871" s="22">
        <v>4</v>
      </c>
      <c r="H871">
        <f>IF(MONTH(Call_Center[[#This Row],[Date of Call]])&lt;=6,2023,2024)</f>
        <v>2024</v>
      </c>
      <c r="I871" t="str">
        <f>TEXT(Call_Center[[#This Row],[Date of Call]],"DDDD")</f>
        <v>Wednesday</v>
      </c>
      <c r="J871" t="str" cm="1">
        <f t="array" ref="J871">_xlfn.IFS(Call_Center[[#This Row],[Duration]]&lt;=10,"Under 10 mins",Call_Center[[#This Row],[Duration]]&lt;=30,"10 to 30 min",Call_Center[[#This Row],[Duration]]&lt;=60,"30 to 60 min",Call_Center[[#This Row],[Duration]]&lt;=120,"1 to 2 hours",TRUE,"More than 2 hours")</f>
        <v>1 to 2 hours</v>
      </c>
      <c r="K871">
        <f>ROUND(Call_Center[[#This Row],[Satisfaction Rating]],0)</f>
        <v>4</v>
      </c>
    </row>
    <row r="872" spans="1:11" x14ac:dyDescent="0.35">
      <c r="A872" s="21" t="s">
        <v>1855</v>
      </c>
      <c r="B872" s="18" t="s">
        <v>1008</v>
      </c>
      <c r="C872" s="18">
        <v>101</v>
      </c>
      <c r="D872" s="19" t="s">
        <v>972</v>
      </c>
      <c r="E872" s="20">
        <v>45224</v>
      </c>
      <c r="F872" s="18">
        <v>125</v>
      </c>
      <c r="G872" s="22">
        <v>4.2</v>
      </c>
      <c r="H872">
        <f>IF(MONTH(Call_Center[[#This Row],[Date of Call]])&lt;=6,2023,2024)</f>
        <v>2024</v>
      </c>
      <c r="I872" t="str">
        <f>TEXT(Call_Center[[#This Row],[Date of Call]],"DDDD")</f>
        <v>Wednesday</v>
      </c>
      <c r="J872" t="str" cm="1">
        <f t="array" ref="J872">_xlfn.IFS(Call_Center[[#This Row],[Duration]]&lt;=10,"Under 10 mins",Call_Center[[#This Row],[Duration]]&lt;=30,"10 to 30 min",Call_Center[[#This Row],[Duration]]&lt;=60,"30 to 60 min",Call_Center[[#This Row],[Duration]]&lt;=120,"1 to 2 hours",TRUE,"More than 2 hours")</f>
        <v>1 to 2 hours</v>
      </c>
      <c r="K872">
        <f>ROUND(Call_Center[[#This Row],[Satisfaction Rating]],0)</f>
        <v>4</v>
      </c>
    </row>
    <row r="873" spans="1:11" x14ac:dyDescent="0.35">
      <c r="A873" s="21" t="s">
        <v>1856</v>
      </c>
      <c r="B873" s="18" t="s">
        <v>1008</v>
      </c>
      <c r="C873" s="18">
        <v>107</v>
      </c>
      <c r="D873" s="19" t="s">
        <v>967</v>
      </c>
      <c r="E873" s="20">
        <v>45225</v>
      </c>
      <c r="F873" s="18">
        <v>78</v>
      </c>
      <c r="G873" s="22">
        <v>4.3</v>
      </c>
      <c r="H873">
        <f>IF(MONTH(Call_Center[[#This Row],[Date of Call]])&lt;=6,2023,2024)</f>
        <v>2024</v>
      </c>
      <c r="I873" t="str">
        <f>TEXT(Call_Center[[#This Row],[Date of Call]],"DDDD")</f>
        <v>Thursday</v>
      </c>
      <c r="J873" t="str" cm="1">
        <f t="array" ref="J873">_xlfn.IFS(Call_Center[[#This Row],[Duration]]&lt;=10,"Under 10 mins",Call_Center[[#This Row],[Duration]]&lt;=30,"10 to 30 min",Call_Center[[#This Row],[Duration]]&lt;=60,"30 to 60 min",Call_Center[[#This Row],[Duration]]&lt;=120,"1 to 2 hours",TRUE,"More than 2 hours")</f>
        <v>1 to 2 hours</v>
      </c>
      <c r="K873">
        <f>ROUND(Call_Center[[#This Row],[Satisfaction Rating]],0)</f>
        <v>4</v>
      </c>
    </row>
    <row r="874" spans="1:11" x14ac:dyDescent="0.35">
      <c r="A874" s="21" t="s">
        <v>1857</v>
      </c>
      <c r="B874" s="18" t="s">
        <v>997</v>
      </c>
      <c r="C874" s="18">
        <v>109</v>
      </c>
      <c r="D874" s="19" t="s">
        <v>977</v>
      </c>
      <c r="E874" s="20">
        <v>45225</v>
      </c>
      <c r="F874" s="18">
        <v>180</v>
      </c>
      <c r="G874" s="22">
        <v>3.8</v>
      </c>
      <c r="H874">
        <f>IF(MONTH(Call_Center[[#This Row],[Date of Call]])&lt;=6,2023,2024)</f>
        <v>2024</v>
      </c>
      <c r="I874" t="str">
        <f>TEXT(Call_Center[[#This Row],[Date of Call]],"DDDD")</f>
        <v>Thursday</v>
      </c>
      <c r="J874" t="str" cm="1">
        <f t="array" ref="J874">_xlfn.IFS(Call_Center[[#This Row],[Duration]]&lt;=10,"Under 10 mins",Call_Center[[#This Row],[Duration]]&lt;=30,"10 to 30 min",Call_Center[[#This Row],[Duration]]&lt;=60,"30 to 60 min",Call_Center[[#This Row],[Duration]]&lt;=120,"1 to 2 hours",TRUE,"More than 2 hours")</f>
        <v>1 to 2 hours</v>
      </c>
      <c r="K874">
        <f>ROUND(Call_Center[[#This Row],[Satisfaction Rating]],0)</f>
        <v>4</v>
      </c>
    </row>
    <row r="875" spans="1:11" x14ac:dyDescent="0.35">
      <c r="A875" s="21" t="s">
        <v>1858</v>
      </c>
      <c r="B875" s="18" t="s">
        <v>989</v>
      </c>
      <c r="C875" s="18">
        <v>171</v>
      </c>
      <c r="D875" s="19" t="s">
        <v>967</v>
      </c>
      <c r="E875" s="20">
        <v>45225</v>
      </c>
      <c r="F875" s="18">
        <v>84</v>
      </c>
      <c r="G875" s="22">
        <v>4.4000000000000004</v>
      </c>
      <c r="H875">
        <f>IF(MONTH(Call_Center[[#This Row],[Date of Call]])&lt;=6,2023,2024)</f>
        <v>2024</v>
      </c>
      <c r="I875" t="str">
        <f>TEXT(Call_Center[[#This Row],[Date of Call]],"DDDD")</f>
        <v>Thursday</v>
      </c>
      <c r="J875" t="str" cm="1">
        <f t="array" ref="J875">_xlfn.IFS(Call_Center[[#This Row],[Duration]]&lt;=10,"Under 10 mins",Call_Center[[#This Row],[Duration]]&lt;=30,"10 to 30 min",Call_Center[[#This Row],[Duration]]&lt;=60,"30 to 60 min",Call_Center[[#This Row],[Duration]]&lt;=120,"1 to 2 hours",TRUE,"More than 2 hours")</f>
        <v>More than 2 hours</v>
      </c>
      <c r="K875">
        <f>ROUND(Call_Center[[#This Row],[Satisfaction Rating]],0)</f>
        <v>4</v>
      </c>
    </row>
    <row r="876" spans="1:11" x14ac:dyDescent="0.35">
      <c r="A876" s="21" t="s">
        <v>1859</v>
      </c>
      <c r="B876" s="18" t="s">
        <v>976</v>
      </c>
      <c r="C876" s="18">
        <v>21</v>
      </c>
      <c r="D876" s="19" t="s">
        <v>967</v>
      </c>
      <c r="E876" s="20">
        <v>45225</v>
      </c>
      <c r="F876" s="18">
        <v>26</v>
      </c>
      <c r="G876" s="22">
        <v>4.7</v>
      </c>
      <c r="H876">
        <f>IF(MONTH(Call_Center[[#This Row],[Date of Call]])&lt;=6,2023,2024)</f>
        <v>2024</v>
      </c>
      <c r="I876" t="str">
        <f>TEXT(Call_Center[[#This Row],[Date of Call]],"DDDD")</f>
        <v>Thursday</v>
      </c>
      <c r="J876" t="str" cm="1">
        <f t="array" ref="J876">_xlfn.IFS(Call_Center[[#This Row],[Duration]]&lt;=10,"Under 10 mins",Call_Center[[#This Row],[Duration]]&lt;=30,"10 to 30 min",Call_Center[[#This Row],[Duration]]&lt;=60,"30 to 60 min",Call_Center[[#This Row],[Duration]]&lt;=120,"1 to 2 hours",TRUE,"More than 2 hours")</f>
        <v>10 to 30 min</v>
      </c>
      <c r="K876">
        <f>ROUND(Call_Center[[#This Row],[Satisfaction Rating]],0)</f>
        <v>5</v>
      </c>
    </row>
    <row r="877" spans="1:11" x14ac:dyDescent="0.35">
      <c r="A877" s="21" t="s">
        <v>1860</v>
      </c>
      <c r="B877" s="18" t="s">
        <v>969</v>
      </c>
      <c r="C877" s="18">
        <v>94</v>
      </c>
      <c r="D877" s="19" t="s">
        <v>967</v>
      </c>
      <c r="E877" s="20">
        <v>45226</v>
      </c>
      <c r="F877" s="18">
        <v>140</v>
      </c>
      <c r="G877" s="22">
        <v>3.6</v>
      </c>
      <c r="H877">
        <f>IF(MONTH(Call_Center[[#This Row],[Date of Call]])&lt;=6,2023,2024)</f>
        <v>2024</v>
      </c>
      <c r="I877" t="str">
        <f>TEXT(Call_Center[[#This Row],[Date of Call]],"DDDD")</f>
        <v>Friday</v>
      </c>
      <c r="J877" t="str" cm="1">
        <f t="array" ref="J877">_xlfn.IFS(Call_Center[[#This Row],[Duration]]&lt;=10,"Under 10 mins",Call_Center[[#This Row],[Duration]]&lt;=30,"10 to 30 min",Call_Center[[#This Row],[Duration]]&lt;=60,"30 to 60 min",Call_Center[[#This Row],[Duration]]&lt;=120,"1 to 2 hours",TRUE,"More than 2 hours")</f>
        <v>1 to 2 hours</v>
      </c>
      <c r="K877">
        <f>ROUND(Call_Center[[#This Row],[Satisfaction Rating]],0)</f>
        <v>4</v>
      </c>
    </row>
    <row r="878" spans="1:11" x14ac:dyDescent="0.35">
      <c r="A878" s="21" t="s">
        <v>1861</v>
      </c>
      <c r="B878" s="18" t="s">
        <v>974</v>
      </c>
      <c r="C878" s="18">
        <v>97</v>
      </c>
      <c r="D878" s="19" t="s">
        <v>977</v>
      </c>
      <c r="E878" s="20">
        <v>45226</v>
      </c>
      <c r="F878" s="18">
        <v>31</v>
      </c>
      <c r="G878" s="22">
        <v>2.2000000000000002</v>
      </c>
      <c r="H878">
        <f>IF(MONTH(Call_Center[[#This Row],[Date of Call]])&lt;=6,2023,2024)</f>
        <v>2024</v>
      </c>
      <c r="I878" t="str">
        <f>TEXT(Call_Center[[#This Row],[Date of Call]],"DDDD")</f>
        <v>Friday</v>
      </c>
      <c r="J878" t="str" cm="1">
        <f t="array" ref="J878">_xlfn.IFS(Call_Center[[#This Row],[Duration]]&lt;=10,"Under 10 mins",Call_Center[[#This Row],[Duration]]&lt;=30,"10 to 30 min",Call_Center[[#This Row],[Duration]]&lt;=60,"30 to 60 min",Call_Center[[#This Row],[Duration]]&lt;=120,"1 to 2 hours",TRUE,"More than 2 hours")</f>
        <v>1 to 2 hours</v>
      </c>
      <c r="K878">
        <f>ROUND(Call_Center[[#This Row],[Satisfaction Rating]],0)</f>
        <v>2</v>
      </c>
    </row>
    <row r="879" spans="1:11" x14ac:dyDescent="0.35">
      <c r="A879" s="21" t="s">
        <v>1862</v>
      </c>
      <c r="B879" s="18" t="s">
        <v>991</v>
      </c>
      <c r="C879" s="18">
        <v>72</v>
      </c>
      <c r="D879" s="19" t="s">
        <v>977</v>
      </c>
      <c r="E879" s="20">
        <v>45226</v>
      </c>
      <c r="F879" s="18">
        <v>108</v>
      </c>
      <c r="G879" s="22">
        <v>4.8</v>
      </c>
      <c r="H879">
        <f>IF(MONTH(Call_Center[[#This Row],[Date of Call]])&lt;=6,2023,2024)</f>
        <v>2024</v>
      </c>
      <c r="I879" t="str">
        <f>TEXT(Call_Center[[#This Row],[Date of Call]],"DDDD")</f>
        <v>Friday</v>
      </c>
      <c r="J879" t="str" cm="1">
        <f t="array" ref="J879">_xlfn.IFS(Call_Center[[#This Row],[Duration]]&lt;=10,"Under 10 mins",Call_Center[[#This Row],[Duration]]&lt;=30,"10 to 30 min",Call_Center[[#This Row],[Duration]]&lt;=60,"30 to 60 min",Call_Center[[#This Row],[Duration]]&lt;=120,"1 to 2 hours",TRUE,"More than 2 hours")</f>
        <v>1 to 2 hours</v>
      </c>
      <c r="K879">
        <f>ROUND(Call_Center[[#This Row],[Satisfaction Rating]],0)</f>
        <v>5</v>
      </c>
    </row>
    <row r="880" spans="1:11" x14ac:dyDescent="0.35">
      <c r="A880" s="21" t="s">
        <v>1863</v>
      </c>
      <c r="B880" s="18" t="s">
        <v>989</v>
      </c>
      <c r="C880" s="18">
        <v>143</v>
      </c>
      <c r="D880" s="19" t="s">
        <v>982</v>
      </c>
      <c r="E880" s="20">
        <v>45227</v>
      </c>
      <c r="F880" s="18">
        <v>58</v>
      </c>
      <c r="G880" s="22">
        <v>4.3</v>
      </c>
      <c r="H880">
        <f>IF(MONTH(Call_Center[[#This Row],[Date of Call]])&lt;=6,2023,2024)</f>
        <v>2024</v>
      </c>
      <c r="I880" t="str">
        <f>TEXT(Call_Center[[#This Row],[Date of Call]],"DDDD")</f>
        <v>Saturday</v>
      </c>
      <c r="J880" t="str" cm="1">
        <f t="array" ref="J880">_xlfn.IFS(Call_Center[[#This Row],[Duration]]&lt;=10,"Under 10 mins",Call_Center[[#This Row],[Duration]]&lt;=30,"10 to 30 min",Call_Center[[#This Row],[Duration]]&lt;=60,"30 to 60 min",Call_Center[[#This Row],[Duration]]&lt;=120,"1 to 2 hours",TRUE,"More than 2 hours")</f>
        <v>More than 2 hours</v>
      </c>
      <c r="K880">
        <f>ROUND(Call_Center[[#This Row],[Satisfaction Rating]],0)</f>
        <v>4</v>
      </c>
    </row>
    <row r="881" spans="1:11" x14ac:dyDescent="0.35">
      <c r="A881" s="21" t="s">
        <v>1864</v>
      </c>
      <c r="B881" s="18" t="s">
        <v>989</v>
      </c>
      <c r="C881" s="18">
        <v>64</v>
      </c>
      <c r="D881" s="19" t="s">
        <v>977</v>
      </c>
      <c r="E881" s="20">
        <v>45227</v>
      </c>
      <c r="F881" s="18">
        <v>185</v>
      </c>
      <c r="G881" s="22">
        <v>2.2000000000000002</v>
      </c>
      <c r="H881">
        <f>IF(MONTH(Call_Center[[#This Row],[Date of Call]])&lt;=6,2023,2024)</f>
        <v>2024</v>
      </c>
      <c r="I881" t="str">
        <f>TEXT(Call_Center[[#This Row],[Date of Call]],"DDDD")</f>
        <v>Saturday</v>
      </c>
      <c r="J881" t="str" cm="1">
        <f t="array" ref="J881">_xlfn.IFS(Call_Center[[#This Row],[Duration]]&lt;=10,"Under 10 mins",Call_Center[[#This Row],[Duration]]&lt;=30,"10 to 30 min",Call_Center[[#This Row],[Duration]]&lt;=60,"30 to 60 min",Call_Center[[#This Row],[Duration]]&lt;=120,"1 to 2 hours",TRUE,"More than 2 hours")</f>
        <v>1 to 2 hours</v>
      </c>
      <c r="K881">
        <f>ROUND(Call_Center[[#This Row],[Satisfaction Rating]],0)</f>
        <v>2</v>
      </c>
    </row>
    <row r="882" spans="1:11" x14ac:dyDescent="0.35">
      <c r="A882" s="21" t="s">
        <v>1865</v>
      </c>
      <c r="B882" s="18" t="s">
        <v>989</v>
      </c>
      <c r="C882" s="18">
        <v>69</v>
      </c>
      <c r="D882" s="19" t="s">
        <v>977</v>
      </c>
      <c r="E882" s="20">
        <v>45227</v>
      </c>
      <c r="F882" s="18">
        <v>40</v>
      </c>
      <c r="G882" s="22">
        <v>4.8</v>
      </c>
      <c r="H882">
        <f>IF(MONTH(Call_Center[[#This Row],[Date of Call]])&lt;=6,2023,2024)</f>
        <v>2024</v>
      </c>
      <c r="I882" t="str">
        <f>TEXT(Call_Center[[#This Row],[Date of Call]],"DDDD")</f>
        <v>Saturday</v>
      </c>
      <c r="J882" t="str" cm="1">
        <f t="array" ref="J882">_xlfn.IFS(Call_Center[[#This Row],[Duration]]&lt;=10,"Under 10 mins",Call_Center[[#This Row],[Duration]]&lt;=30,"10 to 30 min",Call_Center[[#This Row],[Duration]]&lt;=60,"30 to 60 min",Call_Center[[#This Row],[Duration]]&lt;=120,"1 to 2 hours",TRUE,"More than 2 hours")</f>
        <v>1 to 2 hours</v>
      </c>
      <c r="K882">
        <f>ROUND(Call_Center[[#This Row],[Satisfaction Rating]],0)</f>
        <v>5</v>
      </c>
    </row>
    <row r="883" spans="1:11" x14ac:dyDescent="0.35">
      <c r="A883" s="21" t="s">
        <v>1866</v>
      </c>
      <c r="B883" s="18" t="s">
        <v>989</v>
      </c>
      <c r="C883" s="18">
        <v>18</v>
      </c>
      <c r="D883" s="19" t="s">
        <v>986</v>
      </c>
      <c r="E883" s="20">
        <v>45227</v>
      </c>
      <c r="F883" s="18">
        <v>225</v>
      </c>
      <c r="G883" s="22">
        <v>2.6</v>
      </c>
      <c r="H883">
        <f>IF(MONTH(Call_Center[[#This Row],[Date of Call]])&lt;=6,2023,2024)</f>
        <v>2024</v>
      </c>
      <c r="I883" t="str">
        <f>TEXT(Call_Center[[#This Row],[Date of Call]],"DDDD")</f>
        <v>Saturday</v>
      </c>
      <c r="J883" t="str" cm="1">
        <f t="array" ref="J883">_xlfn.IFS(Call_Center[[#This Row],[Duration]]&lt;=10,"Under 10 mins",Call_Center[[#This Row],[Duration]]&lt;=30,"10 to 30 min",Call_Center[[#This Row],[Duration]]&lt;=60,"30 to 60 min",Call_Center[[#This Row],[Duration]]&lt;=120,"1 to 2 hours",TRUE,"More than 2 hours")</f>
        <v>10 to 30 min</v>
      </c>
      <c r="K883">
        <f>ROUND(Call_Center[[#This Row],[Satisfaction Rating]],0)</f>
        <v>3</v>
      </c>
    </row>
    <row r="884" spans="1:11" x14ac:dyDescent="0.35">
      <c r="A884" s="21" t="s">
        <v>1867</v>
      </c>
      <c r="B884" s="18" t="s">
        <v>974</v>
      </c>
      <c r="C884" s="18">
        <v>100</v>
      </c>
      <c r="D884" s="19" t="s">
        <v>982</v>
      </c>
      <c r="E884" s="20">
        <v>45227</v>
      </c>
      <c r="F884" s="18">
        <v>150</v>
      </c>
      <c r="G884" s="22">
        <v>2.6</v>
      </c>
      <c r="H884">
        <f>IF(MONTH(Call_Center[[#This Row],[Date of Call]])&lt;=6,2023,2024)</f>
        <v>2024</v>
      </c>
      <c r="I884" t="str">
        <f>TEXT(Call_Center[[#This Row],[Date of Call]],"DDDD")</f>
        <v>Saturday</v>
      </c>
      <c r="J884" t="str" cm="1">
        <f t="array" ref="J884">_xlfn.IFS(Call_Center[[#This Row],[Duration]]&lt;=10,"Under 10 mins",Call_Center[[#This Row],[Duration]]&lt;=30,"10 to 30 min",Call_Center[[#This Row],[Duration]]&lt;=60,"30 to 60 min",Call_Center[[#This Row],[Duration]]&lt;=120,"1 to 2 hours",TRUE,"More than 2 hours")</f>
        <v>1 to 2 hours</v>
      </c>
      <c r="K884">
        <f>ROUND(Call_Center[[#This Row],[Satisfaction Rating]],0)</f>
        <v>3</v>
      </c>
    </row>
    <row r="885" spans="1:11" x14ac:dyDescent="0.35">
      <c r="A885" s="21" t="s">
        <v>1868</v>
      </c>
      <c r="B885" s="18" t="s">
        <v>985</v>
      </c>
      <c r="C885" s="18">
        <v>110</v>
      </c>
      <c r="D885" s="19" t="s">
        <v>972</v>
      </c>
      <c r="E885" s="20">
        <v>45228</v>
      </c>
      <c r="F885" s="18">
        <v>88</v>
      </c>
      <c r="G885" s="22">
        <v>3.4</v>
      </c>
      <c r="H885">
        <f>IF(MONTH(Call_Center[[#This Row],[Date of Call]])&lt;=6,2023,2024)</f>
        <v>2024</v>
      </c>
      <c r="I885" t="str">
        <f>TEXT(Call_Center[[#This Row],[Date of Call]],"DDDD")</f>
        <v>Sunday</v>
      </c>
      <c r="J885" t="str" cm="1">
        <f t="array" ref="J885">_xlfn.IFS(Call_Center[[#This Row],[Duration]]&lt;=10,"Under 10 mins",Call_Center[[#This Row],[Duration]]&lt;=30,"10 to 30 min",Call_Center[[#This Row],[Duration]]&lt;=60,"30 to 60 min",Call_Center[[#This Row],[Duration]]&lt;=120,"1 to 2 hours",TRUE,"More than 2 hours")</f>
        <v>1 to 2 hours</v>
      </c>
      <c r="K885">
        <f>ROUND(Call_Center[[#This Row],[Satisfaction Rating]],0)</f>
        <v>3</v>
      </c>
    </row>
    <row r="886" spans="1:11" x14ac:dyDescent="0.35">
      <c r="A886" s="21" t="s">
        <v>1869</v>
      </c>
      <c r="B886" s="18" t="s">
        <v>1000</v>
      </c>
      <c r="C886" s="18">
        <v>41</v>
      </c>
      <c r="D886" s="19" t="s">
        <v>967</v>
      </c>
      <c r="E886" s="20">
        <v>45228</v>
      </c>
      <c r="F886" s="18">
        <v>140</v>
      </c>
      <c r="G886" s="22">
        <v>3.7</v>
      </c>
      <c r="H886">
        <f>IF(MONTH(Call_Center[[#This Row],[Date of Call]])&lt;=6,2023,2024)</f>
        <v>2024</v>
      </c>
      <c r="I886" t="str">
        <f>TEXT(Call_Center[[#This Row],[Date of Call]],"DDDD")</f>
        <v>Sunday</v>
      </c>
      <c r="J886" t="str" cm="1">
        <f t="array" ref="J886">_xlfn.IFS(Call_Center[[#This Row],[Duration]]&lt;=10,"Under 10 mins",Call_Center[[#This Row],[Duration]]&lt;=30,"10 to 30 min",Call_Center[[#This Row],[Duration]]&lt;=60,"30 to 60 min",Call_Center[[#This Row],[Duration]]&lt;=120,"1 to 2 hours",TRUE,"More than 2 hours")</f>
        <v>30 to 60 min</v>
      </c>
      <c r="K886">
        <f>ROUND(Call_Center[[#This Row],[Satisfaction Rating]],0)</f>
        <v>4</v>
      </c>
    </row>
    <row r="887" spans="1:11" x14ac:dyDescent="0.35">
      <c r="A887" s="21" t="s">
        <v>1870</v>
      </c>
      <c r="B887" s="18" t="s">
        <v>985</v>
      </c>
      <c r="C887" s="18">
        <v>147</v>
      </c>
      <c r="D887" s="19" t="s">
        <v>972</v>
      </c>
      <c r="E887" s="20">
        <v>45228</v>
      </c>
      <c r="F887" s="18">
        <v>68</v>
      </c>
      <c r="G887" s="22">
        <v>2.1</v>
      </c>
      <c r="H887">
        <f>IF(MONTH(Call_Center[[#This Row],[Date of Call]])&lt;=6,2023,2024)</f>
        <v>2024</v>
      </c>
      <c r="I887" t="str">
        <f>TEXT(Call_Center[[#This Row],[Date of Call]],"DDDD")</f>
        <v>Sunday</v>
      </c>
      <c r="J887" t="str" cm="1">
        <f t="array" ref="J887">_xlfn.IFS(Call_Center[[#This Row],[Duration]]&lt;=10,"Under 10 mins",Call_Center[[#This Row],[Duration]]&lt;=30,"10 to 30 min",Call_Center[[#This Row],[Duration]]&lt;=60,"30 to 60 min",Call_Center[[#This Row],[Duration]]&lt;=120,"1 to 2 hours",TRUE,"More than 2 hours")</f>
        <v>More than 2 hours</v>
      </c>
      <c r="K887">
        <f>ROUND(Call_Center[[#This Row],[Satisfaction Rating]],0)</f>
        <v>2</v>
      </c>
    </row>
    <row r="888" spans="1:11" x14ac:dyDescent="0.35">
      <c r="A888" s="21" t="s">
        <v>1871</v>
      </c>
      <c r="B888" s="18" t="s">
        <v>969</v>
      </c>
      <c r="C888" s="18">
        <v>31</v>
      </c>
      <c r="D888" s="19" t="s">
        <v>986</v>
      </c>
      <c r="E888" s="20">
        <v>45229</v>
      </c>
      <c r="F888" s="18">
        <v>105</v>
      </c>
      <c r="G888" s="22">
        <v>3.6</v>
      </c>
      <c r="H888">
        <f>IF(MONTH(Call_Center[[#This Row],[Date of Call]])&lt;=6,2023,2024)</f>
        <v>2024</v>
      </c>
      <c r="I888" t="str">
        <f>TEXT(Call_Center[[#This Row],[Date of Call]],"DDDD")</f>
        <v>Monday</v>
      </c>
      <c r="J888" t="str" cm="1">
        <f t="array" ref="J888">_xlfn.IFS(Call_Center[[#This Row],[Duration]]&lt;=10,"Under 10 mins",Call_Center[[#This Row],[Duration]]&lt;=30,"10 to 30 min",Call_Center[[#This Row],[Duration]]&lt;=60,"30 to 60 min",Call_Center[[#This Row],[Duration]]&lt;=120,"1 to 2 hours",TRUE,"More than 2 hours")</f>
        <v>30 to 60 min</v>
      </c>
      <c r="K888">
        <f>ROUND(Call_Center[[#This Row],[Satisfaction Rating]],0)</f>
        <v>4</v>
      </c>
    </row>
    <row r="889" spans="1:11" x14ac:dyDescent="0.35">
      <c r="A889" s="21" t="s">
        <v>1872</v>
      </c>
      <c r="B889" s="18" t="s">
        <v>1018</v>
      </c>
      <c r="C889" s="18">
        <v>142</v>
      </c>
      <c r="D889" s="19" t="s">
        <v>967</v>
      </c>
      <c r="E889" s="20">
        <v>45229</v>
      </c>
      <c r="F889" s="18">
        <v>40</v>
      </c>
      <c r="G889" s="22">
        <v>3.8</v>
      </c>
      <c r="H889">
        <f>IF(MONTH(Call_Center[[#This Row],[Date of Call]])&lt;=6,2023,2024)</f>
        <v>2024</v>
      </c>
      <c r="I889" t="str">
        <f>TEXT(Call_Center[[#This Row],[Date of Call]],"DDDD")</f>
        <v>Monday</v>
      </c>
      <c r="J889" t="str" cm="1">
        <f t="array" ref="J889">_xlfn.IFS(Call_Center[[#This Row],[Duration]]&lt;=10,"Under 10 mins",Call_Center[[#This Row],[Duration]]&lt;=30,"10 to 30 min",Call_Center[[#This Row],[Duration]]&lt;=60,"30 to 60 min",Call_Center[[#This Row],[Duration]]&lt;=120,"1 to 2 hours",TRUE,"More than 2 hours")</f>
        <v>More than 2 hours</v>
      </c>
      <c r="K889">
        <f>ROUND(Call_Center[[#This Row],[Satisfaction Rating]],0)</f>
        <v>4</v>
      </c>
    </row>
    <row r="890" spans="1:11" x14ac:dyDescent="0.35">
      <c r="A890" s="21" t="s">
        <v>1873</v>
      </c>
      <c r="B890" s="18" t="s">
        <v>997</v>
      </c>
      <c r="C890" s="18">
        <v>61</v>
      </c>
      <c r="D890" s="19" t="s">
        <v>967</v>
      </c>
      <c r="E890" s="20">
        <v>45229</v>
      </c>
      <c r="F890" s="18">
        <v>82</v>
      </c>
      <c r="G890" s="22">
        <v>3.1</v>
      </c>
      <c r="H890">
        <f>IF(MONTH(Call_Center[[#This Row],[Date of Call]])&lt;=6,2023,2024)</f>
        <v>2024</v>
      </c>
      <c r="I890" t="str">
        <f>TEXT(Call_Center[[#This Row],[Date of Call]],"DDDD")</f>
        <v>Monday</v>
      </c>
      <c r="J890" t="str" cm="1">
        <f t="array" ref="J890">_xlfn.IFS(Call_Center[[#This Row],[Duration]]&lt;=10,"Under 10 mins",Call_Center[[#This Row],[Duration]]&lt;=30,"10 to 30 min",Call_Center[[#This Row],[Duration]]&lt;=60,"30 to 60 min",Call_Center[[#This Row],[Duration]]&lt;=120,"1 to 2 hours",TRUE,"More than 2 hours")</f>
        <v>1 to 2 hours</v>
      </c>
      <c r="K890">
        <f>ROUND(Call_Center[[#This Row],[Satisfaction Rating]],0)</f>
        <v>3</v>
      </c>
    </row>
    <row r="891" spans="1:11" x14ac:dyDescent="0.35">
      <c r="A891" s="21" t="s">
        <v>1874</v>
      </c>
      <c r="B891" s="18" t="s">
        <v>966</v>
      </c>
      <c r="C891" s="18">
        <v>86</v>
      </c>
      <c r="D891" s="19" t="s">
        <v>986</v>
      </c>
      <c r="E891" s="20">
        <v>45230</v>
      </c>
      <c r="F891" s="18">
        <v>90</v>
      </c>
      <c r="G891" s="22">
        <v>4.4000000000000004</v>
      </c>
      <c r="H891">
        <f>IF(MONTH(Call_Center[[#This Row],[Date of Call]])&lt;=6,2023,2024)</f>
        <v>2024</v>
      </c>
      <c r="I891" t="str">
        <f>TEXT(Call_Center[[#This Row],[Date of Call]],"DDDD")</f>
        <v>Tuesday</v>
      </c>
      <c r="J891" t="str" cm="1">
        <f t="array" ref="J891">_xlfn.IFS(Call_Center[[#This Row],[Duration]]&lt;=10,"Under 10 mins",Call_Center[[#This Row],[Duration]]&lt;=30,"10 to 30 min",Call_Center[[#This Row],[Duration]]&lt;=60,"30 to 60 min",Call_Center[[#This Row],[Duration]]&lt;=120,"1 to 2 hours",TRUE,"More than 2 hours")</f>
        <v>1 to 2 hours</v>
      </c>
      <c r="K891">
        <f>ROUND(Call_Center[[#This Row],[Satisfaction Rating]],0)</f>
        <v>4</v>
      </c>
    </row>
    <row r="892" spans="1:11" x14ac:dyDescent="0.35">
      <c r="A892" s="21" t="s">
        <v>1875</v>
      </c>
      <c r="B892" s="18" t="s">
        <v>971</v>
      </c>
      <c r="C892" s="18">
        <v>165</v>
      </c>
      <c r="D892" s="19" t="s">
        <v>982</v>
      </c>
      <c r="E892" s="20">
        <v>45231</v>
      </c>
      <c r="F892" s="18">
        <v>66</v>
      </c>
      <c r="G892" s="22">
        <v>4.8</v>
      </c>
      <c r="H892">
        <f>IF(MONTH(Call_Center[[#This Row],[Date of Call]])&lt;=6,2023,2024)</f>
        <v>2024</v>
      </c>
      <c r="I892" t="str">
        <f>TEXT(Call_Center[[#This Row],[Date of Call]],"DDDD")</f>
        <v>Wednesday</v>
      </c>
      <c r="J892" t="str" cm="1">
        <f t="array" ref="J892">_xlfn.IFS(Call_Center[[#This Row],[Duration]]&lt;=10,"Under 10 mins",Call_Center[[#This Row],[Duration]]&lt;=30,"10 to 30 min",Call_Center[[#This Row],[Duration]]&lt;=60,"30 to 60 min",Call_Center[[#This Row],[Duration]]&lt;=120,"1 to 2 hours",TRUE,"More than 2 hours")</f>
        <v>More than 2 hours</v>
      </c>
      <c r="K892">
        <f>ROUND(Call_Center[[#This Row],[Satisfaction Rating]],0)</f>
        <v>5</v>
      </c>
    </row>
    <row r="893" spans="1:11" x14ac:dyDescent="0.35">
      <c r="A893" s="21" t="s">
        <v>1876</v>
      </c>
      <c r="B893" s="18" t="s">
        <v>1038</v>
      </c>
      <c r="C893" s="18">
        <v>62</v>
      </c>
      <c r="D893" s="19" t="s">
        <v>972</v>
      </c>
      <c r="E893" s="20">
        <v>45231</v>
      </c>
      <c r="F893" s="18">
        <v>78</v>
      </c>
      <c r="G893" s="22">
        <v>3.5</v>
      </c>
      <c r="H893">
        <f>IF(MONTH(Call_Center[[#This Row],[Date of Call]])&lt;=6,2023,2024)</f>
        <v>2024</v>
      </c>
      <c r="I893" t="str">
        <f>TEXT(Call_Center[[#This Row],[Date of Call]],"DDDD")</f>
        <v>Wednesday</v>
      </c>
      <c r="J893" t="str" cm="1">
        <f t="array" ref="J893">_xlfn.IFS(Call_Center[[#This Row],[Duration]]&lt;=10,"Under 10 mins",Call_Center[[#This Row],[Duration]]&lt;=30,"10 to 30 min",Call_Center[[#This Row],[Duration]]&lt;=60,"30 to 60 min",Call_Center[[#This Row],[Duration]]&lt;=120,"1 to 2 hours",TRUE,"More than 2 hours")</f>
        <v>1 to 2 hours</v>
      </c>
      <c r="K893">
        <f>ROUND(Call_Center[[#This Row],[Satisfaction Rating]],0)</f>
        <v>4</v>
      </c>
    </row>
    <row r="894" spans="1:11" x14ac:dyDescent="0.35">
      <c r="A894" s="21" t="s">
        <v>1877</v>
      </c>
      <c r="B894" s="18" t="s">
        <v>974</v>
      </c>
      <c r="C894" s="18">
        <v>103</v>
      </c>
      <c r="D894" s="19" t="s">
        <v>982</v>
      </c>
      <c r="E894" s="20">
        <v>45232</v>
      </c>
      <c r="F894" s="18">
        <v>66</v>
      </c>
      <c r="G894" s="22">
        <v>4.4000000000000004</v>
      </c>
      <c r="H894">
        <f>IF(MONTH(Call_Center[[#This Row],[Date of Call]])&lt;=6,2023,2024)</f>
        <v>2024</v>
      </c>
      <c r="I894" t="str">
        <f>TEXT(Call_Center[[#This Row],[Date of Call]],"DDDD")</f>
        <v>Thursday</v>
      </c>
      <c r="J894" t="str" cm="1">
        <f t="array" ref="J894">_xlfn.IFS(Call_Center[[#This Row],[Duration]]&lt;=10,"Under 10 mins",Call_Center[[#This Row],[Duration]]&lt;=30,"10 to 30 min",Call_Center[[#This Row],[Duration]]&lt;=60,"30 to 60 min",Call_Center[[#This Row],[Duration]]&lt;=120,"1 to 2 hours",TRUE,"More than 2 hours")</f>
        <v>1 to 2 hours</v>
      </c>
      <c r="K894">
        <f>ROUND(Call_Center[[#This Row],[Satisfaction Rating]],0)</f>
        <v>4</v>
      </c>
    </row>
    <row r="895" spans="1:11" x14ac:dyDescent="0.35">
      <c r="A895" s="21" t="s">
        <v>1878</v>
      </c>
      <c r="B895" s="18" t="s">
        <v>1018</v>
      </c>
      <c r="C895" s="18">
        <v>56</v>
      </c>
      <c r="D895" s="19" t="s">
        <v>986</v>
      </c>
      <c r="E895" s="20">
        <v>45233</v>
      </c>
      <c r="F895" s="18">
        <v>160</v>
      </c>
      <c r="G895" s="22">
        <v>3.8</v>
      </c>
      <c r="H895">
        <f>IF(MONTH(Call_Center[[#This Row],[Date of Call]])&lt;=6,2023,2024)</f>
        <v>2024</v>
      </c>
      <c r="I895" t="str">
        <f>TEXT(Call_Center[[#This Row],[Date of Call]],"DDDD")</f>
        <v>Friday</v>
      </c>
      <c r="J895" t="str" cm="1">
        <f t="array" ref="J895">_xlfn.IFS(Call_Center[[#This Row],[Duration]]&lt;=10,"Under 10 mins",Call_Center[[#This Row],[Duration]]&lt;=30,"10 to 30 min",Call_Center[[#This Row],[Duration]]&lt;=60,"30 to 60 min",Call_Center[[#This Row],[Duration]]&lt;=120,"1 to 2 hours",TRUE,"More than 2 hours")</f>
        <v>30 to 60 min</v>
      </c>
      <c r="K895">
        <f>ROUND(Call_Center[[#This Row],[Satisfaction Rating]],0)</f>
        <v>4</v>
      </c>
    </row>
    <row r="896" spans="1:11" x14ac:dyDescent="0.35">
      <c r="A896" s="21" t="s">
        <v>1879</v>
      </c>
      <c r="B896" s="18" t="s">
        <v>1008</v>
      </c>
      <c r="C896" s="18">
        <v>114</v>
      </c>
      <c r="D896" s="19" t="s">
        <v>967</v>
      </c>
      <c r="E896" s="20">
        <v>45234</v>
      </c>
      <c r="F896" s="18">
        <v>144</v>
      </c>
      <c r="G896" s="22">
        <v>3.8</v>
      </c>
      <c r="H896">
        <f>IF(MONTH(Call_Center[[#This Row],[Date of Call]])&lt;=6,2023,2024)</f>
        <v>2024</v>
      </c>
      <c r="I896" t="str">
        <f>TEXT(Call_Center[[#This Row],[Date of Call]],"DDDD")</f>
        <v>Saturday</v>
      </c>
      <c r="J896" t="str" cm="1">
        <f t="array" ref="J896">_xlfn.IFS(Call_Center[[#This Row],[Duration]]&lt;=10,"Under 10 mins",Call_Center[[#This Row],[Duration]]&lt;=30,"10 to 30 min",Call_Center[[#This Row],[Duration]]&lt;=60,"30 to 60 min",Call_Center[[#This Row],[Duration]]&lt;=120,"1 to 2 hours",TRUE,"More than 2 hours")</f>
        <v>1 to 2 hours</v>
      </c>
      <c r="K896">
        <f>ROUND(Call_Center[[#This Row],[Satisfaction Rating]],0)</f>
        <v>4</v>
      </c>
    </row>
    <row r="897" spans="1:11" x14ac:dyDescent="0.35">
      <c r="A897" s="21" t="s">
        <v>1880</v>
      </c>
      <c r="B897" s="18" t="s">
        <v>1018</v>
      </c>
      <c r="C897" s="18">
        <v>112</v>
      </c>
      <c r="D897" s="19" t="s">
        <v>977</v>
      </c>
      <c r="E897" s="20">
        <v>45234</v>
      </c>
      <c r="F897" s="18">
        <v>200</v>
      </c>
      <c r="G897" s="22">
        <v>4.5999999999999996</v>
      </c>
      <c r="H897">
        <f>IF(MONTH(Call_Center[[#This Row],[Date of Call]])&lt;=6,2023,2024)</f>
        <v>2024</v>
      </c>
      <c r="I897" t="str">
        <f>TEXT(Call_Center[[#This Row],[Date of Call]],"DDDD")</f>
        <v>Saturday</v>
      </c>
      <c r="J897" t="str" cm="1">
        <f t="array" ref="J897">_xlfn.IFS(Call_Center[[#This Row],[Duration]]&lt;=10,"Under 10 mins",Call_Center[[#This Row],[Duration]]&lt;=30,"10 to 30 min",Call_Center[[#This Row],[Duration]]&lt;=60,"30 to 60 min",Call_Center[[#This Row],[Duration]]&lt;=120,"1 to 2 hours",TRUE,"More than 2 hours")</f>
        <v>1 to 2 hours</v>
      </c>
      <c r="K897">
        <f>ROUND(Call_Center[[#This Row],[Satisfaction Rating]],0)</f>
        <v>5</v>
      </c>
    </row>
    <row r="898" spans="1:11" x14ac:dyDescent="0.35">
      <c r="A898" s="21" t="s">
        <v>1881</v>
      </c>
      <c r="B898" s="18" t="s">
        <v>980</v>
      </c>
      <c r="C898" s="18">
        <v>52</v>
      </c>
      <c r="D898" s="19" t="s">
        <v>972</v>
      </c>
      <c r="E898" s="20">
        <v>45236</v>
      </c>
      <c r="F898" s="18">
        <v>220</v>
      </c>
      <c r="G898" s="22">
        <v>5</v>
      </c>
      <c r="H898">
        <f>IF(MONTH(Call_Center[[#This Row],[Date of Call]])&lt;=6,2023,2024)</f>
        <v>2024</v>
      </c>
      <c r="I898" t="str">
        <f>TEXT(Call_Center[[#This Row],[Date of Call]],"DDDD")</f>
        <v>Monday</v>
      </c>
      <c r="J898" t="str" cm="1">
        <f t="array" ref="J898">_xlfn.IFS(Call_Center[[#This Row],[Duration]]&lt;=10,"Under 10 mins",Call_Center[[#This Row],[Duration]]&lt;=30,"10 to 30 min",Call_Center[[#This Row],[Duration]]&lt;=60,"30 to 60 min",Call_Center[[#This Row],[Duration]]&lt;=120,"1 to 2 hours",TRUE,"More than 2 hours")</f>
        <v>30 to 60 min</v>
      </c>
      <c r="K898">
        <f>ROUND(Call_Center[[#This Row],[Satisfaction Rating]],0)</f>
        <v>5</v>
      </c>
    </row>
    <row r="899" spans="1:11" x14ac:dyDescent="0.35">
      <c r="A899" s="21" t="s">
        <v>1882</v>
      </c>
      <c r="B899" s="18" t="s">
        <v>974</v>
      </c>
      <c r="C899" s="18">
        <v>105</v>
      </c>
      <c r="D899" s="19" t="s">
        <v>982</v>
      </c>
      <c r="E899" s="20">
        <v>45237</v>
      </c>
      <c r="F899" s="18">
        <v>112</v>
      </c>
      <c r="G899" s="22">
        <v>3.2</v>
      </c>
      <c r="H899">
        <f>IF(MONTH(Call_Center[[#This Row],[Date of Call]])&lt;=6,2023,2024)</f>
        <v>2024</v>
      </c>
      <c r="I899" t="str">
        <f>TEXT(Call_Center[[#This Row],[Date of Call]],"DDDD")</f>
        <v>Tuesday</v>
      </c>
      <c r="J899" t="str" cm="1">
        <f t="array" ref="J899">_xlfn.IFS(Call_Center[[#This Row],[Duration]]&lt;=10,"Under 10 mins",Call_Center[[#This Row],[Duration]]&lt;=30,"10 to 30 min",Call_Center[[#This Row],[Duration]]&lt;=60,"30 to 60 min",Call_Center[[#This Row],[Duration]]&lt;=120,"1 to 2 hours",TRUE,"More than 2 hours")</f>
        <v>1 to 2 hours</v>
      </c>
      <c r="K899">
        <f>ROUND(Call_Center[[#This Row],[Satisfaction Rating]],0)</f>
        <v>3</v>
      </c>
    </row>
    <row r="900" spans="1:11" x14ac:dyDescent="0.35">
      <c r="A900" s="21" t="s">
        <v>1883</v>
      </c>
      <c r="B900" s="18" t="s">
        <v>971</v>
      </c>
      <c r="C900" s="18">
        <v>91</v>
      </c>
      <c r="D900" s="19" t="s">
        <v>986</v>
      </c>
      <c r="E900" s="20">
        <v>45237</v>
      </c>
      <c r="F900" s="18">
        <v>110</v>
      </c>
      <c r="G900" s="22">
        <v>3.7</v>
      </c>
      <c r="H900">
        <f>IF(MONTH(Call_Center[[#This Row],[Date of Call]])&lt;=6,2023,2024)</f>
        <v>2024</v>
      </c>
      <c r="I900" t="str">
        <f>TEXT(Call_Center[[#This Row],[Date of Call]],"DDDD")</f>
        <v>Tuesday</v>
      </c>
      <c r="J900" t="str" cm="1">
        <f t="array" ref="J900">_xlfn.IFS(Call_Center[[#This Row],[Duration]]&lt;=10,"Under 10 mins",Call_Center[[#This Row],[Duration]]&lt;=30,"10 to 30 min",Call_Center[[#This Row],[Duration]]&lt;=60,"30 to 60 min",Call_Center[[#This Row],[Duration]]&lt;=120,"1 to 2 hours",TRUE,"More than 2 hours")</f>
        <v>1 to 2 hours</v>
      </c>
      <c r="K900">
        <f>ROUND(Call_Center[[#This Row],[Satisfaction Rating]],0)</f>
        <v>4</v>
      </c>
    </row>
    <row r="901" spans="1:11" x14ac:dyDescent="0.35">
      <c r="A901" s="21" t="s">
        <v>1884</v>
      </c>
      <c r="B901" s="18" t="s">
        <v>1005</v>
      </c>
      <c r="C901" s="18">
        <v>74</v>
      </c>
      <c r="D901" s="19" t="s">
        <v>967</v>
      </c>
      <c r="E901" s="20">
        <v>45238</v>
      </c>
      <c r="F901" s="18">
        <v>160</v>
      </c>
      <c r="G901" s="22">
        <v>2.7</v>
      </c>
      <c r="H901">
        <f>IF(MONTH(Call_Center[[#This Row],[Date of Call]])&lt;=6,2023,2024)</f>
        <v>2024</v>
      </c>
      <c r="I901" t="str">
        <f>TEXT(Call_Center[[#This Row],[Date of Call]],"DDDD")</f>
        <v>Wednesday</v>
      </c>
      <c r="J901" t="str" cm="1">
        <f t="array" ref="J901">_xlfn.IFS(Call_Center[[#This Row],[Duration]]&lt;=10,"Under 10 mins",Call_Center[[#This Row],[Duration]]&lt;=30,"10 to 30 min",Call_Center[[#This Row],[Duration]]&lt;=60,"30 to 60 min",Call_Center[[#This Row],[Duration]]&lt;=120,"1 to 2 hours",TRUE,"More than 2 hours")</f>
        <v>1 to 2 hours</v>
      </c>
      <c r="K901">
        <f>ROUND(Call_Center[[#This Row],[Satisfaction Rating]],0)</f>
        <v>3</v>
      </c>
    </row>
    <row r="902" spans="1:11" x14ac:dyDescent="0.35">
      <c r="A902" s="21" t="s">
        <v>1885</v>
      </c>
      <c r="B902" s="18" t="s">
        <v>1005</v>
      </c>
      <c r="C902" s="18">
        <v>30</v>
      </c>
      <c r="D902" s="19" t="s">
        <v>986</v>
      </c>
      <c r="E902" s="20">
        <v>45238</v>
      </c>
      <c r="F902" s="18">
        <v>84</v>
      </c>
      <c r="G902" s="22">
        <v>4</v>
      </c>
      <c r="H902">
        <f>IF(MONTH(Call_Center[[#This Row],[Date of Call]])&lt;=6,2023,2024)</f>
        <v>2024</v>
      </c>
      <c r="I902" t="str">
        <f>TEXT(Call_Center[[#This Row],[Date of Call]],"DDDD")</f>
        <v>Wednesday</v>
      </c>
      <c r="J902" t="str" cm="1">
        <f t="array" ref="J902">_xlfn.IFS(Call_Center[[#This Row],[Duration]]&lt;=10,"Under 10 mins",Call_Center[[#This Row],[Duration]]&lt;=30,"10 to 30 min",Call_Center[[#This Row],[Duration]]&lt;=60,"30 to 60 min",Call_Center[[#This Row],[Duration]]&lt;=120,"1 to 2 hours",TRUE,"More than 2 hours")</f>
        <v>10 to 30 min</v>
      </c>
      <c r="K902">
        <f>ROUND(Call_Center[[#This Row],[Satisfaction Rating]],0)</f>
        <v>4</v>
      </c>
    </row>
    <row r="903" spans="1:11" x14ac:dyDescent="0.35">
      <c r="A903" s="21" t="s">
        <v>1886</v>
      </c>
      <c r="B903" s="18" t="s">
        <v>971</v>
      </c>
      <c r="C903" s="18">
        <v>56</v>
      </c>
      <c r="D903" s="19" t="s">
        <v>972</v>
      </c>
      <c r="E903" s="20">
        <v>45238</v>
      </c>
      <c r="F903" s="18">
        <v>124</v>
      </c>
      <c r="G903" s="22">
        <v>2.6</v>
      </c>
      <c r="H903">
        <f>IF(MONTH(Call_Center[[#This Row],[Date of Call]])&lt;=6,2023,2024)</f>
        <v>2024</v>
      </c>
      <c r="I903" t="str">
        <f>TEXT(Call_Center[[#This Row],[Date of Call]],"DDDD")</f>
        <v>Wednesday</v>
      </c>
      <c r="J903" t="str" cm="1">
        <f t="array" ref="J903">_xlfn.IFS(Call_Center[[#This Row],[Duration]]&lt;=10,"Under 10 mins",Call_Center[[#This Row],[Duration]]&lt;=30,"10 to 30 min",Call_Center[[#This Row],[Duration]]&lt;=60,"30 to 60 min",Call_Center[[#This Row],[Duration]]&lt;=120,"1 to 2 hours",TRUE,"More than 2 hours")</f>
        <v>30 to 60 min</v>
      </c>
      <c r="K903">
        <f>ROUND(Call_Center[[#This Row],[Satisfaction Rating]],0)</f>
        <v>3</v>
      </c>
    </row>
    <row r="904" spans="1:11" x14ac:dyDescent="0.35">
      <c r="A904" s="21" t="s">
        <v>1887</v>
      </c>
      <c r="B904" s="18" t="s">
        <v>1005</v>
      </c>
      <c r="C904" s="18">
        <v>151</v>
      </c>
      <c r="D904" s="19" t="s">
        <v>977</v>
      </c>
      <c r="E904" s="20">
        <v>45238</v>
      </c>
      <c r="F904" s="18">
        <v>84</v>
      </c>
      <c r="G904" s="22">
        <v>4.5999999999999996</v>
      </c>
      <c r="H904">
        <f>IF(MONTH(Call_Center[[#This Row],[Date of Call]])&lt;=6,2023,2024)</f>
        <v>2024</v>
      </c>
      <c r="I904" t="str">
        <f>TEXT(Call_Center[[#This Row],[Date of Call]],"DDDD")</f>
        <v>Wednesday</v>
      </c>
      <c r="J904" t="str" cm="1">
        <f t="array" ref="J904">_xlfn.IFS(Call_Center[[#This Row],[Duration]]&lt;=10,"Under 10 mins",Call_Center[[#This Row],[Duration]]&lt;=30,"10 to 30 min",Call_Center[[#This Row],[Duration]]&lt;=60,"30 to 60 min",Call_Center[[#This Row],[Duration]]&lt;=120,"1 to 2 hours",TRUE,"More than 2 hours")</f>
        <v>More than 2 hours</v>
      </c>
      <c r="K904">
        <f>ROUND(Call_Center[[#This Row],[Satisfaction Rating]],0)</f>
        <v>5</v>
      </c>
    </row>
    <row r="905" spans="1:11" x14ac:dyDescent="0.35">
      <c r="A905" s="21" t="s">
        <v>1888</v>
      </c>
      <c r="B905" s="18" t="s">
        <v>969</v>
      </c>
      <c r="C905" s="18">
        <v>108</v>
      </c>
      <c r="D905" s="19" t="s">
        <v>982</v>
      </c>
      <c r="E905" s="20">
        <v>45239</v>
      </c>
      <c r="F905" s="18">
        <v>130</v>
      </c>
      <c r="G905" s="22">
        <v>2.7</v>
      </c>
      <c r="H905">
        <f>IF(MONTH(Call_Center[[#This Row],[Date of Call]])&lt;=6,2023,2024)</f>
        <v>2024</v>
      </c>
      <c r="I905" t="str">
        <f>TEXT(Call_Center[[#This Row],[Date of Call]],"DDDD")</f>
        <v>Thursday</v>
      </c>
      <c r="J905" t="str" cm="1">
        <f t="array" ref="J905">_xlfn.IFS(Call_Center[[#This Row],[Duration]]&lt;=10,"Under 10 mins",Call_Center[[#This Row],[Duration]]&lt;=30,"10 to 30 min",Call_Center[[#This Row],[Duration]]&lt;=60,"30 to 60 min",Call_Center[[#This Row],[Duration]]&lt;=120,"1 to 2 hours",TRUE,"More than 2 hours")</f>
        <v>1 to 2 hours</v>
      </c>
      <c r="K905">
        <f>ROUND(Call_Center[[#This Row],[Satisfaction Rating]],0)</f>
        <v>3</v>
      </c>
    </row>
    <row r="906" spans="1:11" x14ac:dyDescent="0.35">
      <c r="A906" s="21" t="s">
        <v>1889</v>
      </c>
      <c r="B906" s="18" t="s">
        <v>1008</v>
      </c>
      <c r="C906" s="18">
        <v>124</v>
      </c>
      <c r="D906" s="19" t="s">
        <v>967</v>
      </c>
      <c r="E906" s="20">
        <v>45239</v>
      </c>
      <c r="F906" s="18">
        <v>215</v>
      </c>
      <c r="G906" s="22">
        <v>3.5</v>
      </c>
      <c r="H906">
        <f>IF(MONTH(Call_Center[[#This Row],[Date of Call]])&lt;=6,2023,2024)</f>
        <v>2024</v>
      </c>
      <c r="I906" t="str">
        <f>TEXT(Call_Center[[#This Row],[Date of Call]],"DDDD")</f>
        <v>Thursday</v>
      </c>
      <c r="J906" t="str" cm="1">
        <f t="array" ref="J906">_xlfn.IFS(Call_Center[[#This Row],[Duration]]&lt;=10,"Under 10 mins",Call_Center[[#This Row],[Duration]]&lt;=30,"10 to 30 min",Call_Center[[#This Row],[Duration]]&lt;=60,"30 to 60 min",Call_Center[[#This Row],[Duration]]&lt;=120,"1 to 2 hours",TRUE,"More than 2 hours")</f>
        <v>More than 2 hours</v>
      </c>
      <c r="K906">
        <f>ROUND(Call_Center[[#This Row],[Satisfaction Rating]],0)</f>
        <v>4</v>
      </c>
    </row>
    <row r="907" spans="1:11" x14ac:dyDescent="0.35">
      <c r="A907" s="21" t="s">
        <v>1890</v>
      </c>
      <c r="B907" s="18" t="s">
        <v>974</v>
      </c>
      <c r="C907" s="18">
        <v>110</v>
      </c>
      <c r="D907" s="19" t="s">
        <v>972</v>
      </c>
      <c r="E907" s="20">
        <v>45240</v>
      </c>
      <c r="F907" s="18">
        <v>132</v>
      </c>
      <c r="G907" s="22">
        <v>3.6</v>
      </c>
      <c r="H907">
        <f>IF(MONTH(Call_Center[[#This Row],[Date of Call]])&lt;=6,2023,2024)</f>
        <v>2024</v>
      </c>
      <c r="I907" t="str">
        <f>TEXT(Call_Center[[#This Row],[Date of Call]],"DDDD")</f>
        <v>Friday</v>
      </c>
      <c r="J907" t="str" cm="1">
        <f t="array" ref="J907">_xlfn.IFS(Call_Center[[#This Row],[Duration]]&lt;=10,"Under 10 mins",Call_Center[[#This Row],[Duration]]&lt;=30,"10 to 30 min",Call_Center[[#This Row],[Duration]]&lt;=60,"30 to 60 min",Call_Center[[#This Row],[Duration]]&lt;=120,"1 to 2 hours",TRUE,"More than 2 hours")</f>
        <v>1 to 2 hours</v>
      </c>
      <c r="K907">
        <f>ROUND(Call_Center[[#This Row],[Satisfaction Rating]],0)</f>
        <v>4</v>
      </c>
    </row>
    <row r="908" spans="1:11" x14ac:dyDescent="0.35">
      <c r="A908" s="21" t="s">
        <v>1891</v>
      </c>
      <c r="B908" s="18" t="s">
        <v>985</v>
      </c>
      <c r="C908" s="18">
        <v>89</v>
      </c>
      <c r="D908" s="19" t="s">
        <v>982</v>
      </c>
      <c r="E908" s="20">
        <v>45240</v>
      </c>
      <c r="F908" s="18">
        <v>88</v>
      </c>
      <c r="G908" s="22">
        <v>4.9000000000000004</v>
      </c>
      <c r="H908">
        <f>IF(MONTH(Call_Center[[#This Row],[Date of Call]])&lt;=6,2023,2024)</f>
        <v>2024</v>
      </c>
      <c r="I908" t="str">
        <f>TEXT(Call_Center[[#This Row],[Date of Call]],"DDDD")</f>
        <v>Friday</v>
      </c>
      <c r="J908" t="str" cm="1">
        <f t="array" ref="J908">_xlfn.IFS(Call_Center[[#This Row],[Duration]]&lt;=10,"Under 10 mins",Call_Center[[#This Row],[Duration]]&lt;=30,"10 to 30 min",Call_Center[[#This Row],[Duration]]&lt;=60,"30 to 60 min",Call_Center[[#This Row],[Duration]]&lt;=120,"1 to 2 hours",TRUE,"More than 2 hours")</f>
        <v>1 to 2 hours</v>
      </c>
      <c r="K908">
        <f>ROUND(Call_Center[[#This Row],[Satisfaction Rating]],0)</f>
        <v>5</v>
      </c>
    </row>
    <row r="909" spans="1:11" x14ac:dyDescent="0.35">
      <c r="A909" s="21" t="s">
        <v>1892</v>
      </c>
      <c r="B909" s="18" t="s">
        <v>966</v>
      </c>
      <c r="C909" s="18">
        <v>95</v>
      </c>
      <c r="D909" s="19" t="s">
        <v>972</v>
      </c>
      <c r="E909" s="20">
        <v>45240</v>
      </c>
      <c r="F909" s="18">
        <v>140</v>
      </c>
      <c r="G909" s="22">
        <v>3.9</v>
      </c>
      <c r="H909">
        <f>IF(MONTH(Call_Center[[#This Row],[Date of Call]])&lt;=6,2023,2024)</f>
        <v>2024</v>
      </c>
      <c r="I909" t="str">
        <f>TEXT(Call_Center[[#This Row],[Date of Call]],"DDDD")</f>
        <v>Friday</v>
      </c>
      <c r="J909" t="str" cm="1">
        <f t="array" ref="J909">_xlfn.IFS(Call_Center[[#This Row],[Duration]]&lt;=10,"Under 10 mins",Call_Center[[#This Row],[Duration]]&lt;=30,"10 to 30 min",Call_Center[[#This Row],[Duration]]&lt;=60,"30 to 60 min",Call_Center[[#This Row],[Duration]]&lt;=120,"1 to 2 hours",TRUE,"More than 2 hours")</f>
        <v>1 to 2 hours</v>
      </c>
      <c r="K909">
        <f>ROUND(Call_Center[[#This Row],[Satisfaction Rating]],0)</f>
        <v>4</v>
      </c>
    </row>
    <row r="910" spans="1:11" x14ac:dyDescent="0.35">
      <c r="A910" s="21" t="s">
        <v>1893</v>
      </c>
      <c r="B910" s="18" t="s">
        <v>1005</v>
      </c>
      <c r="C910" s="18">
        <v>84</v>
      </c>
      <c r="D910" s="19" t="s">
        <v>982</v>
      </c>
      <c r="E910" s="20">
        <v>45241</v>
      </c>
      <c r="F910" s="18">
        <v>66</v>
      </c>
      <c r="G910" s="22">
        <v>4.7</v>
      </c>
      <c r="H910">
        <f>IF(MONTH(Call_Center[[#This Row],[Date of Call]])&lt;=6,2023,2024)</f>
        <v>2024</v>
      </c>
      <c r="I910" t="str">
        <f>TEXT(Call_Center[[#This Row],[Date of Call]],"DDDD")</f>
        <v>Saturday</v>
      </c>
      <c r="J910" t="str" cm="1">
        <f t="array" ref="J910">_xlfn.IFS(Call_Center[[#This Row],[Duration]]&lt;=10,"Under 10 mins",Call_Center[[#This Row],[Duration]]&lt;=30,"10 to 30 min",Call_Center[[#This Row],[Duration]]&lt;=60,"30 to 60 min",Call_Center[[#This Row],[Duration]]&lt;=120,"1 to 2 hours",TRUE,"More than 2 hours")</f>
        <v>1 to 2 hours</v>
      </c>
      <c r="K910">
        <f>ROUND(Call_Center[[#This Row],[Satisfaction Rating]],0)</f>
        <v>5</v>
      </c>
    </row>
    <row r="911" spans="1:11" x14ac:dyDescent="0.35">
      <c r="A911" s="21" t="s">
        <v>1894</v>
      </c>
      <c r="B911" s="18" t="s">
        <v>991</v>
      </c>
      <c r="C911" s="18">
        <v>89</v>
      </c>
      <c r="D911" s="19" t="s">
        <v>967</v>
      </c>
      <c r="E911" s="20">
        <v>45241</v>
      </c>
      <c r="F911" s="18">
        <v>23</v>
      </c>
      <c r="G911" s="22">
        <v>4.5</v>
      </c>
      <c r="H911">
        <f>IF(MONTH(Call_Center[[#This Row],[Date of Call]])&lt;=6,2023,2024)</f>
        <v>2024</v>
      </c>
      <c r="I911" t="str">
        <f>TEXT(Call_Center[[#This Row],[Date of Call]],"DDDD")</f>
        <v>Saturday</v>
      </c>
      <c r="J911" t="str" cm="1">
        <f t="array" ref="J911">_xlfn.IFS(Call_Center[[#This Row],[Duration]]&lt;=10,"Under 10 mins",Call_Center[[#This Row],[Duration]]&lt;=30,"10 to 30 min",Call_Center[[#This Row],[Duration]]&lt;=60,"30 to 60 min",Call_Center[[#This Row],[Duration]]&lt;=120,"1 to 2 hours",TRUE,"More than 2 hours")</f>
        <v>1 to 2 hours</v>
      </c>
      <c r="K911">
        <f>ROUND(Call_Center[[#This Row],[Satisfaction Rating]],0)</f>
        <v>5</v>
      </c>
    </row>
    <row r="912" spans="1:11" x14ac:dyDescent="0.35">
      <c r="A912" s="21" t="s">
        <v>1895</v>
      </c>
      <c r="B912" s="18" t="s">
        <v>985</v>
      </c>
      <c r="C912" s="18">
        <v>146</v>
      </c>
      <c r="D912" s="19" t="s">
        <v>967</v>
      </c>
      <c r="E912" s="20">
        <v>45242</v>
      </c>
      <c r="F912" s="18">
        <v>220</v>
      </c>
      <c r="G912" s="22">
        <v>4.5</v>
      </c>
      <c r="H912">
        <f>IF(MONTH(Call_Center[[#This Row],[Date of Call]])&lt;=6,2023,2024)</f>
        <v>2024</v>
      </c>
      <c r="I912" t="str">
        <f>TEXT(Call_Center[[#This Row],[Date of Call]],"DDDD")</f>
        <v>Sunday</v>
      </c>
      <c r="J912" t="str" cm="1">
        <f t="array" ref="J912">_xlfn.IFS(Call_Center[[#This Row],[Duration]]&lt;=10,"Under 10 mins",Call_Center[[#This Row],[Duration]]&lt;=30,"10 to 30 min",Call_Center[[#This Row],[Duration]]&lt;=60,"30 to 60 min",Call_Center[[#This Row],[Duration]]&lt;=120,"1 to 2 hours",TRUE,"More than 2 hours")</f>
        <v>More than 2 hours</v>
      </c>
      <c r="K912">
        <f>ROUND(Call_Center[[#This Row],[Satisfaction Rating]],0)</f>
        <v>5</v>
      </c>
    </row>
    <row r="913" spans="1:11" x14ac:dyDescent="0.35">
      <c r="A913" s="21" t="s">
        <v>1896</v>
      </c>
      <c r="B913" s="18" t="s">
        <v>989</v>
      </c>
      <c r="C913" s="18">
        <v>62</v>
      </c>
      <c r="D913" s="19" t="s">
        <v>986</v>
      </c>
      <c r="E913" s="20">
        <v>45243</v>
      </c>
      <c r="F913" s="18">
        <v>175</v>
      </c>
      <c r="G913" s="22">
        <v>4.4000000000000004</v>
      </c>
      <c r="H913">
        <f>IF(MONTH(Call_Center[[#This Row],[Date of Call]])&lt;=6,2023,2024)</f>
        <v>2024</v>
      </c>
      <c r="I913" t="str">
        <f>TEXT(Call_Center[[#This Row],[Date of Call]],"DDDD")</f>
        <v>Monday</v>
      </c>
      <c r="J913" t="str" cm="1">
        <f t="array" ref="J913">_xlfn.IFS(Call_Center[[#This Row],[Duration]]&lt;=10,"Under 10 mins",Call_Center[[#This Row],[Duration]]&lt;=30,"10 to 30 min",Call_Center[[#This Row],[Duration]]&lt;=60,"30 to 60 min",Call_Center[[#This Row],[Duration]]&lt;=120,"1 to 2 hours",TRUE,"More than 2 hours")</f>
        <v>1 to 2 hours</v>
      </c>
      <c r="K913">
        <f>ROUND(Call_Center[[#This Row],[Satisfaction Rating]],0)</f>
        <v>4</v>
      </c>
    </row>
    <row r="914" spans="1:11" x14ac:dyDescent="0.35">
      <c r="A914" s="21" t="s">
        <v>1897</v>
      </c>
      <c r="B914" s="18" t="s">
        <v>1018</v>
      </c>
      <c r="C914" s="18">
        <v>82</v>
      </c>
      <c r="D914" s="19" t="s">
        <v>967</v>
      </c>
      <c r="E914" s="20">
        <v>45243</v>
      </c>
      <c r="F914" s="18">
        <v>172</v>
      </c>
      <c r="G914" s="22">
        <v>4.0999999999999996</v>
      </c>
      <c r="H914">
        <f>IF(MONTH(Call_Center[[#This Row],[Date of Call]])&lt;=6,2023,2024)</f>
        <v>2024</v>
      </c>
      <c r="I914" t="str">
        <f>TEXT(Call_Center[[#This Row],[Date of Call]],"DDDD")</f>
        <v>Monday</v>
      </c>
      <c r="J914" t="str" cm="1">
        <f t="array" ref="J914">_xlfn.IFS(Call_Center[[#This Row],[Duration]]&lt;=10,"Under 10 mins",Call_Center[[#This Row],[Duration]]&lt;=30,"10 to 30 min",Call_Center[[#This Row],[Duration]]&lt;=60,"30 to 60 min",Call_Center[[#This Row],[Duration]]&lt;=120,"1 to 2 hours",TRUE,"More than 2 hours")</f>
        <v>1 to 2 hours</v>
      </c>
      <c r="K914">
        <f>ROUND(Call_Center[[#This Row],[Satisfaction Rating]],0)</f>
        <v>4</v>
      </c>
    </row>
    <row r="915" spans="1:11" x14ac:dyDescent="0.35">
      <c r="A915" s="21" t="s">
        <v>1898</v>
      </c>
      <c r="B915" s="18" t="s">
        <v>997</v>
      </c>
      <c r="C915" s="18">
        <v>91</v>
      </c>
      <c r="D915" s="19" t="s">
        <v>977</v>
      </c>
      <c r="E915" s="20">
        <v>45243</v>
      </c>
      <c r="F915" s="18">
        <v>108</v>
      </c>
      <c r="G915" s="22">
        <v>3.8</v>
      </c>
      <c r="H915">
        <f>IF(MONTH(Call_Center[[#This Row],[Date of Call]])&lt;=6,2023,2024)</f>
        <v>2024</v>
      </c>
      <c r="I915" t="str">
        <f>TEXT(Call_Center[[#This Row],[Date of Call]],"DDDD")</f>
        <v>Monday</v>
      </c>
      <c r="J915" t="str" cm="1">
        <f t="array" ref="J915">_xlfn.IFS(Call_Center[[#This Row],[Duration]]&lt;=10,"Under 10 mins",Call_Center[[#This Row],[Duration]]&lt;=30,"10 to 30 min",Call_Center[[#This Row],[Duration]]&lt;=60,"30 to 60 min",Call_Center[[#This Row],[Duration]]&lt;=120,"1 to 2 hours",TRUE,"More than 2 hours")</f>
        <v>1 to 2 hours</v>
      </c>
      <c r="K915">
        <f>ROUND(Call_Center[[#This Row],[Satisfaction Rating]],0)</f>
        <v>4</v>
      </c>
    </row>
    <row r="916" spans="1:11" x14ac:dyDescent="0.35">
      <c r="A916" s="21" t="s">
        <v>1899</v>
      </c>
      <c r="B916" s="18" t="s">
        <v>991</v>
      </c>
      <c r="C916" s="18">
        <v>39</v>
      </c>
      <c r="D916" s="19" t="s">
        <v>967</v>
      </c>
      <c r="E916" s="20">
        <v>45244</v>
      </c>
      <c r="F916" s="18">
        <v>43</v>
      </c>
      <c r="G916" s="22">
        <v>4.2</v>
      </c>
      <c r="H916">
        <f>IF(MONTH(Call_Center[[#This Row],[Date of Call]])&lt;=6,2023,2024)</f>
        <v>2024</v>
      </c>
      <c r="I916" t="str">
        <f>TEXT(Call_Center[[#This Row],[Date of Call]],"DDDD")</f>
        <v>Tuesday</v>
      </c>
      <c r="J916" t="str" cm="1">
        <f t="array" ref="J916">_xlfn.IFS(Call_Center[[#This Row],[Duration]]&lt;=10,"Under 10 mins",Call_Center[[#This Row],[Duration]]&lt;=30,"10 to 30 min",Call_Center[[#This Row],[Duration]]&lt;=60,"30 to 60 min",Call_Center[[#This Row],[Duration]]&lt;=120,"1 to 2 hours",TRUE,"More than 2 hours")</f>
        <v>30 to 60 min</v>
      </c>
      <c r="K916">
        <f>ROUND(Call_Center[[#This Row],[Satisfaction Rating]],0)</f>
        <v>4</v>
      </c>
    </row>
    <row r="917" spans="1:11" x14ac:dyDescent="0.35">
      <c r="A917" s="21" t="s">
        <v>1900</v>
      </c>
      <c r="B917" s="18" t="s">
        <v>985</v>
      </c>
      <c r="C917" s="18">
        <v>149</v>
      </c>
      <c r="D917" s="19" t="s">
        <v>972</v>
      </c>
      <c r="E917" s="20">
        <v>45244</v>
      </c>
      <c r="F917" s="18">
        <v>44</v>
      </c>
      <c r="G917" s="22">
        <v>2.2000000000000002</v>
      </c>
      <c r="H917">
        <f>IF(MONTH(Call_Center[[#This Row],[Date of Call]])&lt;=6,2023,2024)</f>
        <v>2024</v>
      </c>
      <c r="I917" t="str">
        <f>TEXT(Call_Center[[#This Row],[Date of Call]],"DDDD")</f>
        <v>Tuesday</v>
      </c>
      <c r="J917" t="str" cm="1">
        <f t="array" ref="J917">_xlfn.IFS(Call_Center[[#This Row],[Duration]]&lt;=10,"Under 10 mins",Call_Center[[#This Row],[Duration]]&lt;=30,"10 to 30 min",Call_Center[[#This Row],[Duration]]&lt;=60,"30 to 60 min",Call_Center[[#This Row],[Duration]]&lt;=120,"1 to 2 hours",TRUE,"More than 2 hours")</f>
        <v>More than 2 hours</v>
      </c>
      <c r="K917">
        <f>ROUND(Call_Center[[#This Row],[Satisfaction Rating]],0)</f>
        <v>2</v>
      </c>
    </row>
    <row r="918" spans="1:11" x14ac:dyDescent="0.35">
      <c r="A918" s="21" t="s">
        <v>1901</v>
      </c>
      <c r="B918" s="18" t="s">
        <v>1018</v>
      </c>
      <c r="C918" s="18">
        <v>138</v>
      </c>
      <c r="D918" s="19" t="s">
        <v>986</v>
      </c>
      <c r="E918" s="20">
        <v>45244</v>
      </c>
      <c r="F918" s="18">
        <v>105</v>
      </c>
      <c r="G918" s="22">
        <v>3.9</v>
      </c>
      <c r="H918">
        <f>IF(MONTH(Call_Center[[#This Row],[Date of Call]])&lt;=6,2023,2024)</f>
        <v>2024</v>
      </c>
      <c r="I918" t="str">
        <f>TEXT(Call_Center[[#This Row],[Date of Call]],"DDDD")</f>
        <v>Tuesday</v>
      </c>
      <c r="J918" t="str" cm="1">
        <f t="array" ref="J918">_xlfn.IFS(Call_Center[[#This Row],[Duration]]&lt;=10,"Under 10 mins",Call_Center[[#This Row],[Duration]]&lt;=30,"10 to 30 min",Call_Center[[#This Row],[Duration]]&lt;=60,"30 to 60 min",Call_Center[[#This Row],[Duration]]&lt;=120,"1 to 2 hours",TRUE,"More than 2 hours")</f>
        <v>More than 2 hours</v>
      </c>
      <c r="K918">
        <f>ROUND(Call_Center[[#This Row],[Satisfaction Rating]],0)</f>
        <v>4</v>
      </c>
    </row>
    <row r="919" spans="1:11" x14ac:dyDescent="0.35">
      <c r="A919" s="21" t="s">
        <v>1902</v>
      </c>
      <c r="B919" s="18" t="s">
        <v>989</v>
      </c>
      <c r="C919" s="18">
        <v>113</v>
      </c>
      <c r="D919" s="19" t="s">
        <v>972</v>
      </c>
      <c r="E919" s="20">
        <v>45245</v>
      </c>
      <c r="F919" s="18">
        <v>34</v>
      </c>
      <c r="G919" s="22">
        <v>3.9</v>
      </c>
      <c r="H919">
        <f>IF(MONTH(Call_Center[[#This Row],[Date of Call]])&lt;=6,2023,2024)</f>
        <v>2024</v>
      </c>
      <c r="I919" t="str">
        <f>TEXT(Call_Center[[#This Row],[Date of Call]],"DDDD")</f>
        <v>Wednesday</v>
      </c>
      <c r="J919" t="str" cm="1">
        <f t="array" ref="J919">_xlfn.IFS(Call_Center[[#This Row],[Duration]]&lt;=10,"Under 10 mins",Call_Center[[#This Row],[Duration]]&lt;=30,"10 to 30 min",Call_Center[[#This Row],[Duration]]&lt;=60,"30 to 60 min",Call_Center[[#This Row],[Duration]]&lt;=120,"1 to 2 hours",TRUE,"More than 2 hours")</f>
        <v>1 to 2 hours</v>
      </c>
      <c r="K919">
        <f>ROUND(Call_Center[[#This Row],[Satisfaction Rating]],0)</f>
        <v>4</v>
      </c>
    </row>
    <row r="920" spans="1:11" x14ac:dyDescent="0.35">
      <c r="A920" s="21" t="s">
        <v>1903</v>
      </c>
      <c r="B920" s="18" t="s">
        <v>976</v>
      </c>
      <c r="C920" s="18">
        <v>88</v>
      </c>
      <c r="D920" s="19" t="s">
        <v>967</v>
      </c>
      <c r="E920" s="20">
        <v>45245</v>
      </c>
      <c r="F920" s="18">
        <v>220</v>
      </c>
      <c r="G920" s="22">
        <v>4.0999999999999996</v>
      </c>
      <c r="H920">
        <f>IF(MONTH(Call_Center[[#This Row],[Date of Call]])&lt;=6,2023,2024)</f>
        <v>2024</v>
      </c>
      <c r="I920" t="str">
        <f>TEXT(Call_Center[[#This Row],[Date of Call]],"DDDD")</f>
        <v>Wednesday</v>
      </c>
      <c r="J920" t="str" cm="1">
        <f t="array" ref="J920">_xlfn.IFS(Call_Center[[#This Row],[Duration]]&lt;=10,"Under 10 mins",Call_Center[[#This Row],[Duration]]&lt;=30,"10 to 30 min",Call_Center[[#This Row],[Duration]]&lt;=60,"30 to 60 min",Call_Center[[#This Row],[Duration]]&lt;=120,"1 to 2 hours",TRUE,"More than 2 hours")</f>
        <v>1 to 2 hours</v>
      </c>
      <c r="K920">
        <f>ROUND(Call_Center[[#This Row],[Satisfaction Rating]],0)</f>
        <v>4</v>
      </c>
    </row>
    <row r="921" spans="1:11" x14ac:dyDescent="0.35">
      <c r="A921" s="21" t="s">
        <v>1904</v>
      </c>
      <c r="B921" s="18" t="s">
        <v>966</v>
      </c>
      <c r="C921" s="18">
        <v>64</v>
      </c>
      <c r="D921" s="19" t="s">
        <v>986</v>
      </c>
      <c r="E921" s="20">
        <v>45245</v>
      </c>
      <c r="F921" s="18">
        <v>225</v>
      </c>
      <c r="G921" s="22">
        <v>4.5999999999999996</v>
      </c>
      <c r="H921">
        <f>IF(MONTH(Call_Center[[#This Row],[Date of Call]])&lt;=6,2023,2024)</f>
        <v>2024</v>
      </c>
      <c r="I921" t="str">
        <f>TEXT(Call_Center[[#This Row],[Date of Call]],"DDDD")</f>
        <v>Wednesday</v>
      </c>
      <c r="J921" t="str" cm="1">
        <f t="array" ref="J921">_xlfn.IFS(Call_Center[[#This Row],[Duration]]&lt;=10,"Under 10 mins",Call_Center[[#This Row],[Duration]]&lt;=30,"10 to 30 min",Call_Center[[#This Row],[Duration]]&lt;=60,"30 to 60 min",Call_Center[[#This Row],[Duration]]&lt;=120,"1 to 2 hours",TRUE,"More than 2 hours")</f>
        <v>1 to 2 hours</v>
      </c>
      <c r="K921">
        <f>ROUND(Call_Center[[#This Row],[Satisfaction Rating]],0)</f>
        <v>5</v>
      </c>
    </row>
    <row r="922" spans="1:11" x14ac:dyDescent="0.35">
      <c r="A922" s="21" t="s">
        <v>1905</v>
      </c>
      <c r="B922" s="18" t="s">
        <v>971</v>
      </c>
      <c r="C922" s="18">
        <v>53</v>
      </c>
      <c r="D922" s="19" t="s">
        <v>986</v>
      </c>
      <c r="E922" s="20">
        <v>45246</v>
      </c>
      <c r="F922" s="18">
        <v>37</v>
      </c>
      <c r="G922" s="22">
        <v>4.0999999999999996</v>
      </c>
      <c r="H922">
        <f>IF(MONTH(Call_Center[[#This Row],[Date of Call]])&lt;=6,2023,2024)</f>
        <v>2024</v>
      </c>
      <c r="I922" t="str">
        <f>TEXT(Call_Center[[#This Row],[Date of Call]],"DDDD")</f>
        <v>Thursday</v>
      </c>
      <c r="J922" t="str" cm="1">
        <f t="array" ref="J922">_xlfn.IFS(Call_Center[[#This Row],[Duration]]&lt;=10,"Under 10 mins",Call_Center[[#This Row],[Duration]]&lt;=30,"10 to 30 min",Call_Center[[#This Row],[Duration]]&lt;=60,"30 to 60 min",Call_Center[[#This Row],[Duration]]&lt;=120,"1 to 2 hours",TRUE,"More than 2 hours")</f>
        <v>30 to 60 min</v>
      </c>
      <c r="K922">
        <f>ROUND(Call_Center[[#This Row],[Satisfaction Rating]],0)</f>
        <v>4</v>
      </c>
    </row>
    <row r="923" spans="1:11" x14ac:dyDescent="0.35">
      <c r="A923" s="21" t="s">
        <v>1906</v>
      </c>
      <c r="B923" s="18" t="s">
        <v>1008</v>
      </c>
      <c r="C923" s="18">
        <v>63</v>
      </c>
      <c r="D923" s="19" t="s">
        <v>972</v>
      </c>
      <c r="E923" s="20">
        <v>45246</v>
      </c>
      <c r="F923" s="18">
        <v>44</v>
      </c>
      <c r="G923" s="22">
        <v>5</v>
      </c>
      <c r="H923">
        <f>IF(MONTH(Call_Center[[#This Row],[Date of Call]])&lt;=6,2023,2024)</f>
        <v>2024</v>
      </c>
      <c r="I923" t="str">
        <f>TEXT(Call_Center[[#This Row],[Date of Call]],"DDDD")</f>
        <v>Thursday</v>
      </c>
      <c r="J923" t="str" cm="1">
        <f t="array" ref="J923">_xlfn.IFS(Call_Center[[#This Row],[Duration]]&lt;=10,"Under 10 mins",Call_Center[[#This Row],[Duration]]&lt;=30,"10 to 30 min",Call_Center[[#This Row],[Duration]]&lt;=60,"30 to 60 min",Call_Center[[#This Row],[Duration]]&lt;=120,"1 to 2 hours",TRUE,"More than 2 hours")</f>
        <v>1 to 2 hours</v>
      </c>
      <c r="K923">
        <f>ROUND(Call_Center[[#This Row],[Satisfaction Rating]],0)</f>
        <v>5</v>
      </c>
    </row>
    <row r="924" spans="1:11" x14ac:dyDescent="0.35">
      <c r="A924" s="21" t="s">
        <v>1907</v>
      </c>
      <c r="B924" s="18" t="s">
        <v>980</v>
      </c>
      <c r="C924" s="18">
        <v>54</v>
      </c>
      <c r="D924" s="19" t="s">
        <v>972</v>
      </c>
      <c r="E924" s="20">
        <v>45247</v>
      </c>
      <c r="F924" s="18">
        <v>35</v>
      </c>
      <c r="G924" s="22">
        <v>2.8</v>
      </c>
      <c r="H924">
        <f>IF(MONTH(Call_Center[[#This Row],[Date of Call]])&lt;=6,2023,2024)</f>
        <v>2024</v>
      </c>
      <c r="I924" t="str">
        <f>TEXT(Call_Center[[#This Row],[Date of Call]],"DDDD")</f>
        <v>Friday</v>
      </c>
      <c r="J924" t="str" cm="1">
        <f t="array" ref="J924">_xlfn.IFS(Call_Center[[#This Row],[Duration]]&lt;=10,"Under 10 mins",Call_Center[[#This Row],[Duration]]&lt;=30,"10 to 30 min",Call_Center[[#This Row],[Duration]]&lt;=60,"30 to 60 min",Call_Center[[#This Row],[Duration]]&lt;=120,"1 to 2 hours",TRUE,"More than 2 hours")</f>
        <v>30 to 60 min</v>
      </c>
      <c r="K924">
        <f>ROUND(Call_Center[[#This Row],[Satisfaction Rating]],0)</f>
        <v>3</v>
      </c>
    </row>
    <row r="925" spans="1:11" x14ac:dyDescent="0.35">
      <c r="A925" s="21" t="s">
        <v>1908</v>
      </c>
      <c r="B925" s="18" t="s">
        <v>1008</v>
      </c>
      <c r="C925" s="18">
        <v>54</v>
      </c>
      <c r="D925" s="19" t="s">
        <v>967</v>
      </c>
      <c r="E925" s="20">
        <v>45247</v>
      </c>
      <c r="F925" s="18">
        <v>145</v>
      </c>
      <c r="G925" s="22">
        <v>2.7</v>
      </c>
      <c r="H925">
        <f>IF(MONTH(Call_Center[[#This Row],[Date of Call]])&lt;=6,2023,2024)</f>
        <v>2024</v>
      </c>
      <c r="I925" t="str">
        <f>TEXT(Call_Center[[#This Row],[Date of Call]],"DDDD")</f>
        <v>Friday</v>
      </c>
      <c r="J925" t="str" cm="1">
        <f t="array" ref="J925">_xlfn.IFS(Call_Center[[#This Row],[Duration]]&lt;=10,"Under 10 mins",Call_Center[[#This Row],[Duration]]&lt;=30,"10 to 30 min",Call_Center[[#This Row],[Duration]]&lt;=60,"30 to 60 min",Call_Center[[#This Row],[Duration]]&lt;=120,"1 to 2 hours",TRUE,"More than 2 hours")</f>
        <v>30 to 60 min</v>
      </c>
      <c r="K925">
        <f>ROUND(Call_Center[[#This Row],[Satisfaction Rating]],0)</f>
        <v>3</v>
      </c>
    </row>
    <row r="926" spans="1:11" x14ac:dyDescent="0.35">
      <c r="A926" s="21" t="s">
        <v>1909</v>
      </c>
      <c r="B926" s="18" t="s">
        <v>985</v>
      </c>
      <c r="C926" s="18">
        <v>71</v>
      </c>
      <c r="D926" s="19" t="s">
        <v>986</v>
      </c>
      <c r="E926" s="20">
        <v>45247</v>
      </c>
      <c r="F926" s="18">
        <v>64</v>
      </c>
      <c r="G926" s="22">
        <v>3.9</v>
      </c>
      <c r="H926">
        <f>IF(MONTH(Call_Center[[#This Row],[Date of Call]])&lt;=6,2023,2024)</f>
        <v>2024</v>
      </c>
      <c r="I926" t="str">
        <f>TEXT(Call_Center[[#This Row],[Date of Call]],"DDDD")</f>
        <v>Friday</v>
      </c>
      <c r="J926" t="str" cm="1">
        <f t="array" ref="J926">_xlfn.IFS(Call_Center[[#This Row],[Duration]]&lt;=10,"Under 10 mins",Call_Center[[#This Row],[Duration]]&lt;=30,"10 to 30 min",Call_Center[[#This Row],[Duration]]&lt;=60,"30 to 60 min",Call_Center[[#This Row],[Duration]]&lt;=120,"1 to 2 hours",TRUE,"More than 2 hours")</f>
        <v>1 to 2 hours</v>
      </c>
      <c r="K926">
        <f>ROUND(Call_Center[[#This Row],[Satisfaction Rating]],0)</f>
        <v>4</v>
      </c>
    </row>
    <row r="927" spans="1:11" x14ac:dyDescent="0.35">
      <c r="A927" s="21" t="s">
        <v>1910</v>
      </c>
      <c r="B927" s="18" t="s">
        <v>1008</v>
      </c>
      <c r="C927" s="18">
        <v>93</v>
      </c>
      <c r="D927" s="19" t="s">
        <v>967</v>
      </c>
      <c r="E927" s="20">
        <v>45248</v>
      </c>
      <c r="F927" s="18">
        <v>185</v>
      </c>
      <c r="G927" s="22">
        <v>4.3</v>
      </c>
      <c r="H927">
        <f>IF(MONTH(Call_Center[[#This Row],[Date of Call]])&lt;=6,2023,2024)</f>
        <v>2024</v>
      </c>
      <c r="I927" t="str">
        <f>TEXT(Call_Center[[#This Row],[Date of Call]],"DDDD")</f>
        <v>Saturday</v>
      </c>
      <c r="J927" t="str" cm="1">
        <f t="array" ref="J927">_xlfn.IFS(Call_Center[[#This Row],[Duration]]&lt;=10,"Under 10 mins",Call_Center[[#This Row],[Duration]]&lt;=30,"10 to 30 min",Call_Center[[#This Row],[Duration]]&lt;=60,"30 to 60 min",Call_Center[[#This Row],[Duration]]&lt;=120,"1 to 2 hours",TRUE,"More than 2 hours")</f>
        <v>1 to 2 hours</v>
      </c>
      <c r="K927">
        <f>ROUND(Call_Center[[#This Row],[Satisfaction Rating]],0)</f>
        <v>4</v>
      </c>
    </row>
    <row r="928" spans="1:11" x14ac:dyDescent="0.35">
      <c r="A928" s="21" t="s">
        <v>1911</v>
      </c>
      <c r="B928" s="18" t="s">
        <v>974</v>
      </c>
      <c r="C928" s="18">
        <v>96</v>
      </c>
      <c r="D928" s="19" t="s">
        <v>972</v>
      </c>
      <c r="E928" s="20">
        <v>45248</v>
      </c>
      <c r="F928" s="18">
        <v>215</v>
      </c>
      <c r="G928" s="22">
        <v>2.5</v>
      </c>
      <c r="H928">
        <f>IF(MONTH(Call_Center[[#This Row],[Date of Call]])&lt;=6,2023,2024)</f>
        <v>2024</v>
      </c>
      <c r="I928" t="str">
        <f>TEXT(Call_Center[[#This Row],[Date of Call]],"DDDD")</f>
        <v>Saturday</v>
      </c>
      <c r="J928" t="str" cm="1">
        <f t="array" ref="J928">_xlfn.IFS(Call_Center[[#This Row],[Duration]]&lt;=10,"Under 10 mins",Call_Center[[#This Row],[Duration]]&lt;=30,"10 to 30 min",Call_Center[[#This Row],[Duration]]&lt;=60,"30 to 60 min",Call_Center[[#This Row],[Duration]]&lt;=120,"1 to 2 hours",TRUE,"More than 2 hours")</f>
        <v>1 to 2 hours</v>
      </c>
      <c r="K928">
        <f>ROUND(Call_Center[[#This Row],[Satisfaction Rating]],0)</f>
        <v>3</v>
      </c>
    </row>
    <row r="929" spans="1:11" x14ac:dyDescent="0.35">
      <c r="A929" s="21" t="s">
        <v>1912</v>
      </c>
      <c r="B929" s="18" t="s">
        <v>991</v>
      </c>
      <c r="C929" s="18">
        <v>31</v>
      </c>
      <c r="D929" s="19" t="s">
        <v>977</v>
      </c>
      <c r="E929" s="20">
        <v>45248</v>
      </c>
      <c r="F929" s="18">
        <v>88</v>
      </c>
      <c r="G929" s="22">
        <v>3.4</v>
      </c>
      <c r="H929">
        <f>IF(MONTH(Call_Center[[#This Row],[Date of Call]])&lt;=6,2023,2024)</f>
        <v>2024</v>
      </c>
      <c r="I929" t="str">
        <f>TEXT(Call_Center[[#This Row],[Date of Call]],"DDDD")</f>
        <v>Saturday</v>
      </c>
      <c r="J929" t="str" cm="1">
        <f t="array" ref="J929">_xlfn.IFS(Call_Center[[#This Row],[Duration]]&lt;=10,"Under 10 mins",Call_Center[[#This Row],[Duration]]&lt;=30,"10 to 30 min",Call_Center[[#This Row],[Duration]]&lt;=60,"30 to 60 min",Call_Center[[#This Row],[Duration]]&lt;=120,"1 to 2 hours",TRUE,"More than 2 hours")</f>
        <v>30 to 60 min</v>
      </c>
      <c r="K929">
        <f>ROUND(Call_Center[[#This Row],[Satisfaction Rating]],0)</f>
        <v>3</v>
      </c>
    </row>
    <row r="930" spans="1:11" x14ac:dyDescent="0.35">
      <c r="A930" s="21" t="s">
        <v>1913</v>
      </c>
      <c r="B930" s="18" t="s">
        <v>1008</v>
      </c>
      <c r="C930" s="18">
        <v>107</v>
      </c>
      <c r="D930" s="19" t="s">
        <v>986</v>
      </c>
      <c r="E930" s="20">
        <v>45248</v>
      </c>
      <c r="F930" s="18">
        <v>23</v>
      </c>
      <c r="G930" s="22">
        <v>3.4</v>
      </c>
      <c r="H930">
        <f>IF(MONTH(Call_Center[[#This Row],[Date of Call]])&lt;=6,2023,2024)</f>
        <v>2024</v>
      </c>
      <c r="I930" t="str">
        <f>TEXT(Call_Center[[#This Row],[Date of Call]],"DDDD")</f>
        <v>Saturday</v>
      </c>
      <c r="J930" t="str" cm="1">
        <f t="array" ref="J930">_xlfn.IFS(Call_Center[[#This Row],[Duration]]&lt;=10,"Under 10 mins",Call_Center[[#This Row],[Duration]]&lt;=30,"10 to 30 min",Call_Center[[#This Row],[Duration]]&lt;=60,"30 to 60 min",Call_Center[[#This Row],[Duration]]&lt;=120,"1 to 2 hours",TRUE,"More than 2 hours")</f>
        <v>1 to 2 hours</v>
      </c>
      <c r="K930">
        <f>ROUND(Call_Center[[#This Row],[Satisfaction Rating]],0)</f>
        <v>3</v>
      </c>
    </row>
    <row r="931" spans="1:11" x14ac:dyDescent="0.35">
      <c r="A931" s="21" t="s">
        <v>1914</v>
      </c>
      <c r="B931" s="18" t="s">
        <v>971</v>
      </c>
      <c r="C931" s="18">
        <v>50</v>
      </c>
      <c r="D931" s="19" t="s">
        <v>977</v>
      </c>
      <c r="E931" s="20">
        <v>45249</v>
      </c>
      <c r="F931" s="18">
        <v>180</v>
      </c>
      <c r="G931" s="22">
        <v>1.8</v>
      </c>
      <c r="H931">
        <f>IF(MONTH(Call_Center[[#This Row],[Date of Call]])&lt;=6,2023,2024)</f>
        <v>2024</v>
      </c>
      <c r="I931" t="str">
        <f>TEXT(Call_Center[[#This Row],[Date of Call]],"DDDD")</f>
        <v>Sunday</v>
      </c>
      <c r="J931" t="str" cm="1">
        <f t="array" ref="J931">_xlfn.IFS(Call_Center[[#This Row],[Duration]]&lt;=10,"Under 10 mins",Call_Center[[#This Row],[Duration]]&lt;=30,"10 to 30 min",Call_Center[[#This Row],[Duration]]&lt;=60,"30 to 60 min",Call_Center[[#This Row],[Duration]]&lt;=120,"1 to 2 hours",TRUE,"More than 2 hours")</f>
        <v>30 to 60 min</v>
      </c>
      <c r="K931">
        <f>ROUND(Call_Center[[#This Row],[Satisfaction Rating]],0)</f>
        <v>2</v>
      </c>
    </row>
    <row r="932" spans="1:11" x14ac:dyDescent="0.35">
      <c r="A932" s="21" t="s">
        <v>1915</v>
      </c>
      <c r="B932" s="18" t="s">
        <v>1018</v>
      </c>
      <c r="C932" s="18">
        <v>69</v>
      </c>
      <c r="D932" s="19" t="s">
        <v>986</v>
      </c>
      <c r="E932" s="20">
        <v>45250</v>
      </c>
      <c r="F932" s="18">
        <v>225</v>
      </c>
      <c r="G932" s="22">
        <v>3.7</v>
      </c>
      <c r="H932">
        <f>IF(MONTH(Call_Center[[#This Row],[Date of Call]])&lt;=6,2023,2024)</f>
        <v>2024</v>
      </c>
      <c r="I932" t="str">
        <f>TEXT(Call_Center[[#This Row],[Date of Call]],"DDDD")</f>
        <v>Monday</v>
      </c>
      <c r="J932" t="str" cm="1">
        <f t="array" ref="J932">_xlfn.IFS(Call_Center[[#This Row],[Duration]]&lt;=10,"Under 10 mins",Call_Center[[#This Row],[Duration]]&lt;=30,"10 to 30 min",Call_Center[[#This Row],[Duration]]&lt;=60,"30 to 60 min",Call_Center[[#This Row],[Duration]]&lt;=120,"1 to 2 hours",TRUE,"More than 2 hours")</f>
        <v>1 to 2 hours</v>
      </c>
      <c r="K932">
        <f>ROUND(Call_Center[[#This Row],[Satisfaction Rating]],0)</f>
        <v>4</v>
      </c>
    </row>
    <row r="933" spans="1:11" x14ac:dyDescent="0.35">
      <c r="A933" s="21" t="s">
        <v>1916</v>
      </c>
      <c r="B933" s="18" t="s">
        <v>976</v>
      </c>
      <c r="C933" s="18">
        <v>26</v>
      </c>
      <c r="D933" s="19" t="s">
        <v>972</v>
      </c>
      <c r="E933" s="20">
        <v>45251</v>
      </c>
      <c r="F933" s="18">
        <v>74</v>
      </c>
      <c r="G933" s="22">
        <v>4.0999999999999996</v>
      </c>
      <c r="H933">
        <f>IF(MONTH(Call_Center[[#This Row],[Date of Call]])&lt;=6,2023,2024)</f>
        <v>2024</v>
      </c>
      <c r="I933" t="str">
        <f>TEXT(Call_Center[[#This Row],[Date of Call]],"DDDD")</f>
        <v>Tuesday</v>
      </c>
      <c r="J933" t="str" cm="1">
        <f t="array" ref="J933">_xlfn.IFS(Call_Center[[#This Row],[Duration]]&lt;=10,"Under 10 mins",Call_Center[[#This Row],[Duration]]&lt;=30,"10 to 30 min",Call_Center[[#This Row],[Duration]]&lt;=60,"30 to 60 min",Call_Center[[#This Row],[Duration]]&lt;=120,"1 to 2 hours",TRUE,"More than 2 hours")</f>
        <v>10 to 30 min</v>
      </c>
      <c r="K933">
        <f>ROUND(Call_Center[[#This Row],[Satisfaction Rating]],0)</f>
        <v>4</v>
      </c>
    </row>
    <row r="934" spans="1:11" x14ac:dyDescent="0.35">
      <c r="A934" s="21" t="s">
        <v>1917</v>
      </c>
      <c r="B934" s="18" t="s">
        <v>974</v>
      </c>
      <c r="C934" s="18">
        <v>158</v>
      </c>
      <c r="D934" s="19" t="s">
        <v>986</v>
      </c>
      <c r="E934" s="20">
        <v>45251</v>
      </c>
      <c r="F934" s="18">
        <v>36</v>
      </c>
      <c r="G934" s="22">
        <v>3</v>
      </c>
      <c r="H934">
        <f>IF(MONTH(Call_Center[[#This Row],[Date of Call]])&lt;=6,2023,2024)</f>
        <v>2024</v>
      </c>
      <c r="I934" t="str">
        <f>TEXT(Call_Center[[#This Row],[Date of Call]],"DDDD")</f>
        <v>Tuesday</v>
      </c>
      <c r="J934" t="str" cm="1">
        <f t="array" ref="J934">_xlfn.IFS(Call_Center[[#This Row],[Duration]]&lt;=10,"Under 10 mins",Call_Center[[#This Row],[Duration]]&lt;=30,"10 to 30 min",Call_Center[[#This Row],[Duration]]&lt;=60,"30 to 60 min",Call_Center[[#This Row],[Duration]]&lt;=120,"1 to 2 hours",TRUE,"More than 2 hours")</f>
        <v>More than 2 hours</v>
      </c>
      <c r="K934">
        <f>ROUND(Call_Center[[#This Row],[Satisfaction Rating]],0)</f>
        <v>3</v>
      </c>
    </row>
    <row r="935" spans="1:11" x14ac:dyDescent="0.35">
      <c r="A935" s="21" t="s">
        <v>1918</v>
      </c>
      <c r="B935" s="18" t="s">
        <v>980</v>
      </c>
      <c r="C935" s="18">
        <v>99</v>
      </c>
      <c r="D935" s="19" t="s">
        <v>986</v>
      </c>
      <c r="E935" s="20">
        <v>45253</v>
      </c>
      <c r="F935" s="18">
        <v>116</v>
      </c>
      <c r="G935" s="22">
        <v>3.9</v>
      </c>
      <c r="H935">
        <f>IF(MONTH(Call_Center[[#This Row],[Date of Call]])&lt;=6,2023,2024)</f>
        <v>2024</v>
      </c>
      <c r="I935" t="str">
        <f>TEXT(Call_Center[[#This Row],[Date of Call]],"DDDD")</f>
        <v>Thursday</v>
      </c>
      <c r="J935" t="str" cm="1">
        <f t="array" ref="J935">_xlfn.IFS(Call_Center[[#This Row],[Duration]]&lt;=10,"Under 10 mins",Call_Center[[#This Row],[Duration]]&lt;=30,"10 to 30 min",Call_Center[[#This Row],[Duration]]&lt;=60,"30 to 60 min",Call_Center[[#This Row],[Duration]]&lt;=120,"1 to 2 hours",TRUE,"More than 2 hours")</f>
        <v>1 to 2 hours</v>
      </c>
      <c r="K935">
        <f>ROUND(Call_Center[[#This Row],[Satisfaction Rating]],0)</f>
        <v>4</v>
      </c>
    </row>
    <row r="936" spans="1:11" x14ac:dyDescent="0.35">
      <c r="A936" s="21" t="s">
        <v>1919</v>
      </c>
      <c r="B936" s="18" t="s">
        <v>974</v>
      </c>
      <c r="C936" s="18">
        <v>78</v>
      </c>
      <c r="D936" s="19" t="s">
        <v>977</v>
      </c>
      <c r="E936" s="20">
        <v>45253</v>
      </c>
      <c r="F936" s="18">
        <v>140</v>
      </c>
      <c r="G936" s="22">
        <v>4</v>
      </c>
      <c r="H936">
        <f>IF(MONTH(Call_Center[[#This Row],[Date of Call]])&lt;=6,2023,2024)</f>
        <v>2024</v>
      </c>
      <c r="I936" t="str">
        <f>TEXT(Call_Center[[#This Row],[Date of Call]],"DDDD")</f>
        <v>Thursday</v>
      </c>
      <c r="J936" t="str" cm="1">
        <f t="array" ref="J936">_xlfn.IFS(Call_Center[[#This Row],[Duration]]&lt;=10,"Under 10 mins",Call_Center[[#This Row],[Duration]]&lt;=30,"10 to 30 min",Call_Center[[#This Row],[Duration]]&lt;=60,"30 to 60 min",Call_Center[[#This Row],[Duration]]&lt;=120,"1 to 2 hours",TRUE,"More than 2 hours")</f>
        <v>1 to 2 hours</v>
      </c>
      <c r="K936">
        <f>ROUND(Call_Center[[#This Row],[Satisfaction Rating]],0)</f>
        <v>4</v>
      </c>
    </row>
    <row r="937" spans="1:11" x14ac:dyDescent="0.35">
      <c r="A937" s="21" t="s">
        <v>1920</v>
      </c>
      <c r="B937" s="18" t="s">
        <v>974</v>
      </c>
      <c r="C937" s="18">
        <v>102</v>
      </c>
      <c r="D937" s="19" t="s">
        <v>972</v>
      </c>
      <c r="E937" s="20">
        <v>45254</v>
      </c>
      <c r="F937" s="18">
        <v>104</v>
      </c>
      <c r="G937" s="22">
        <v>4.5</v>
      </c>
      <c r="H937">
        <f>IF(MONTH(Call_Center[[#This Row],[Date of Call]])&lt;=6,2023,2024)</f>
        <v>2024</v>
      </c>
      <c r="I937" t="str">
        <f>TEXT(Call_Center[[#This Row],[Date of Call]],"DDDD")</f>
        <v>Friday</v>
      </c>
      <c r="J937" t="str" cm="1">
        <f t="array" ref="J937">_xlfn.IFS(Call_Center[[#This Row],[Duration]]&lt;=10,"Under 10 mins",Call_Center[[#This Row],[Duration]]&lt;=30,"10 to 30 min",Call_Center[[#This Row],[Duration]]&lt;=60,"30 to 60 min",Call_Center[[#This Row],[Duration]]&lt;=120,"1 to 2 hours",TRUE,"More than 2 hours")</f>
        <v>1 to 2 hours</v>
      </c>
      <c r="K937">
        <f>ROUND(Call_Center[[#This Row],[Satisfaction Rating]],0)</f>
        <v>5</v>
      </c>
    </row>
    <row r="938" spans="1:11" x14ac:dyDescent="0.35">
      <c r="A938" s="21" t="s">
        <v>1921</v>
      </c>
      <c r="B938" s="18" t="s">
        <v>980</v>
      </c>
      <c r="C938" s="18">
        <v>158</v>
      </c>
      <c r="D938" s="19" t="s">
        <v>982</v>
      </c>
      <c r="E938" s="20">
        <v>45254</v>
      </c>
      <c r="F938" s="18">
        <v>148</v>
      </c>
      <c r="G938" s="22">
        <v>4</v>
      </c>
      <c r="H938">
        <f>IF(MONTH(Call_Center[[#This Row],[Date of Call]])&lt;=6,2023,2024)</f>
        <v>2024</v>
      </c>
      <c r="I938" t="str">
        <f>TEXT(Call_Center[[#This Row],[Date of Call]],"DDDD")</f>
        <v>Friday</v>
      </c>
      <c r="J938" t="str" cm="1">
        <f t="array" ref="J938">_xlfn.IFS(Call_Center[[#This Row],[Duration]]&lt;=10,"Under 10 mins",Call_Center[[#This Row],[Duration]]&lt;=30,"10 to 30 min",Call_Center[[#This Row],[Duration]]&lt;=60,"30 to 60 min",Call_Center[[#This Row],[Duration]]&lt;=120,"1 to 2 hours",TRUE,"More than 2 hours")</f>
        <v>More than 2 hours</v>
      </c>
      <c r="K938">
        <f>ROUND(Call_Center[[#This Row],[Satisfaction Rating]],0)</f>
        <v>4</v>
      </c>
    </row>
    <row r="939" spans="1:11" x14ac:dyDescent="0.35">
      <c r="A939" s="21" t="s">
        <v>1922</v>
      </c>
      <c r="B939" s="18" t="s">
        <v>991</v>
      </c>
      <c r="C939" s="18">
        <v>56</v>
      </c>
      <c r="D939" s="19" t="s">
        <v>986</v>
      </c>
      <c r="E939" s="20">
        <v>45254</v>
      </c>
      <c r="F939" s="18">
        <v>205</v>
      </c>
      <c r="G939" s="22">
        <v>4.3</v>
      </c>
      <c r="H939">
        <f>IF(MONTH(Call_Center[[#This Row],[Date of Call]])&lt;=6,2023,2024)</f>
        <v>2024</v>
      </c>
      <c r="I939" t="str">
        <f>TEXT(Call_Center[[#This Row],[Date of Call]],"DDDD")</f>
        <v>Friday</v>
      </c>
      <c r="J939" t="str" cm="1">
        <f t="array" ref="J939">_xlfn.IFS(Call_Center[[#This Row],[Duration]]&lt;=10,"Under 10 mins",Call_Center[[#This Row],[Duration]]&lt;=30,"10 to 30 min",Call_Center[[#This Row],[Duration]]&lt;=60,"30 to 60 min",Call_Center[[#This Row],[Duration]]&lt;=120,"1 to 2 hours",TRUE,"More than 2 hours")</f>
        <v>30 to 60 min</v>
      </c>
      <c r="K939">
        <f>ROUND(Call_Center[[#This Row],[Satisfaction Rating]],0)</f>
        <v>4</v>
      </c>
    </row>
    <row r="940" spans="1:11" x14ac:dyDescent="0.35">
      <c r="A940" s="21" t="s">
        <v>1923</v>
      </c>
      <c r="B940" s="18" t="s">
        <v>969</v>
      </c>
      <c r="C940" s="18">
        <v>17</v>
      </c>
      <c r="D940" s="19" t="s">
        <v>967</v>
      </c>
      <c r="E940" s="20">
        <v>45254</v>
      </c>
      <c r="F940" s="18">
        <v>210</v>
      </c>
      <c r="G940" s="22">
        <v>4.8</v>
      </c>
      <c r="H940">
        <f>IF(MONTH(Call_Center[[#This Row],[Date of Call]])&lt;=6,2023,2024)</f>
        <v>2024</v>
      </c>
      <c r="I940" t="str">
        <f>TEXT(Call_Center[[#This Row],[Date of Call]],"DDDD")</f>
        <v>Friday</v>
      </c>
      <c r="J940" t="str" cm="1">
        <f t="array" ref="J940">_xlfn.IFS(Call_Center[[#This Row],[Duration]]&lt;=10,"Under 10 mins",Call_Center[[#This Row],[Duration]]&lt;=30,"10 to 30 min",Call_Center[[#This Row],[Duration]]&lt;=60,"30 to 60 min",Call_Center[[#This Row],[Duration]]&lt;=120,"1 to 2 hours",TRUE,"More than 2 hours")</f>
        <v>10 to 30 min</v>
      </c>
      <c r="K940">
        <f>ROUND(Call_Center[[#This Row],[Satisfaction Rating]],0)</f>
        <v>5</v>
      </c>
    </row>
    <row r="941" spans="1:11" x14ac:dyDescent="0.35">
      <c r="A941" s="21" t="s">
        <v>1924</v>
      </c>
      <c r="B941" s="18" t="s">
        <v>976</v>
      </c>
      <c r="C941" s="18">
        <v>104</v>
      </c>
      <c r="D941" s="19" t="s">
        <v>982</v>
      </c>
      <c r="E941" s="20">
        <v>45256</v>
      </c>
      <c r="F941" s="18">
        <v>41</v>
      </c>
      <c r="G941" s="22">
        <v>4.7</v>
      </c>
      <c r="H941">
        <f>IF(MONTH(Call_Center[[#This Row],[Date of Call]])&lt;=6,2023,2024)</f>
        <v>2024</v>
      </c>
      <c r="I941" t="str">
        <f>TEXT(Call_Center[[#This Row],[Date of Call]],"DDDD")</f>
        <v>Sunday</v>
      </c>
      <c r="J941" t="str" cm="1">
        <f t="array" ref="J941">_xlfn.IFS(Call_Center[[#This Row],[Duration]]&lt;=10,"Under 10 mins",Call_Center[[#This Row],[Duration]]&lt;=30,"10 to 30 min",Call_Center[[#This Row],[Duration]]&lt;=60,"30 to 60 min",Call_Center[[#This Row],[Duration]]&lt;=120,"1 to 2 hours",TRUE,"More than 2 hours")</f>
        <v>1 to 2 hours</v>
      </c>
      <c r="K941">
        <f>ROUND(Call_Center[[#This Row],[Satisfaction Rating]],0)</f>
        <v>5</v>
      </c>
    </row>
    <row r="942" spans="1:11" x14ac:dyDescent="0.35">
      <c r="A942" s="21" t="s">
        <v>1925</v>
      </c>
      <c r="B942" s="18" t="s">
        <v>1005</v>
      </c>
      <c r="C942" s="18">
        <v>96</v>
      </c>
      <c r="D942" s="19" t="s">
        <v>977</v>
      </c>
      <c r="E942" s="20">
        <v>45256</v>
      </c>
      <c r="F942" s="18">
        <v>136</v>
      </c>
      <c r="G942" s="22">
        <v>5</v>
      </c>
      <c r="H942">
        <f>IF(MONTH(Call_Center[[#This Row],[Date of Call]])&lt;=6,2023,2024)</f>
        <v>2024</v>
      </c>
      <c r="I942" t="str">
        <f>TEXT(Call_Center[[#This Row],[Date of Call]],"DDDD")</f>
        <v>Sunday</v>
      </c>
      <c r="J942" t="str" cm="1">
        <f t="array" ref="J942">_xlfn.IFS(Call_Center[[#This Row],[Duration]]&lt;=10,"Under 10 mins",Call_Center[[#This Row],[Duration]]&lt;=30,"10 to 30 min",Call_Center[[#This Row],[Duration]]&lt;=60,"30 to 60 min",Call_Center[[#This Row],[Duration]]&lt;=120,"1 to 2 hours",TRUE,"More than 2 hours")</f>
        <v>1 to 2 hours</v>
      </c>
      <c r="K942">
        <f>ROUND(Call_Center[[#This Row],[Satisfaction Rating]],0)</f>
        <v>5</v>
      </c>
    </row>
    <row r="943" spans="1:11" x14ac:dyDescent="0.35">
      <c r="A943" s="21" t="s">
        <v>1926</v>
      </c>
      <c r="B943" s="18" t="s">
        <v>997</v>
      </c>
      <c r="C943" s="18">
        <v>83</v>
      </c>
      <c r="D943" s="19" t="s">
        <v>972</v>
      </c>
      <c r="E943" s="20">
        <v>45257</v>
      </c>
      <c r="F943" s="18">
        <v>126</v>
      </c>
      <c r="G943" s="22">
        <v>1.5</v>
      </c>
      <c r="H943">
        <f>IF(MONTH(Call_Center[[#This Row],[Date of Call]])&lt;=6,2023,2024)</f>
        <v>2024</v>
      </c>
      <c r="I943" t="str">
        <f>TEXT(Call_Center[[#This Row],[Date of Call]],"DDDD")</f>
        <v>Monday</v>
      </c>
      <c r="J943" t="str" cm="1">
        <f t="array" ref="J943">_xlfn.IFS(Call_Center[[#This Row],[Duration]]&lt;=10,"Under 10 mins",Call_Center[[#This Row],[Duration]]&lt;=30,"10 to 30 min",Call_Center[[#This Row],[Duration]]&lt;=60,"30 to 60 min",Call_Center[[#This Row],[Duration]]&lt;=120,"1 to 2 hours",TRUE,"More than 2 hours")</f>
        <v>1 to 2 hours</v>
      </c>
      <c r="K943">
        <f>ROUND(Call_Center[[#This Row],[Satisfaction Rating]],0)</f>
        <v>2</v>
      </c>
    </row>
    <row r="944" spans="1:11" x14ac:dyDescent="0.35">
      <c r="A944" s="21" t="s">
        <v>1927</v>
      </c>
      <c r="B944" s="18" t="s">
        <v>971</v>
      </c>
      <c r="C944" s="18">
        <v>80</v>
      </c>
      <c r="D944" s="19" t="s">
        <v>967</v>
      </c>
      <c r="E944" s="20">
        <v>45258</v>
      </c>
      <c r="F944" s="18">
        <v>148</v>
      </c>
      <c r="G944" s="22">
        <v>4.0999999999999996</v>
      </c>
      <c r="H944">
        <f>IF(MONTH(Call_Center[[#This Row],[Date of Call]])&lt;=6,2023,2024)</f>
        <v>2024</v>
      </c>
      <c r="I944" t="str">
        <f>TEXT(Call_Center[[#This Row],[Date of Call]],"DDDD")</f>
        <v>Tuesday</v>
      </c>
      <c r="J944" t="str" cm="1">
        <f t="array" ref="J944">_xlfn.IFS(Call_Center[[#This Row],[Duration]]&lt;=10,"Under 10 mins",Call_Center[[#This Row],[Duration]]&lt;=30,"10 to 30 min",Call_Center[[#This Row],[Duration]]&lt;=60,"30 to 60 min",Call_Center[[#This Row],[Duration]]&lt;=120,"1 to 2 hours",TRUE,"More than 2 hours")</f>
        <v>1 to 2 hours</v>
      </c>
      <c r="K944">
        <f>ROUND(Call_Center[[#This Row],[Satisfaction Rating]],0)</f>
        <v>4</v>
      </c>
    </row>
    <row r="945" spans="1:11" x14ac:dyDescent="0.35">
      <c r="A945" s="21" t="s">
        <v>1928</v>
      </c>
      <c r="B945" s="18" t="s">
        <v>997</v>
      </c>
      <c r="C945" s="18">
        <v>152</v>
      </c>
      <c r="D945" s="19" t="s">
        <v>972</v>
      </c>
      <c r="E945" s="20">
        <v>45258</v>
      </c>
      <c r="F945" s="18">
        <v>125</v>
      </c>
      <c r="G945" s="22">
        <v>3.9</v>
      </c>
      <c r="H945">
        <f>IF(MONTH(Call_Center[[#This Row],[Date of Call]])&lt;=6,2023,2024)</f>
        <v>2024</v>
      </c>
      <c r="I945" t="str">
        <f>TEXT(Call_Center[[#This Row],[Date of Call]],"DDDD")</f>
        <v>Tuesday</v>
      </c>
      <c r="J945" t="str" cm="1">
        <f t="array" ref="J945">_xlfn.IFS(Call_Center[[#This Row],[Duration]]&lt;=10,"Under 10 mins",Call_Center[[#This Row],[Duration]]&lt;=30,"10 to 30 min",Call_Center[[#This Row],[Duration]]&lt;=60,"30 to 60 min",Call_Center[[#This Row],[Duration]]&lt;=120,"1 to 2 hours",TRUE,"More than 2 hours")</f>
        <v>More than 2 hours</v>
      </c>
      <c r="K945">
        <f>ROUND(Call_Center[[#This Row],[Satisfaction Rating]],0)</f>
        <v>4</v>
      </c>
    </row>
    <row r="946" spans="1:11" x14ac:dyDescent="0.35">
      <c r="A946" s="21" t="s">
        <v>1929</v>
      </c>
      <c r="B946" s="18" t="s">
        <v>985</v>
      </c>
      <c r="C946" s="18">
        <v>34</v>
      </c>
      <c r="D946" s="19" t="s">
        <v>977</v>
      </c>
      <c r="E946" s="20">
        <v>45258</v>
      </c>
      <c r="F946" s="18">
        <v>25</v>
      </c>
      <c r="G946" s="22">
        <v>4.0999999999999996</v>
      </c>
      <c r="H946">
        <f>IF(MONTH(Call_Center[[#This Row],[Date of Call]])&lt;=6,2023,2024)</f>
        <v>2024</v>
      </c>
      <c r="I946" t="str">
        <f>TEXT(Call_Center[[#This Row],[Date of Call]],"DDDD")</f>
        <v>Tuesday</v>
      </c>
      <c r="J946" t="str" cm="1">
        <f t="array" ref="J946">_xlfn.IFS(Call_Center[[#This Row],[Duration]]&lt;=10,"Under 10 mins",Call_Center[[#This Row],[Duration]]&lt;=30,"10 to 30 min",Call_Center[[#This Row],[Duration]]&lt;=60,"30 to 60 min",Call_Center[[#This Row],[Duration]]&lt;=120,"1 to 2 hours",TRUE,"More than 2 hours")</f>
        <v>30 to 60 min</v>
      </c>
      <c r="K946">
        <f>ROUND(Call_Center[[#This Row],[Satisfaction Rating]],0)</f>
        <v>4</v>
      </c>
    </row>
    <row r="947" spans="1:11" x14ac:dyDescent="0.35">
      <c r="A947" s="21" t="s">
        <v>1930</v>
      </c>
      <c r="B947" s="18" t="s">
        <v>989</v>
      </c>
      <c r="C947" s="18">
        <v>2</v>
      </c>
      <c r="D947" s="19" t="s">
        <v>986</v>
      </c>
      <c r="E947" s="20">
        <v>45259</v>
      </c>
      <c r="F947" s="18">
        <v>62</v>
      </c>
      <c r="G947" s="22">
        <v>2.8</v>
      </c>
      <c r="H947">
        <f>IF(MONTH(Call_Center[[#This Row],[Date of Call]])&lt;=6,2023,2024)</f>
        <v>2024</v>
      </c>
      <c r="I947" t="str">
        <f>TEXT(Call_Center[[#This Row],[Date of Call]],"DDDD")</f>
        <v>Wednesday</v>
      </c>
      <c r="J947" t="str" cm="1">
        <f t="array" ref="J947">_xlfn.IFS(Call_Center[[#This Row],[Duration]]&lt;=10,"Under 10 mins",Call_Center[[#This Row],[Duration]]&lt;=30,"10 to 30 min",Call_Center[[#This Row],[Duration]]&lt;=60,"30 to 60 min",Call_Center[[#This Row],[Duration]]&lt;=120,"1 to 2 hours",TRUE,"More than 2 hours")</f>
        <v>Under 10 mins</v>
      </c>
      <c r="K947">
        <f>ROUND(Call_Center[[#This Row],[Satisfaction Rating]],0)</f>
        <v>3</v>
      </c>
    </row>
    <row r="948" spans="1:11" x14ac:dyDescent="0.35">
      <c r="A948" s="21" t="s">
        <v>1931</v>
      </c>
      <c r="B948" s="18" t="s">
        <v>971</v>
      </c>
      <c r="C948" s="18">
        <v>140</v>
      </c>
      <c r="D948" s="19" t="s">
        <v>977</v>
      </c>
      <c r="E948" s="20">
        <v>45260</v>
      </c>
      <c r="F948" s="18">
        <v>90</v>
      </c>
      <c r="G948" s="22">
        <v>4.5999999999999996</v>
      </c>
      <c r="H948">
        <f>IF(MONTH(Call_Center[[#This Row],[Date of Call]])&lt;=6,2023,2024)</f>
        <v>2024</v>
      </c>
      <c r="I948" t="str">
        <f>TEXT(Call_Center[[#This Row],[Date of Call]],"DDDD")</f>
        <v>Thursday</v>
      </c>
      <c r="J948" t="str" cm="1">
        <f t="array" ref="J948">_xlfn.IFS(Call_Center[[#This Row],[Duration]]&lt;=10,"Under 10 mins",Call_Center[[#This Row],[Duration]]&lt;=30,"10 to 30 min",Call_Center[[#This Row],[Duration]]&lt;=60,"30 to 60 min",Call_Center[[#This Row],[Duration]]&lt;=120,"1 to 2 hours",TRUE,"More than 2 hours")</f>
        <v>More than 2 hours</v>
      </c>
      <c r="K948">
        <f>ROUND(Call_Center[[#This Row],[Satisfaction Rating]],0)</f>
        <v>5</v>
      </c>
    </row>
    <row r="949" spans="1:11" x14ac:dyDescent="0.35">
      <c r="A949" s="21" t="s">
        <v>1932</v>
      </c>
      <c r="B949" s="18" t="s">
        <v>969</v>
      </c>
      <c r="C949" s="18">
        <v>126</v>
      </c>
      <c r="D949" s="19" t="s">
        <v>982</v>
      </c>
      <c r="E949" s="20">
        <v>45261</v>
      </c>
      <c r="F949" s="18">
        <v>33</v>
      </c>
      <c r="G949" s="22">
        <v>4.8</v>
      </c>
      <c r="H949">
        <f>IF(MONTH(Call_Center[[#This Row],[Date of Call]])&lt;=6,2023,2024)</f>
        <v>2024</v>
      </c>
      <c r="I949" t="str">
        <f>TEXT(Call_Center[[#This Row],[Date of Call]],"DDDD")</f>
        <v>Friday</v>
      </c>
      <c r="J949" t="str" cm="1">
        <f t="array" ref="J949">_xlfn.IFS(Call_Center[[#This Row],[Duration]]&lt;=10,"Under 10 mins",Call_Center[[#This Row],[Duration]]&lt;=30,"10 to 30 min",Call_Center[[#This Row],[Duration]]&lt;=60,"30 to 60 min",Call_Center[[#This Row],[Duration]]&lt;=120,"1 to 2 hours",TRUE,"More than 2 hours")</f>
        <v>More than 2 hours</v>
      </c>
      <c r="K949">
        <f>ROUND(Call_Center[[#This Row],[Satisfaction Rating]],0)</f>
        <v>5</v>
      </c>
    </row>
    <row r="950" spans="1:11" x14ac:dyDescent="0.35">
      <c r="A950" s="21" t="s">
        <v>1933</v>
      </c>
      <c r="B950" s="18" t="s">
        <v>974</v>
      </c>
      <c r="C950" s="18">
        <v>79</v>
      </c>
      <c r="D950" s="19" t="s">
        <v>986</v>
      </c>
      <c r="E950" s="20">
        <v>45261</v>
      </c>
      <c r="F950" s="18">
        <v>115</v>
      </c>
      <c r="G950" s="22">
        <v>2.2999999999999998</v>
      </c>
      <c r="H950">
        <f>IF(MONTH(Call_Center[[#This Row],[Date of Call]])&lt;=6,2023,2024)</f>
        <v>2024</v>
      </c>
      <c r="I950" t="str">
        <f>TEXT(Call_Center[[#This Row],[Date of Call]],"DDDD")</f>
        <v>Friday</v>
      </c>
      <c r="J950" t="str" cm="1">
        <f t="array" ref="J950">_xlfn.IFS(Call_Center[[#This Row],[Duration]]&lt;=10,"Under 10 mins",Call_Center[[#This Row],[Duration]]&lt;=30,"10 to 30 min",Call_Center[[#This Row],[Duration]]&lt;=60,"30 to 60 min",Call_Center[[#This Row],[Duration]]&lt;=120,"1 to 2 hours",TRUE,"More than 2 hours")</f>
        <v>1 to 2 hours</v>
      </c>
      <c r="K950">
        <f>ROUND(Call_Center[[#This Row],[Satisfaction Rating]],0)</f>
        <v>2</v>
      </c>
    </row>
    <row r="951" spans="1:11" x14ac:dyDescent="0.35">
      <c r="A951" s="21" t="s">
        <v>1934</v>
      </c>
      <c r="B951" s="18" t="s">
        <v>969</v>
      </c>
      <c r="C951" s="18">
        <v>133</v>
      </c>
      <c r="D951" s="19" t="s">
        <v>982</v>
      </c>
      <c r="E951" s="20">
        <v>45261</v>
      </c>
      <c r="F951" s="18">
        <v>45</v>
      </c>
      <c r="G951" s="22">
        <v>2.6</v>
      </c>
      <c r="H951">
        <f>IF(MONTH(Call_Center[[#This Row],[Date of Call]])&lt;=6,2023,2024)</f>
        <v>2024</v>
      </c>
      <c r="I951" t="str">
        <f>TEXT(Call_Center[[#This Row],[Date of Call]],"DDDD")</f>
        <v>Friday</v>
      </c>
      <c r="J951" t="str" cm="1">
        <f t="array" ref="J951">_xlfn.IFS(Call_Center[[#This Row],[Duration]]&lt;=10,"Under 10 mins",Call_Center[[#This Row],[Duration]]&lt;=30,"10 to 30 min",Call_Center[[#This Row],[Duration]]&lt;=60,"30 to 60 min",Call_Center[[#This Row],[Duration]]&lt;=120,"1 to 2 hours",TRUE,"More than 2 hours")</f>
        <v>More than 2 hours</v>
      </c>
      <c r="K951">
        <f>ROUND(Call_Center[[#This Row],[Satisfaction Rating]],0)</f>
        <v>3</v>
      </c>
    </row>
    <row r="952" spans="1:11" x14ac:dyDescent="0.35">
      <c r="A952" s="21" t="s">
        <v>1935</v>
      </c>
      <c r="B952" s="18" t="s">
        <v>985</v>
      </c>
      <c r="C952" s="18">
        <v>97</v>
      </c>
      <c r="D952" s="19" t="s">
        <v>967</v>
      </c>
      <c r="E952" s="20">
        <v>45261</v>
      </c>
      <c r="F952" s="18">
        <v>114</v>
      </c>
      <c r="G952" s="22">
        <v>4.8</v>
      </c>
      <c r="H952">
        <f>IF(MONTH(Call_Center[[#This Row],[Date of Call]])&lt;=6,2023,2024)</f>
        <v>2024</v>
      </c>
      <c r="I952" t="str">
        <f>TEXT(Call_Center[[#This Row],[Date of Call]],"DDDD")</f>
        <v>Friday</v>
      </c>
      <c r="J952" t="str" cm="1">
        <f t="array" ref="J952">_xlfn.IFS(Call_Center[[#This Row],[Duration]]&lt;=10,"Under 10 mins",Call_Center[[#This Row],[Duration]]&lt;=30,"10 to 30 min",Call_Center[[#This Row],[Duration]]&lt;=60,"30 to 60 min",Call_Center[[#This Row],[Duration]]&lt;=120,"1 to 2 hours",TRUE,"More than 2 hours")</f>
        <v>1 to 2 hours</v>
      </c>
      <c r="K952">
        <f>ROUND(Call_Center[[#This Row],[Satisfaction Rating]],0)</f>
        <v>5</v>
      </c>
    </row>
    <row r="953" spans="1:11" x14ac:dyDescent="0.35">
      <c r="A953" s="21" t="s">
        <v>1936</v>
      </c>
      <c r="B953" s="18" t="s">
        <v>974</v>
      </c>
      <c r="C953" s="18">
        <v>102</v>
      </c>
      <c r="D953" s="19" t="s">
        <v>972</v>
      </c>
      <c r="E953" s="20">
        <v>45262</v>
      </c>
      <c r="F953" s="18">
        <v>72</v>
      </c>
      <c r="G953" s="22">
        <v>3.7</v>
      </c>
      <c r="H953">
        <f>IF(MONTH(Call_Center[[#This Row],[Date of Call]])&lt;=6,2023,2024)</f>
        <v>2024</v>
      </c>
      <c r="I953" t="str">
        <f>TEXT(Call_Center[[#This Row],[Date of Call]],"DDDD")</f>
        <v>Saturday</v>
      </c>
      <c r="J953" t="str" cm="1">
        <f t="array" ref="J953">_xlfn.IFS(Call_Center[[#This Row],[Duration]]&lt;=10,"Under 10 mins",Call_Center[[#This Row],[Duration]]&lt;=30,"10 to 30 min",Call_Center[[#This Row],[Duration]]&lt;=60,"30 to 60 min",Call_Center[[#This Row],[Duration]]&lt;=120,"1 to 2 hours",TRUE,"More than 2 hours")</f>
        <v>1 to 2 hours</v>
      </c>
      <c r="K953">
        <f>ROUND(Call_Center[[#This Row],[Satisfaction Rating]],0)</f>
        <v>4</v>
      </c>
    </row>
    <row r="954" spans="1:11" x14ac:dyDescent="0.35">
      <c r="A954" s="21" t="s">
        <v>1937</v>
      </c>
      <c r="B954" s="18" t="s">
        <v>1000</v>
      </c>
      <c r="C954" s="18">
        <v>62</v>
      </c>
      <c r="D954" s="19" t="s">
        <v>967</v>
      </c>
      <c r="E954" s="20">
        <v>45262</v>
      </c>
      <c r="F954" s="18">
        <v>205</v>
      </c>
      <c r="G954" s="22">
        <v>4.2</v>
      </c>
      <c r="H954">
        <f>IF(MONTH(Call_Center[[#This Row],[Date of Call]])&lt;=6,2023,2024)</f>
        <v>2024</v>
      </c>
      <c r="I954" t="str">
        <f>TEXT(Call_Center[[#This Row],[Date of Call]],"DDDD")</f>
        <v>Saturday</v>
      </c>
      <c r="J954" t="str" cm="1">
        <f t="array" ref="J954">_xlfn.IFS(Call_Center[[#This Row],[Duration]]&lt;=10,"Under 10 mins",Call_Center[[#This Row],[Duration]]&lt;=30,"10 to 30 min",Call_Center[[#This Row],[Duration]]&lt;=60,"30 to 60 min",Call_Center[[#This Row],[Duration]]&lt;=120,"1 to 2 hours",TRUE,"More than 2 hours")</f>
        <v>1 to 2 hours</v>
      </c>
      <c r="K954">
        <f>ROUND(Call_Center[[#This Row],[Satisfaction Rating]],0)</f>
        <v>4</v>
      </c>
    </row>
    <row r="955" spans="1:11" x14ac:dyDescent="0.35">
      <c r="A955" s="21" t="s">
        <v>1938</v>
      </c>
      <c r="B955" s="18" t="s">
        <v>969</v>
      </c>
      <c r="C955" s="18">
        <v>149</v>
      </c>
      <c r="D955" s="19" t="s">
        <v>972</v>
      </c>
      <c r="E955" s="20">
        <v>45263</v>
      </c>
      <c r="F955" s="18">
        <v>42</v>
      </c>
      <c r="G955" s="22">
        <v>3.3</v>
      </c>
      <c r="H955">
        <f>IF(MONTH(Call_Center[[#This Row],[Date of Call]])&lt;=6,2023,2024)</f>
        <v>2024</v>
      </c>
      <c r="I955" t="str">
        <f>TEXT(Call_Center[[#This Row],[Date of Call]],"DDDD")</f>
        <v>Sunday</v>
      </c>
      <c r="J955" t="str" cm="1">
        <f t="array" ref="J955">_xlfn.IFS(Call_Center[[#This Row],[Duration]]&lt;=10,"Under 10 mins",Call_Center[[#This Row],[Duration]]&lt;=30,"10 to 30 min",Call_Center[[#This Row],[Duration]]&lt;=60,"30 to 60 min",Call_Center[[#This Row],[Duration]]&lt;=120,"1 to 2 hours",TRUE,"More than 2 hours")</f>
        <v>More than 2 hours</v>
      </c>
      <c r="K955">
        <f>ROUND(Call_Center[[#This Row],[Satisfaction Rating]],0)</f>
        <v>3</v>
      </c>
    </row>
    <row r="956" spans="1:11" x14ac:dyDescent="0.35">
      <c r="A956" s="21" t="s">
        <v>1939</v>
      </c>
      <c r="B956" s="18" t="s">
        <v>989</v>
      </c>
      <c r="C956" s="18">
        <v>133</v>
      </c>
      <c r="D956" s="19" t="s">
        <v>967</v>
      </c>
      <c r="E956" s="20">
        <v>45263</v>
      </c>
      <c r="F956" s="18">
        <v>96</v>
      </c>
      <c r="G956" s="22">
        <v>4.3</v>
      </c>
      <c r="H956">
        <f>IF(MONTH(Call_Center[[#This Row],[Date of Call]])&lt;=6,2023,2024)</f>
        <v>2024</v>
      </c>
      <c r="I956" t="str">
        <f>TEXT(Call_Center[[#This Row],[Date of Call]],"DDDD")</f>
        <v>Sunday</v>
      </c>
      <c r="J956" t="str" cm="1">
        <f t="array" ref="J956">_xlfn.IFS(Call_Center[[#This Row],[Duration]]&lt;=10,"Under 10 mins",Call_Center[[#This Row],[Duration]]&lt;=30,"10 to 30 min",Call_Center[[#This Row],[Duration]]&lt;=60,"30 to 60 min",Call_Center[[#This Row],[Duration]]&lt;=120,"1 to 2 hours",TRUE,"More than 2 hours")</f>
        <v>More than 2 hours</v>
      </c>
      <c r="K956">
        <f>ROUND(Call_Center[[#This Row],[Satisfaction Rating]],0)</f>
        <v>4</v>
      </c>
    </row>
    <row r="957" spans="1:11" x14ac:dyDescent="0.35">
      <c r="A957" s="21" t="s">
        <v>1940</v>
      </c>
      <c r="B957" s="18" t="s">
        <v>974</v>
      </c>
      <c r="C957" s="18">
        <v>51</v>
      </c>
      <c r="D957" s="19" t="s">
        <v>986</v>
      </c>
      <c r="E957" s="20">
        <v>45263</v>
      </c>
      <c r="F957" s="18">
        <v>64</v>
      </c>
      <c r="G957" s="22">
        <v>3.7</v>
      </c>
      <c r="H957">
        <f>IF(MONTH(Call_Center[[#This Row],[Date of Call]])&lt;=6,2023,2024)</f>
        <v>2024</v>
      </c>
      <c r="I957" t="str">
        <f>TEXT(Call_Center[[#This Row],[Date of Call]],"DDDD")</f>
        <v>Sunday</v>
      </c>
      <c r="J957" t="str" cm="1">
        <f t="array" ref="J957">_xlfn.IFS(Call_Center[[#This Row],[Duration]]&lt;=10,"Under 10 mins",Call_Center[[#This Row],[Duration]]&lt;=30,"10 to 30 min",Call_Center[[#This Row],[Duration]]&lt;=60,"30 to 60 min",Call_Center[[#This Row],[Duration]]&lt;=120,"1 to 2 hours",TRUE,"More than 2 hours")</f>
        <v>30 to 60 min</v>
      </c>
      <c r="K957">
        <f>ROUND(Call_Center[[#This Row],[Satisfaction Rating]],0)</f>
        <v>4</v>
      </c>
    </row>
    <row r="958" spans="1:11" x14ac:dyDescent="0.35">
      <c r="A958" s="21" t="s">
        <v>1941</v>
      </c>
      <c r="B958" s="18" t="s">
        <v>1000</v>
      </c>
      <c r="C958" s="18">
        <v>110</v>
      </c>
      <c r="D958" s="19" t="s">
        <v>967</v>
      </c>
      <c r="E958" s="20">
        <v>45264</v>
      </c>
      <c r="F958" s="18">
        <v>72</v>
      </c>
      <c r="G958" s="22">
        <v>3.7</v>
      </c>
      <c r="H958">
        <f>IF(MONTH(Call_Center[[#This Row],[Date of Call]])&lt;=6,2023,2024)</f>
        <v>2024</v>
      </c>
      <c r="I958" t="str">
        <f>TEXT(Call_Center[[#This Row],[Date of Call]],"DDDD")</f>
        <v>Monday</v>
      </c>
      <c r="J958" t="str" cm="1">
        <f t="array" ref="J958">_xlfn.IFS(Call_Center[[#This Row],[Duration]]&lt;=10,"Under 10 mins",Call_Center[[#This Row],[Duration]]&lt;=30,"10 to 30 min",Call_Center[[#This Row],[Duration]]&lt;=60,"30 to 60 min",Call_Center[[#This Row],[Duration]]&lt;=120,"1 to 2 hours",TRUE,"More than 2 hours")</f>
        <v>1 to 2 hours</v>
      </c>
      <c r="K958">
        <f>ROUND(Call_Center[[#This Row],[Satisfaction Rating]],0)</f>
        <v>4</v>
      </c>
    </row>
    <row r="959" spans="1:11" x14ac:dyDescent="0.35">
      <c r="A959" s="21" t="s">
        <v>1942</v>
      </c>
      <c r="B959" s="18" t="s">
        <v>985</v>
      </c>
      <c r="C959" s="18">
        <v>38</v>
      </c>
      <c r="D959" s="19" t="s">
        <v>982</v>
      </c>
      <c r="E959" s="20">
        <v>45265</v>
      </c>
      <c r="F959" s="18">
        <v>27</v>
      </c>
      <c r="G959" s="22">
        <v>3.1</v>
      </c>
      <c r="H959">
        <f>IF(MONTH(Call_Center[[#This Row],[Date of Call]])&lt;=6,2023,2024)</f>
        <v>2024</v>
      </c>
      <c r="I959" t="str">
        <f>TEXT(Call_Center[[#This Row],[Date of Call]],"DDDD")</f>
        <v>Tuesday</v>
      </c>
      <c r="J959" t="str" cm="1">
        <f t="array" ref="J959">_xlfn.IFS(Call_Center[[#This Row],[Duration]]&lt;=10,"Under 10 mins",Call_Center[[#This Row],[Duration]]&lt;=30,"10 to 30 min",Call_Center[[#This Row],[Duration]]&lt;=60,"30 to 60 min",Call_Center[[#This Row],[Duration]]&lt;=120,"1 to 2 hours",TRUE,"More than 2 hours")</f>
        <v>30 to 60 min</v>
      </c>
      <c r="K959">
        <f>ROUND(Call_Center[[#This Row],[Satisfaction Rating]],0)</f>
        <v>3</v>
      </c>
    </row>
    <row r="960" spans="1:11" x14ac:dyDescent="0.35">
      <c r="A960" s="21" t="s">
        <v>1943</v>
      </c>
      <c r="B960" s="18" t="s">
        <v>989</v>
      </c>
      <c r="C960" s="18">
        <v>78</v>
      </c>
      <c r="D960" s="19" t="s">
        <v>982</v>
      </c>
      <c r="E960" s="20">
        <v>45267</v>
      </c>
      <c r="F960" s="18">
        <v>200</v>
      </c>
      <c r="G960" s="22">
        <v>2.4</v>
      </c>
      <c r="H960">
        <f>IF(MONTH(Call_Center[[#This Row],[Date of Call]])&lt;=6,2023,2024)</f>
        <v>2024</v>
      </c>
      <c r="I960" t="str">
        <f>TEXT(Call_Center[[#This Row],[Date of Call]],"DDDD")</f>
        <v>Thursday</v>
      </c>
      <c r="J960" t="str" cm="1">
        <f t="array" ref="J960">_xlfn.IFS(Call_Center[[#This Row],[Duration]]&lt;=10,"Under 10 mins",Call_Center[[#This Row],[Duration]]&lt;=30,"10 to 30 min",Call_Center[[#This Row],[Duration]]&lt;=60,"30 to 60 min",Call_Center[[#This Row],[Duration]]&lt;=120,"1 to 2 hours",TRUE,"More than 2 hours")</f>
        <v>1 to 2 hours</v>
      </c>
      <c r="K960">
        <f>ROUND(Call_Center[[#This Row],[Satisfaction Rating]],0)</f>
        <v>2</v>
      </c>
    </row>
    <row r="961" spans="1:11" x14ac:dyDescent="0.35">
      <c r="A961" s="21" t="s">
        <v>1944</v>
      </c>
      <c r="B961" s="18" t="s">
        <v>985</v>
      </c>
      <c r="C961" s="18">
        <v>25</v>
      </c>
      <c r="D961" s="19" t="s">
        <v>972</v>
      </c>
      <c r="E961" s="20">
        <v>45268</v>
      </c>
      <c r="F961" s="18">
        <v>93</v>
      </c>
      <c r="G961" s="22">
        <v>3.5</v>
      </c>
      <c r="H961">
        <f>IF(MONTH(Call_Center[[#This Row],[Date of Call]])&lt;=6,2023,2024)</f>
        <v>2024</v>
      </c>
      <c r="I961" t="str">
        <f>TEXT(Call_Center[[#This Row],[Date of Call]],"DDDD")</f>
        <v>Friday</v>
      </c>
      <c r="J961" t="str" cm="1">
        <f t="array" ref="J961">_xlfn.IFS(Call_Center[[#This Row],[Duration]]&lt;=10,"Under 10 mins",Call_Center[[#This Row],[Duration]]&lt;=30,"10 to 30 min",Call_Center[[#This Row],[Duration]]&lt;=60,"30 to 60 min",Call_Center[[#This Row],[Duration]]&lt;=120,"1 to 2 hours",TRUE,"More than 2 hours")</f>
        <v>10 to 30 min</v>
      </c>
      <c r="K961">
        <f>ROUND(Call_Center[[#This Row],[Satisfaction Rating]],0)</f>
        <v>4</v>
      </c>
    </row>
    <row r="962" spans="1:11" x14ac:dyDescent="0.35">
      <c r="A962" s="21" t="s">
        <v>1945</v>
      </c>
      <c r="B962" s="18" t="s">
        <v>1008</v>
      </c>
      <c r="C962" s="18">
        <v>50</v>
      </c>
      <c r="D962" s="19" t="s">
        <v>986</v>
      </c>
      <c r="E962" s="20">
        <v>45268</v>
      </c>
      <c r="F962" s="18">
        <v>54</v>
      </c>
      <c r="G962" s="22">
        <v>4.3</v>
      </c>
      <c r="H962">
        <f>IF(MONTH(Call_Center[[#This Row],[Date of Call]])&lt;=6,2023,2024)</f>
        <v>2024</v>
      </c>
      <c r="I962" t="str">
        <f>TEXT(Call_Center[[#This Row],[Date of Call]],"DDDD")</f>
        <v>Friday</v>
      </c>
      <c r="J962" t="str" cm="1">
        <f t="array" ref="J962">_xlfn.IFS(Call_Center[[#This Row],[Duration]]&lt;=10,"Under 10 mins",Call_Center[[#This Row],[Duration]]&lt;=30,"10 to 30 min",Call_Center[[#This Row],[Duration]]&lt;=60,"30 to 60 min",Call_Center[[#This Row],[Duration]]&lt;=120,"1 to 2 hours",TRUE,"More than 2 hours")</f>
        <v>30 to 60 min</v>
      </c>
      <c r="K962">
        <f>ROUND(Call_Center[[#This Row],[Satisfaction Rating]],0)</f>
        <v>4</v>
      </c>
    </row>
    <row r="963" spans="1:11" x14ac:dyDescent="0.35">
      <c r="A963" s="21" t="s">
        <v>1946</v>
      </c>
      <c r="B963" s="18" t="s">
        <v>985</v>
      </c>
      <c r="C963" s="18">
        <v>103</v>
      </c>
      <c r="D963" s="19" t="s">
        <v>972</v>
      </c>
      <c r="E963" s="20">
        <v>45269</v>
      </c>
      <c r="F963" s="18">
        <v>72</v>
      </c>
      <c r="G963" s="22">
        <v>3.4</v>
      </c>
      <c r="H963">
        <f>IF(MONTH(Call_Center[[#This Row],[Date of Call]])&lt;=6,2023,2024)</f>
        <v>2024</v>
      </c>
      <c r="I963" t="str">
        <f>TEXT(Call_Center[[#This Row],[Date of Call]],"DDDD")</f>
        <v>Saturday</v>
      </c>
      <c r="J963" t="str" cm="1">
        <f t="array" ref="J963">_xlfn.IFS(Call_Center[[#This Row],[Duration]]&lt;=10,"Under 10 mins",Call_Center[[#This Row],[Duration]]&lt;=30,"10 to 30 min",Call_Center[[#This Row],[Duration]]&lt;=60,"30 to 60 min",Call_Center[[#This Row],[Duration]]&lt;=120,"1 to 2 hours",TRUE,"More than 2 hours")</f>
        <v>1 to 2 hours</v>
      </c>
      <c r="K963">
        <f>ROUND(Call_Center[[#This Row],[Satisfaction Rating]],0)</f>
        <v>3</v>
      </c>
    </row>
    <row r="964" spans="1:11" x14ac:dyDescent="0.35">
      <c r="A964" s="21" t="s">
        <v>1947</v>
      </c>
      <c r="B964" s="18" t="s">
        <v>997</v>
      </c>
      <c r="C964" s="18">
        <v>63</v>
      </c>
      <c r="D964" s="19" t="s">
        <v>977</v>
      </c>
      <c r="E964" s="20">
        <v>45269</v>
      </c>
      <c r="F964" s="18">
        <v>82</v>
      </c>
      <c r="G964" s="22">
        <v>3.7</v>
      </c>
      <c r="H964">
        <f>IF(MONTH(Call_Center[[#This Row],[Date of Call]])&lt;=6,2023,2024)</f>
        <v>2024</v>
      </c>
      <c r="I964" t="str">
        <f>TEXT(Call_Center[[#This Row],[Date of Call]],"DDDD")</f>
        <v>Saturday</v>
      </c>
      <c r="J964" t="str" cm="1">
        <f t="array" ref="J964">_xlfn.IFS(Call_Center[[#This Row],[Duration]]&lt;=10,"Under 10 mins",Call_Center[[#This Row],[Duration]]&lt;=30,"10 to 30 min",Call_Center[[#This Row],[Duration]]&lt;=60,"30 to 60 min",Call_Center[[#This Row],[Duration]]&lt;=120,"1 to 2 hours",TRUE,"More than 2 hours")</f>
        <v>1 to 2 hours</v>
      </c>
      <c r="K964">
        <f>ROUND(Call_Center[[#This Row],[Satisfaction Rating]],0)</f>
        <v>4</v>
      </c>
    </row>
    <row r="965" spans="1:11" x14ac:dyDescent="0.35">
      <c r="A965" s="21" t="s">
        <v>1948</v>
      </c>
      <c r="B965" s="18" t="s">
        <v>1008</v>
      </c>
      <c r="C965" s="18">
        <v>96</v>
      </c>
      <c r="D965" s="19" t="s">
        <v>986</v>
      </c>
      <c r="E965" s="20">
        <v>45273</v>
      </c>
      <c r="F965" s="18">
        <v>164</v>
      </c>
      <c r="G965" s="22">
        <v>4.8</v>
      </c>
      <c r="H965">
        <f>IF(MONTH(Call_Center[[#This Row],[Date of Call]])&lt;=6,2023,2024)</f>
        <v>2024</v>
      </c>
      <c r="I965" t="str">
        <f>TEXT(Call_Center[[#This Row],[Date of Call]],"DDDD")</f>
        <v>Wednesday</v>
      </c>
      <c r="J965" t="str" cm="1">
        <f t="array" ref="J965">_xlfn.IFS(Call_Center[[#This Row],[Duration]]&lt;=10,"Under 10 mins",Call_Center[[#This Row],[Duration]]&lt;=30,"10 to 30 min",Call_Center[[#This Row],[Duration]]&lt;=60,"30 to 60 min",Call_Center[[#This Row],[Duration]]&lt;=120,"1 to 2 hours",TRUE,"More than 2 hours")</f>
        <v>1 to 2 hours</v>
      </c>
      <c r="K965">
        <f>ROUND(Call_Center[[#This Row],[Satisfaction Rating]],0)</f>
        <v>5</v>
      </c>
    </row>
    <row r="966" spans="1:11" x14ac:dyDescent="0.35">
      <c r="A966" s="21" t="s">
        <v>1949</v>
      </c>
      <c r="B966" s="18" t="s">
        <v>971</v>
      </c>
      <c r="C966" s="18">
        <v>94</v>
      </c>
      <c r="D966" s="19" t="s">
        <v>972</v>
      </c>
      <c r="E966" s="20">
        <v>45273</v>
      </c>
      <c r="F966" s="18">
        <v>78</v>
      </c>
      <c r="G966" s="22">
        <v>3.3</v>
      </c>
      <c r="H966">
        <f>IF(MONTH(Call_Center[[#This Row],[Date of Call]])&lt;=6,2023,2024)</f>
        <v>2024</v>
      </c>
      <c r="I966" t="str">
        <f>TEXT(Call_Center[[#This Row],[Date of Call]],"DDDD")</f>
        <v>Wednesday</v>
      </c>
      <c r="J966" t="str" cm="1">
        <f t="array" ref="J966">_xlfn.IFS(Call_Center[[#This Row],[Duration]]&lt;=10,"Under 10 mins",Call_Center[[#This Row],[Duration]]&lt;=30,"10 to 30 min",Call_Center[[#This Row],[Duration]]&lt;=60,"30 to 60 min",Call_Center[[#This Row],[Duration]]&lt;=120,"1 to 2 hours",TRUE,"More than 2 hours")</f>
        <v>1 to 2 hours</v>
      </c>
      <c r="K966">
        <f>ROUND(Call_Center[[#This Row],[Satisfaction Rating]],0)</f>
        <v>3</v>
      </c>
    </row>
    <row r="967" spans="1:11" x14ac:dyDescent="0.35">
      <c r="A967" s="21" t="s">
        <v>1950</v>
      </c>
      <c r="B967" s="18" t="s">
        <v>1000</v>
      </c>
      <c r="C967" s="18">
        <v>46</v>
      </c>
      <c r="D967" s="19" t="s">
        <v>982</v>
      </c>
      <c r="E967" s="20">
        <v>45274</v>
      </c>
      <c r="F967" s="18">
        <v>135</v>
      </c>
      <c r="G967" s="22">
        <v>4.2</v>
      </c>
      <c r="H967">
        <f>IF(MONTH(Call_Center[[#This Row],[Date of Call]])&lt;=6,2023,2024)</f>
        <v>2024</v>
      </c>
      <c r="I967" t="str">
        <f>TEXT(Call_Center[[#This Row],[Date of Call]],"DDDD")</f>
        <v>Thursday</v>
      </c>
      <c r="J967" t="str" cm="1">
        <f t="array" ref="J967">_xlfn.IFS(Call_Center[[#This Row],[Duration]]&lt;=10,"Under 10 mins",Call_Center[[#This Row],[Duration]]&lt;=30,"10 to 30 min",Call_Center[[#This Row],[Duration]]&lt;=60,"30 to 60 min",Call_Center[[#This Row],[Duration]]&lt;=120,"1 to 2 hours",TRUE,"More than 2 hours")</f>
        <v>30 to 60 min</v>
      </c>
      <c r="K967">
        <f>ROUND(Call_Center[[#This Row],[Satisfaction Rating]],0)</f>
        <v>4</v>
      </c>
    </row>
    <row r="968" spans="1:11" x14ac:dyDescent="0.35">
      <c r="A968" s="21" t="s">
        <v>1951</v>
      </c>
      <c r="B968" s="18" t="s">
        <v>1038</v>
      </c>
      <c r="C968" s="18">
        <v>127</v>
      </c>
      <c r="D968" s="19" t="s">
        <v>986</v>
      </c>
      <c r="E968" s="20">
        <v>45275</v>
      </c>
      <c r="F968" s="18">
        <v>145</v>
      </c>
      <c r="G968" s="22">
        <v>2.6</v>
      </c>
      <c r="H968">
        <f>IF(MONTH(Call_Center[[#This Row],[Date of Call]])&lt;=6,2023,2024)</f>
        <v>2024</v>
      </c>
      <c r="I968" t="str">
        <f>TEXT(Call_Center[[#This Row],[Date of Call]],"DDDD")</f>
        <v>Friday</v>
      </c>
      <c r="J968" t="str" cm="1">
        <f t="array" ref="J968">_xlfn.IFS(Call_Center[[#This Row],[Duration]]&lt;=10,"Under 10 mins",Call_Center[[#This Row],[Duration]]&lt;=30,"10 to 30 min",Call_Center[[#This Row],[Duration]]&lt;=60,"30 to 60 min",Call_Center[[#This Row],[Duration]]&lt;=120,"1 to 2 hours",TRUE,"More than 2 hours")</f>
        <v>More than 2 hours</v>
      </c>
      <c r="K968">
        <f>ROUND(Call_Center[[#This Row],[Satisfaction Rating]],0)</f>
        <v>3</v>
      </c>
    </row>
    <row r="969" spans="1:11" x14ac:dyDescent="0.35">
      <c r="A969" s="21" t="s">
        <v>1952</v>
      </c>
      <c r="B969" s="18" t="s">
        <v>980</v>
      </c>
      <c r="C969" s="18">
        <v>96</v>
      </c>
      <c r="D969" s="19" t="s">
        <v>982</v>
      </c>
      <c r="E969" s="20">
        <v>45275</v>
      </c>
      <c r="F969" s="18">
        <v>115</v>
      </c>
      <c r="G969" s="22">
        <v>4.9000000000000004</v>
      </c>
      <c r="H969">
        <f>IF(MONTH(Call_Center[[#This Row],[Date of Call]])&lt;=6,2023,2024)</f>
        <v>2024</v>
      </c>
      <c r="I969" t="str">
        <f>TEXT(Call_Center[[#This Row],[Date of Call]],"DDDD")</f>
        <v>Friday</v>
      </c>
      <c r="J969" t="str" cm="1">
        <f t="array" ref="J969">_xlfn.IFS(Call_Center[[#This Row],[Duration]]&lt;=10,"Under 10 mins",Call_Center[[#This Row],[Duration]]&lt;=30,"10 to 30 min",Call_Center[[#This Row],[Duration]]&lt;=60,"30 to 60 min",Call_Center[[#This Row],[Duration]]&lt;=120,"1 to 2 hours",TRUE,"More than 2 hours")</f>
        <v>1 to 2 hours</v>
      </c>
      <c r="K969">
        <f>ROUND(Call_Center[[#This Row],[Satisfaction Rating]],0)</f>
        <v>5</v>
      </c>
    </row>
    <row r="970" spans="1:11" x14ac:dyDescent="0.35">
      <c r="A970" s="21" t="s">
        <v>1953</v>
      </c>
      <c r="B970" s="18" t="s">
        <v>1018</v>
      </c>
      <c r="C970" s="18">
        <v>151</v>
      </c>
      <c r="D970" s="19" t="s">
        <v>972</v>
      </c>
      <c r="E970" s="20">
        <v>45275</v>
      </c>
      <c r="F970" s="18">
        <v>117</v>
      </c>
      <c r="G970" s="22">
        <v>2</v>
      </c>
      <c r="H970">
        <f>IF(MONTH(Call_Center[[#This Row],[Date of Call]])&lt;=6,2023,2024)</f>
        <v>2024</v>
      </c>
      <c r="I970" t="str">
        <f>TEXT(Call_Center[[#This Row],[Date of Call]],"DDDD")</f>
        <v>Friday</v>
      </c>
      <c r="J970" t="str" cm="1">
        <f t="array" ref="J970">_xlfn.IFS(Call_Center[[#This Row],[Duration]]&lt;=10,"Under 10 mins",Call_Center[[#This Row],[Duration]]&lt;=30,"10 to 30 min",Call_Center[[#This Row],[Duration]]&lt;=60,"30 to 60 min",Call_Center[[#This Row],[Duration]]&lt;=120,"1 to 2 hours",TRUE,"More than 2 hours")</f>
        <v>More than 2 hours</v>
      </c>
      <c r="K970">
        <f>ROUND(Call_Center[[#This Row],[Satisfaction Rating]],0)</f>
        <v>2</v>
      </c>
    </row>
    <row r="971" spans="1:11" x14ac:dyDescent="0.35">
      <c r="A971" s="21" t="s">
        <v>1954</v>
      </c>
      <c r="B971" s="18" t="s">
        <v>1038</v>
      </c>
      <c r="C971" s="18">
        <v>158</v>
      </c>
      <c r="D971" s="19" t="s">
        <v>967</v>
      </c>
      <c r="E971" s="20">
        <v>45276</v>
      </c>
      <c r="F971" s="18">
        <v>36</v>
      </c>
      <c r="G971" s="22">
        <v>4.7</v>
      </c>
      <c r="H971">
        <f>IF(MONTH(Call_Center[[#This Row],[Date of Call]])&lt;=6,2023,2024)</f>
        <v>2024</v>
      </c>
      <c r="I971" t="str">
        <f>TEXT(Call_Center[[#This Row],[Date of Call]],"DDDD")</f>
        <v>Saturday</v>
      </c>
      <c r="J971" t="str" cm="1">
        <f t="array" ref="J971">_xlfn.IFS(Call_Center[[#This Row],[Duration]]&lt;=10,"Under 10 mins",Call_Center[[#This Row],[Duration]]&lt;=30,"10 to 30 min",Call_Center[[#This Row],[Duration]]&lt;=60,"30 to 60 min",Call_Center[[#This Row],[Duration]]&lt;=120,"1 to 2 hours",TRUE,"More than 2 hours")</f>
        <v>More than 2 hours</v>
      </c>
      <c r="K971">
        <f>ROUND(Call_Center[[#This Row],[Satisfaction Rating]],0)</f>
        <v>5</v>
      </c>
    </row>
    <row r="972" spans="1:11" x14ac:dyDescent="0.35">
      <c r="A972" s="21" t="s">
        <v>1955</v>
      </c>
      <c r="B972" s="18" t="s">
        <v>971</v>
      </c>
      <c r="C972" s="18">
        <v>45</v>
      </c>
      <c r="D972" s="19" t="s">
        <v>967</v>
      </c>
      <c r="E972" s="20">
        <v>45276</v>
      </c>
      <c r="F972" s="18">
        <v>84</v>
      </c>
      <c r="G972" s="22">
        <v>2.8</v>
      </c>
      <c r="H972">
        <f>IF(MONTH(Call_Center[[#This Row],[Date of Call]])&lt;=6,2023,2024)</f>
        <v>2024</v>
      </c>
      <c r="I972" t="str">
        <f>TEXT(Call_Center[[#This Row],[Date of Call]],"DDDD")</f>
        <v>Saturday</v>
      </c>
      <c r="J972" t="str" cm="1">
        <f t="array" ref="J972">_xlfn.IFS(Call_Center[[#This Row],[Duration]]&lt;=10,"Under 10 mins",Call_Center[[#This Row],[Duration]]&lt;=30,"10 to 30 min",Call_Center[[#This Row],[Duration]]&lt;=60,"30 to 60 min",Call_Center[[#This Row],[Duration]]&lt;=120,"1 to 2 hours",TRUE,"More than 2 hours")</f>
        <v>30 to 60 min</v>
      </c>
      <c r="K972">
        <f>ROUND(Call_Center[[#This Row],[Satisfaction Rating]],0)</f>
        <v>3</v>
      </c>
    </row>
    <row r="973" spans="1:11" x14ac:dyDescent="0.35">
      <c r="A973" s="21" t="s">
        <v>1956</v>
      </c>
      <c r="B973" s="18" t="s">
        <v>991</v>
      </c>
      <c r="C973" s="18">
        <v>141</v>
      </c>
      <c r="D973" s="19" t="s">
        <v>967</v>
      </c>
      <c r="E973" s="20">
        <v>45276</v>
      </c>
      <c r="F973" s="18">
        <v>66</v>
      </c>
      <c r="G973" s="22">
        <v>3.2</v>
      </c>
      <c r="H973">
        <f>IF(MONTH(Call_Center[[#This Row],[Date of Call]])&lt;=6,2023,2024)</f>
        <v>2024</v>
      </c>
      <c r="I973" t="str">
        <f>TEXT(Call_Center[[#This Row],[Date of Call]],"DDDD")</f>
        <v>Saturday</v>
      </c>
      <c r="J973" t="str" cm="1">
        <f t="array" ref="J973">_xlfn.IFS(Call_Center[[#This Row],[Duration]]&lt;=10,"Under 10 mins",Call_Center[[#This Row],[Duration]]&lt;=30,"10 to 30 min",Call_Center[[#This Row],[Duration]]&lt;=60,"30 to 60 min",Call_Center[[#This Row],[Duration]]&lt;=120,"1 to 2 hours",TRUE,"More than 2 hours")</f>
        <v>More than 2 hours</v>
      </c>
      <c r="K973">
        <f>ROUND(Call_Center[[#This Row],[Satisfaction Rating]],0)</f>
        <v>3</v>
      </c>
    </row>
    <row r="974" spans="1:11" x14ac:dyDescent="0.35">
      <c r="A974" s="21" t="s">
        <v>1957</v>
      </c>
      <c r="B974" s="18" t="s">
        <v>985</v>
      </c>
      <c r="C974" s="18">
        <v>147</v>
      </c>
      <c r="D974" s="19" t="s">
        <v>982</v>
      </c>
      <c r="E974" s="20">
        <v>45276</v>
      </c>
      <c r="F974" s="18">
        <v>76</v>
      </c>
      <c r="G974" s="22">
        <v>4.7</v>
      </c>
      <c r="H974">
        <f>IF(MONTH(Call_Center[[#This Row],[Date of Call]])&lt;=6,2023,2024)</f>
        <v>2024</v>
      </c>
      <c r="I974" t="str">
        <f>TEXT(Call_Center[[#This Row],[Date of Call]],"DDDD")</f>
        <v>Saturday</v>
      </c>
      <c r="J974" t="str" cm="1">
        <f t="array" ref="J974">_xlfn.IFS(Call_Center[[#This Row],[Duration]]&lt;=10,"Under 10 mins",Call_Center[[#This Row],[Duration]]&lt;=30,"10 to 30 min",Call_Center[[#This Row],[Duration]]&lt;=60,"30 to 60 min",Call_Center[[#This Row],[Duration]]&lt;=120,"1 to 2 hours",TRUE,"More than 2 hours")</f>
        <v>More than 2 hours</v>
      </c>
      <c r="K974">
        <f>ROUND(Call_Center[[#This Row],[Satisfaction Rating]],0)</f>
        <v>5</v>
      </c>
    </row>
    <row r="975" spans="1:11" x14ac:dyDescent="0.35">
      <c r="A975" s="21" t="s">
        <v>1958</v>
      </c>
      <c r="B975" s="18" t="s">
        <v>1005</v>
      </c>
      <c r="C975" s="18">
        <v>126</v>
      </c>
      <c r="D975" s="19" t="s">
        <v>982</v>
      </c>
      <c r="E975" s="20">
        <v>45276</v>
      </c>
      <c r="F975" s="18">
        <v>185</v>
      </c>
      <c r="G975" s="22">
        <v>4.8</v>
      </c>
      <c r="H975">
        <f>IF(MONTH(Call_Center[[#This Row],[Date of Call]])&lt;=6,2023,2024)</f>
        <v>2024</v>
      </c>
      <c r="I975" t="str">
        <f>TEXT(Call_Center[[#This Row],[Date of Call]],"DDDD")</f>
        <v>Saturday</v>
      </c>
      <c r="J975" t="str" cm="1">
        <f t="array" ref="J975">_xlfn.IFS(Call_Center[[#This Row],[Duration]]&lt;=10,"Under 10 mins",Call_Center[[#This Row],[Duration]]&lt;=30,"10 to 30 min",Call_Center[[#This Row],[Duration]]&lt;=60,"30 to 60 min",Call_Center[[#This Row],[Duration]]&lt;=120,"1 to 2 hours",TRUE,"More than 2 hours")</f>
        <v>More than 2 hours</v>
      </c>
      <c r="K975">
        <f>ROUND(Call_Center[[#This Row],[Satisfaction Rating]],0)</f>
        <v>5</v>
      </c>
    </row>
    <row r="976" spans="1:11" x14ac:dyDescent="0.35">
      <c r="A976" s="21" t="s">
        <v>1959</v>
      </c>
      <c r="B976" s="18" t="s">
        <v>971</v>
      </c>
      <c r="C976" s="18">
        <v>126</v>
      </c>
      <c r="D976" s="19" t="s">
        <v>977</v>
      </c>
      <c r="E976" s="20">
        <v>45277</v>
      </c>
      <c r="F976" s="18">
        <v>80</v>
      </c>
      <c r="G976" s="22">
        <v>4.7</v>
      </c>
      <c r="H976">
        <f>IF(MONTH(Call_Center[[#This Row],[Date of Call]])&lt;=6,2023,2024)</f>
        <v>2024</v>
      </c>
      <c r="I976" t="str">
        <f>TEXT(Call_Center[[#This Row],[Date of Call]],"DDDD")</f>
        <v>Sunday</v>
      </c>
      <c r="J976" t="str" cm="1">
        <f t="array" ref="J976">_xlfn.IFS(Call_Center[[#This Row],[Duration]]&lt;=10,"Under 10 mins",Call_Center[[#This Row],[Duration]]&lt;=30,"10 to 30 min",Call_Center[[#This Row],[Duration]]&lt;=60,"30 to 60 min",Call_Center[[#This Row],[Duration]]&lt;=120,"1 to 2 hours",TRUE,"More than 2 hours")</f>
        <v>More than 2 hours</v>
      </c>
      <c r="K976">
        <f>ROUND(Call_Center[[#This Row],[Satisfaction Rating]],0)</f>
        <v>5</v>
      </c>
    </row>
    <row r="977" spans="1:11" x14ac:dyDescent="0.35">
      <c r="A977" s="21" t="s">
        <v>1960</v>
      </c>
      <c r="B977" s="18" t="s">
        <v>989</v>
      </c>
      <c r="C977" s="18">
        <v>32</v>
      </c>
      <c r="D977" s="19" t="s">
        <v>982</v>
      </c>
      <c r="E977" s="20">
        <v>45277</v>
      </c>
      <c r="F977" s="18">
        <v>148</v>
      </c>
      <c r="G977" s="22">
        <v>4</v>
      </c>
      <c r="H977">
        <f>IF(MONTH(Call_Center[[#This Row],[Date of Call]])&lt;=6,2023,2024)</f>
        <v>2024</v>
      </c>
      <c r="I977" t="str">
        <f>TEXT(Call_Center[[#This Row],[Date of Call]],"DDDD")</f>
        <v>Sunday</v>
      </c>
      <c r="J977" t="str" cm="1">
        <f t="array" ref="J977">_xlfn.IFS(Call_Center[[#This Row],[Duration]]&lt;=10,"Under 10 mins",Call_Center[[#This Row],[Duration]]&lt;=30,"10 to 30 min",Call_Center[[#This Row],[Duration]]&lt;=60,"30 to 60 min",Call_Center[[#This Row],[Duration]]&lt;=120,"1 to 2 hours",TRUE,"More than 2 hours")</f>
        <v>30 to 60 min</v>
      </c>
      <c r="K977">
        <f>ROUND(Call_Center[[#This Row],[Satisfaction Rating]],0)</f>
        <v>4</v>
      </c>
    </row>
    <row r="978" spans="1:11" x14ac:dyDescent="0.35">
      <c r="A978" s="21" t="s">
        <v>1961</v>
      </c>
      <c r="B978" s="18" t="s">
        <v>971</v>
      </c>
      <c r="C978" s="18">
        <v>84</v>
      </c>
      <c r="D978" s="19" t="s">
        <v>986</v>
      </c>
      <c r="E978" s="20">
        <v>45279</v>
      </c>
      <c r="F978" s="18">
        <v>180</v>
      </c>
      <c r="G978" s="22">
        <v>4.9000000000000004</v>
      </c>
      <c r="H978">
        <f>IF(MONTH(Call_Center[[#This Row],[Date of Call]])&lt;=6,2023,2024)</f>
        <v>2024</v>
      </c>
      <c r="I978" t="str">
        <f>TEXT(Call_Center[[#This Row],[Date of Call]],"DDDD")</f>
        <v>Tuesday</v>
      </c>
      <c r="J978" t="str" cm="1">
        <f t="array" ref="J978">_xlfn.IFS(Call_Center[[#This Row],[Duration]]&lt;=10,"Under 10 mins",Call_Center[[#This Row],[Duration]]&lt;=30,"10 to 30 min",Call_Center[[#This Row],[Duration]]&lt;=60,"30 to 60 min",Call_Center[[#This Row],[Duration]]&lt;=120,"1 to 2 hours",TRUE,"More than 2 hours")</f>
        <v>1 to 2 hours</v>
      </c>
      <c r="K978">
        <f>ROUND(Call_Center[[#This Row],[Satisfaction Rating]],0)</f>
        <v>5</v>
      </c>
    </row>
    <row r="979" spans="1:11" x14ac:dyDescent="0.35">
      <c r="A979" s="21" t="s">
        <v>1962</v>
      </c>
      <c r="B979" s="18" t="s">
        <v>997</v>
      </c>
      <c r="C979" s="18">
        <v>120</v>
      </c>
      <c r="D979" s="19" t="s">
        <v>977</v>
      </c>
      <c r="E979" s="20">
        <v>45280</v>
      </c>
      <c r="F979" s="18">
        <v>190</v>
      </c>
      <c r="G979" s="22">
        <v>3.7</v>
      </c>
      <c r="H979">
        <f>IF(MONTH(Call_Center[[#This Row],[Date of Call]])&lt;=6,2023,2024)</f>
        <v>2024</v>
      </c>
      <c r="I979" t="str">
        <f>TEXT(Call_Center[[#This Row],[Date of Call]],"DDDD")</f>
        <v>Wednesday</v>
      </c>
      <c r="J979" t="str" cm="1">
        <f t="array" ref="J979">_xlfn.IFS(Call_Center[[#This Row],[Duration]]&lt;=10,"Under 10 mins",Call_Center[[#This Row],[Duration]]&lt;=30,"10 to 30 min",Call_Center[[#This Row],[Duration]]&lt;=60,"30 to 60 min",Call_Center[[#This Row],[Duration]]&lt;=120,"1 to 2 hours",TRUE,"More than 2 hours")</f>
        <v>1 to 2 hours</v>
      </c>
      <c r="K979">
        <f>ROUND(Call_Center[[#This Row],[Satisfaction Rating]],0)</f>
        <v>4</v>
      </c>
    </row>
    <row r="980" spans="1:11" x14ac:dyDescent="0.35">
      <c r="A980" s="21" t="s">
        <v>1963</v>
      </c>
      <c r="B980" s="18" t="s">
        <v>976</v>
      </c>
      <c r="C980" s="18">
        <v>93</v>
      </c>
      <c r="D980" s="19" t="s">
        <v>982</v>
      </c>
      <c r="E980" s="20">
        <v>45280</v>
      </c>
      <c r="F980" s="18">
        <v>38</v>
      </c>
      <c r="G980" s="22">
        <v>4.5</v>
      </c>
      <c r="H980">
        <f>IF(MONTH(Call_Center[[#This Row],[Date of Call]])&lt;=6,2023,2024)</f>
        <v>2024</v>
      </c>
      <c r="I980" t="str">
        <f>TEXT(Call_Center[[#This Row],[Date of Call]],"DDDD")</f>
        <v>Wednesday</v>
      </c>
      <c r="J980" t="str" cm="1">
        <f t="array" ref="J980">_xlfn.IFS(Call_Center[[#This Row],[Duration]]&lt;=10,"Under 10 mins",Call_Center[[#This Row],[Duration]]&lt;=30,"10 to 30 min",Call_Center[[#This Row],[Duration]]&lt;=60,"30 to 60 min",Call_Center[[#This Row],[Duration]]&lt;=120,"1 to 2 hours",TRUE,"More than 2 hours")</f>
        <v>1 to 2 hours</v>
      </c>
      <c r="K980">
        <f>ROUND(Call_Center[[#This Row],[Satisfaction Rating]],0)</f>
        <v>5</v>
      </c>
    </row>
    <row r="981" spans="1:11" x14ac:dyDescent="0.35">
      <c r="A981" s="21" t="s">
        <v>1964</v>
      </c>
      <c r="B981" s="18" t="s">
        <v>980</v>
      </c>
      <c r="C981" s="18">
        <v>76</v>
      </c>
      <c r="D981" s="19" t="s">
        <v>972</v>
      </c>
      <c r="E981" s="20">
        <v>45281</v>
      </c>
      <c r="F981" s="18">
        <v>82</v>
      </c>
      <c r="G981" s="22">
        <v>2.1</v>
      </c>
      <c r="H981">
        <f>IF(MONTH(Call_Center[[#This Row],[Date of Call]])&lt;=6,2023,2024)</f>
        <v>2024</v>
      </c>
      <c r="I981" t="str">
        <f>TEXT(Call_Center[[#This Row],[Date of Call]],"DDDD")</f>
        <v>Thursday</v>
      </c>
      <c r="J981" t="str" cm="1">
        <f t="array" ref="J981">_xlfn.IFS(Call_Center[[#This Row],[Duration]]&lt;=10,"Under 10 mins",Call_Center[[#This Row],[Duration]]&lt;=30,"10 to 30 min",Call_Center[[#This Row],[Duration]]&lt;=60,"30 to 60 min",Call_Center[[#This Row],[Duration]]&lt;=120,"1 to 2 hours",TRUE,"More than 2 hours")</f>
        <v>1 to 2 hours</v>
      </c>
      <c r="K981">
        <f>ROUND(Call_Center[[#This Row],[Satisfaction Rating]],0)</f>
        <v>2</v>
      </c>
    </row>
    <row r="982" spans="1:11" x14ac:dyDescent="0.35">
      <c r="A982" s="21" t="s">
        <v>1965</v>
      </c>
      <c r="B982" s="18" t="s">
        <v>1038</v>
      </c>
      <c r="C982" s="18">
        <v>89</v>
      </c>
      <c r="D982" s="19" t="s">
        <v>982</v>
      </c>
      <c r="E982" s="20">
        <v>45284</v>
      </c>
      <c r="F982" s="18">
        <v>88</v>
      </c>
      <c r="G982" s="22">
        <v>2.8</v>
      </c>
      <c r="H982">
        <f>IF(MONTH(Call_Center[[#This Row],[Date of Call]])&lt;=6,2023,2024)</f>
        <v>2024</v>
      </c>
      <c r="I982" t="str">
        <f>TEXT(Call_Center[[#This Row],[Date of Call]],"DDDD")</f>
        <v>Sunday</v>
      </c>
      <c r="J982" t="str" cm="1">
        <f t="array" ref="J982">_xlfn.IFS(Call_Center[[#This Row],[Duration]]&lt;=10,"Under 10 mins",Call_Center[[#This Row],[Duration]]&lt;=30,"10 to 30 min",Call_Center[[#This Row],[Duration]]&lt;=60,"30 to 60 min",Call_Center[[#This Row],[Duration]]&lt;=120,"1 to 2 hours",TRUE,"More than 2 hours")</f>
        <v>1 to 2 hours</v>
      </c>
      <c r="K982">
        <f>ROUND(Call_Center[[#This Row],[Satisfaction Rating]],0)</f>
        <v>3</v>
      </c>
    </row>
    <row r="983" spans="1:11" x14ac:dyDescent="0.35">
      <c r="A983" s="21" t="s">
        <v>1966</v>
      </c>
      <c r="B983" s="18" t="s">
        <v>974</v>
      </c>
      <c r="C983" s="18">
        <v>91</v>
      </c>
      <c r="D983" s="19" t="s">
        <v>986</v>
      </c>
      <c r="E983" s="20">
        <v>45284</v>
      </c>
      <c r="F983" s="18">
        <v>42</v>
      </c>
      <c r="G983" s="22">
        <v>4.0999999999999996</v>
      </c>
      <c r="H983">
        <f>IF(MONTH(Call_Center[[#This Row],[Date of Call]])&lt;=6,2023,2024)</f>
        <v>2024</v>
      </c>
      <c r="I983" t="str">
        <f>TEXT(Call_Center[[#This Row],[Date of Call]],"DDDD")</f>
        <v>Sunday</v>
      </c>
      <c r="J983" t="str" cm="1">
        <f t="array" ref="J983">_xlfn.IFS(Call_Center[[#This Row],[Duration]]&lt;=10,"Under 10 mins",Call_Center[[#This Row],[Duration]]&lt;=30,"10 to 30 min",Call_Center[[#This Row],[Duration]]&lt;=60,"30 to 60 min",Call_Center[[#This Row],[Duration]]&lt;=120,"1 to 2 hours",TRUE,"More than 2 hours")</f>
        <v>1 to 2 hours</v>
      </c>
      <c r="K983">
        <f>ROUND(Call_Center[[#This Row],[Satisfaction Rating]],0)</f>
        <v>4</v>
      </c>
    </row>
    <row r="984" spans="1:11" x14ac:dyDescent="0.35">
      <c r="A984" s="21" t="s">
        <v>1967</v>
      </c>
      <c r="B984" s="18" t="s">
        <v>1000</v>
      </c>
      <c r="C984" s="18">
        <v>7</v>
      </c>
      <c r="D984" s="19" t="s">
        <v>967</v>
      </c>
      <c r="E984" s="20">
        <v>45285</v>
      </c>
      <c r="F984" s="18">
        <v>64</v>
      </c>
      <c r="G984" s="22">
        <v>3.3</v>
      </c>
      <c r="H984">
        <f>IF(MONTH(Call_Center[[#This Row],[Date of Call]])&lt;=6,2023,2024)</f>
        <v>2024</v>
      </c>
      <c r="I984" t="str">
        <f>TEXT(Call_Center[[#This Row],[Date of Call]],"DDDD")</f>
        <v>Monday</v>
      </c>
      <c r="J984" t="str" cm="1">
        <f t="array" ref="J984">_xlfn.IFS(Call_Center[[#This Row],[Duration]]&lt;=10,"Under 10 mins",Call_Center[[#This Row],[Duration]]&lt;=30,"10 to 30 min",Call_Center[[#This Row],[Duration]]&lt;=60,"30 to 60 min",Call_Center[[#This Row],[Duration]]&lt;=120,"1 to 2 hours",TRUE,"More than 2 hours")</f>
        <v>Under 10 mins</v>
      </c>
      <c r="K984">
        <f>ROUND(Call_Center[[#This Row],[Satisfaction Rating]],0)</f>
        <v>3</v>
      </c>
    </row>
    <row r="985" spans="1:11" x14ac:dyDescent="0.35">
      <c r="A985" s="21" t="s">
        <v>1968</v>
      </c>
      <c r="B985" s="18" t="s">
        <v>989</v>
      </c>
      <c r="C985" s="18">
        <v>140</v>
      </c>
      <c r="D985" s="19" t="s">
        <v>967</v>
      </c>
      <c r="E985" s="20">
        <v>45285</v>
      </c>
      <c r="F985" s="18">
        <v>105</v>
      </c>
      <c r="G985" s="22">
        <v>1.7</v>
      </c>
      <c r="H985">
        <f>IF(MONTH(Call_Center[[#This Row],[Date of Call]])&lt;=6,2023,2024)</f>
        <v>2024</v>
      </c>
      <c r="I985" t="str">
        <f>TEXT(Call_Center[[#This Row],[Date of Call]],"DDDD")</f>
        <v>Monday</v>
      </c>
      <c r="J985" t="str" cm="1">
        <f t="array" ref="J985">_xlfn.IFS(Call_Center[[#This Row],[Duration]]&lt;=10,"Under 10 mins",Call_Center[[#This Row],[Duration]]&lt;=30,"10 to 30 min",Call_Center[[#This Row],[Duration]]&lt;=60,"30 to 60 min",Call_Center[[#This Row],[Duration]]&lt;=120,"1 to 2 hours",TRUE,"More than 2 hours")</f>
        <v>More than 2 hours</v>
      </c>
      <c r="K985">
        <f>ROUND(Call_Center[[#This Row],[Satisfaction Rating]],0)</f>
        <v>2</v>
      </c>
    </row>
    <row r="986" spans="1:11" x14ac:dyDescent="0.35">
      <c r="A986" s="21" t="s">
        <v>1969</v>
      </c>
      <c r="B986" s="18" t="s">
        <v>969</v>
      </c>
      <c r="C986" s="18">
        <v>58</v>
      </c>
      <c r="D986" s="19" t="s">
        <v>977</v>
      </c>
      <c r="E986" s="20">
        <v>45285</v>
      </c>
      <c r="F986" s="18">
        <v>25</v>
      </c>
      <c r="G986" s="22">
        <v>3.6</v>
      </c>
      <c r="H986">
        <f>IF(MONTH(Call_Center[[#This Row],[Date of Call]])&lt;=6,2023,2024)</f>
        <v>2024</v>
      </c>
      <c r="I986" t="str">
        <f>TEXT(Call_Center[[#This Row],[Date of Call]],"DDDD")</f>
        <v>Monday</v>
      </c>
      <c r="J986" t="str" cm="1">
        <f t="array" ref="J986">_xlfn.IFS(Call_Center[[#This Row],[Duration]]&lt;=10,"Under 10 mins",Call_Center[[#This Row],[Duration]]&lt;=30,"10 to 30 min",Call_Center[[#This Row],[Duration]]&lt;=60,"30 to 60 min",Call_Center[[#This Row],[Duration]]&lt;=120,"1 to 2 hours",TRUE,"More than 2 hours")</f>
        <v>30 to 60 min</v>
      </c>
      <c r="K986">
        <f>ROUND(Call_Center[[#This Row],[Satisfaction Rating]],0)</f>
        <v>4</v>
      </c>
    </row>
    <row r="987" spans="1:11" x14ac:dyDescent="0.35">
      <c r="A987" s="21" t="s">
        <v>1970</v>
      </c>
      <c r="B987" s="18" t="s">
        <v>966</v>
      </c>
      <c r="C987" s="18">
        <v>90</v>
      </c>
      <c r="D987" s="19" t="s">
        <v>972</v>
      </c>
      <c r="E987" s="20">
        <v>45286</v>
      </c>
      <c r="F987" s="18">
        <v>176</v>
      </c>
      <c r="G987" s="22">
        <v>3.6</v>
      </c>
      <c r="H987">
        <f>IF(MONTH(Call_Center[[#This Row],[Date of Call]])&lt;=6,2023,2024)</f>
        <v>2024</v>
      </c>
      <c r="I987" t="str">
        <f>TEXT(Call_Center[[#This Row],[Date of Call]],"DDDD")</f>
        <v>Tuesday</v>
      </c>
      <c r="J987" t="str" cm="1">
        <f t="array" ref="J987">_xlfn.IFS(Call_Center[[#This Row],[Duration]]&lt;=10,"Under 10 mins",Call_Center[[#This Row],[Duration]]&lt;=30,"10 to 30 min",Call_Center[[#This Row],[Duration]]&lt;=60,"30 to 60 min",Call_Center[[#This Row],[Duration]]&lt;=120,"1 to 2 hours",TRUE,"More than 2 hours")</f>
        <v>1 to 2 hours</v>
      </c>
      <c r="K987">
        <f>ROUND(Call_Center[[#This Row],[Satisfaction Rating]],0)</f>
        <v>4</v>
      </c>
    </row>
    <row r="988" spans="1:11" x14ac:dyDescent="0.35">
      <c r="A988" s="21" t="s">
        <v>1971</v>
      </c>
      <c r="B988" s="18" t="s">
        <v>966</v>
      </c>
      <c r="C988" s="18">
        <v>106</v>
      </c>
      <c r="D988" s="19" t="s">
        <v>982</v>
      </c>
      <c r="E988" s="20">
        <v>45287</v>
      </c>
      <c r="F988" s="18">
        <v>46</v>
      </c>
      <c r="G988" s="22">
        <v>4.5999999999999996</v>
      </c>
      <c r="H988">
        <f>IF(MONTH(Call_Center[[#This Row],[Date of Call]])&lt;=6,2023,2024)</f>
        <v>2024</v>
      </c>
      <c r="I988" t="str">
        <f>TEXT(Call_Center[[#This Row],[Date of Call]],"DDDD")</f>
        <v>Wednesday</v>
      </c>
      <c r="J988" t="str" cm="1">
        <f t="array" ref="J988">_xlfn.IFS(Call_Center[[#This Row],[Duration]]&lt;=10,"Under 10 mins",Call_Center[[#This Row],[Duration]]&lt;=30,"10 to 30 min",Call_Center[[#This Row],[Duration]]&lt;=60,"30 to 60 min",Call_Center[[#This Row],[Duration]]&lt;=120,"1 to 2 hours",TRUE,"More than 2 hours")</f>
        <v>1 to 2 hours</v>
      </c>
      <c r="K988">
        <f>ROUND(Call_Center[[#This Row],[Satisfaction Rating]],0)</f>
        <v>5</v>
      </c>
    </row>
    <row r="989" spans="1:11" x14ac:dyDescent="0.35">
      <c r="A989" s="21" t="s">
        <v>1972</v>
      </c>
      <c r="B989" s="18" t="s">
        <v>997</v>
      </c>
      <c r="C989" s="18">
        <v>72</v>
      </c>
      <c r="D989" s="19" t="s">
        <v>967</v>
      </c>
      <c r="E989" s="20">
        <v>45287</v>
      </c>
      <c r="F989" s="18">
        <v>164</v>
      </c>
      <c r="G989" s="22">
        <v>4.8</v>
      </c>
      <c r="H989">
        <f>IF(MONTH(Call_Center[[#This Row],[Date of Call]])&lt;=6,2023,2024)</f>
        <v>2024</v>
      </c>
      <c r="I989" t="str">
        <f>TEXT(Call_Center[[#This Row],[Date of Call]],"DDDD")</f>
        <v>Wednesday</v>
      </c>
      <c r="J989" t="str" cm="1">
        <f t="array" ref="J989">_xlfn.IFS(Call_Center[[#This Row],[Duration]]&lt;=10,"Under 10 mins",Call_Center[[#This Row],[Duration]]&lt;=30,"10 to 30 min",Call_Center[[#This Row],[Duration]]&lt;=60,"30 to 60 min",Call_Center[[#This Row],[Duration]]&lt;=120,"1 to 2 hours",TRUE,"More than 2 hours")</f>
        <v>1 to 2 hours</v>
      </c>
      <c r="K989">
        <f>ROUND(Call_Center[[#This Row],[Satisfaction Rating]],0)</f>
        <v>5</v>
      </c>
    </row>
    <row r="990" spans="1:11" x14ac:dyDescent="0.35">
      <c r="A990" s="21" t="s">
        <v>1973</v>
      </c>
      <c r="B990" s="18" t="s">
        <v>1000</v>
      </c>
      <c r="C990" s="18">
        <v>124</v>
      </c>
      <c r="D990" s="19" t="s">
        <v>967</v>
      </c>
      <c r="E990" s="20">
        <v>45288</v>
      </c>
      <c r="F990" s="18">
        <v>64</v>
      </c>
      <c r="G990" s="22">
        <v>4.5</v>
      </c>
      <c r="H990">
        <f>IF(MONTH(Call_Center[[#This Row],[Date of Call]])&lt;=6,2023,2024)</f>
        <v>2024</v>
      </c>
      <c r="I990" t="str">
        <f>TEXT(Call_Center[[#This Row],[Date of Call]],"DDDD")</f>
        <v>Thursday</v>
      </c>
      <c r="J990" t="str" cm="1">
        <f t="array" ref="J990">_xlfn.IFS(Call_Center[[#This Row],[Duration]]&lt;=10,"Under 10 mins",Call_Center[[#This Row],[Duration]]&lt;=30,"10 to 30 min",Call_Center[[#This Row],[Duration]]&lt;=60,"30 to 60 min",Call_Center[[#This Row],[Duration]]&lt;=120,"1 to 2 hours",TRUE,"More than 2 hours")</f>
        <v>More than 2 hours</v>
      </c>
      <c r="K990">
        <f>ROUND(Call_Center[[#This Row],[Satisfaction Rating]],0)</f>
        <v>5</v>
      </c>
    </row>
    <row r="991" spans="1:11" x14ac:dyDescent="0.35">
      <c r="A991" s="21" t="s">
        <v>1974</v>
      </c>
      <c r="B991" s="18" t="s">
        <v>991</v>
      </c>
      <c r="C991" s="18">
        <v>86</v>
      </c>
      <c r="D991" s="19" t="s">
        <v>986</v>
      </c>
      <c r="E991" s="20">
        <v>45288</v>
      </c>
      <c r="F991" s="18">
        <v>205</v>
      </c>
      <c r="G991" s="22">
        <v>4.5</v>
      </c>
      <c r="H991">
        <f>IF(MONTH(Call_Center[[#This Row],[Date of Call]])&lt;=6,2023,2024)</f>
        <v>2024</v>
      </c>
      <c r="I991" t="str">
        <f>TEXT(Call_Center[[#This Row],[Date of Call]],"DDDD")</f>
        <v>Thursday</v>
      </c>
      <c r="J991" t="str" cm="1">
        <f t="array" ref="J991">_xlfn.IFS(Call_Center[[#This Row],[Duration]]&lt;=10,"Under 10 mins",Call_Center[[#This Row],[Duration]]&lt;=30,"10 to 30 min",Call_Center[[#This Row],[Duration]]&lt;=60,"30 to 60 min",Call_Center[[#This Row],[Duration]]&lt;=120,"1 to 2 hours",TRUE,"More than 2 hours")</f>
        <v>1 to 2 hours</v>
      </c>
      <c r="K991">
        <f>ROUND(Call_Center[[#This Row],[Satisfaction Rating]],0)</f>
        <v>5</v>
      </c>
    </row>
    <row r="992" spans="1:11" x14ac:dyDescent="0.35">
      <c r="A992" s="21" t="s">
        <v>1975</v>
      </c>
      <c r="B992" s="18" t="s">
        <v>971</v>
      </c>
      <c r="C992" s="18">
        <v>164</v>
      </c>
      <c r="D992" s="19" t="s">
        <v>986</v>
      </c>
      <c r="E992" s="20">
        <v>45289</v>
      </c>
      <c r="F992" s="18">
        <v>100</v>
      </c>
      <c r="G992" s="22">
        <v>4.5999999999999996</v>
      </c>
      <c r="H992">
        <f>IF(MONTH(Call_Center[[#This Row],[Date of Call]])&lt;=6,2023,2024)</f>
        <v>2024</v>
      </c>
      <c r="I992" t="str">
        <f>TEXT(Call_Center[[#This Row],[Date of Call]],"DDDD")</f>
        <v>Friday</v>
      </c>
      <c r="J992" t="str" cm="1">
        <f t="array" ref="J992">_xlfn.IFS(Call_Center[[#This Row],[Duration]]&lt;=10,"Under 10 mins",Call_Center[[#This Row],[Duration]]&lt;=30,"10 to 30 min",Call_Center[[#This Row],[Duration]]&lt;=60,"30 to 60 min",Call_Center[[#This Row],[Duration]]&lt;=120,"1 to 2 hours",TRUE,"More than 2 hours")</f>
        <v>More than 2 hours</v>
      </c>
      <c r="K992">
        <f>ROUND(Call_Center[[#This Row],[Satisfaction Rating]],0)</f>
        <v>5</v>
      </c>
    </row>
    <row r="993" spans="1:11" x14ac:dyDescent="0.35">
      <c r="A993" s="21" t="s">
        <v>1976</v>
      </c>
      <c r="B993" s="18" t="s">
        <v>976</v>
      </c>
      <c r="C993" s="18">
        <v>40</v>
      </c>
      <c r="D993" s="19" t="s">
        <v>972</v>
      </c>
      <c r="E993" s="20">
        <v>45289</v>
      </c>
      <c r="F993" s="18">
        <v>111</v>
      </c>
      <c r="G993" s="22">
        <v>4.5999999999999996</v>
      </c>
      <c r="H993">
        <f>IF(MONTH(Call_Center[[#This Row],[Date of Call]])&lt;=6,2023,2024)</f>
        <v>2024</v>
      </c>
      <c r="I993" t="str">
        <f>TEXT(Call_Center[[#This Row],[Date of Call]],"DDDD")</f>
        <v>Friday</v>
      </c>
      <c r="J993" t="str" cm="1">
        <f t="array" ref="J993">_xlfn.IFS(Call_Center[[#This Row],[Duration]]&lt;=10,"Under 10 mins",Call_Center[[#This Row],[Duration]]&lt;=30,"10 to 30 min",Call_Center[[#This Row],[Duration]]&lt;=60,"30 to 60 min",Call_Center[[#This Row],[Duration]]&lt;=120,"1 to 2 hours",TRUE,"More than 2 hours")</f>
        <v>30 to 60 min</v>
      </c>
      <c r="K993">
        <f>ROUND(Call_Center[[#This Row],[Satisfaction Rating]],0)</f>
        <v>5</v>
      </c>
    </row>
    <row r="994" spans="1:11" x14ac:dyDescent="0.35">
      <c r="A994" s="21" t="s">
        <v>1977</v>
      </c>
      <c r="B994" s="18" t="s">
        <v>974</v>
      </c>
      <c r="C994" s="18">
        <v>76</v>
      </c>
      <c r="D994" s="19" t="s">
        <v>977</v>
      </c>
      <c r="E994" s="20">
        <v>45289</v>
      </c>
      <c r="F994" s="18">
        <v>80</v>
      </c>
      <c r="G994" s="22">
        <v>3.5</v>
      </c>
      <c r="H994">
        <f>IF(MONTH(Call_Center[[#This Row],[Date of Call]])&lt;=6,2023,2024)</f>
        <v>2024</v>
      </c>
      <c r="I994" t="str">
        <f>TEXT(Call_Center[[#This Row],[Date of Call]],"DDDD")</f>
        <v>Friday</v>
      </c>
      <c r="J994" t="str" cm="1">
        <f t="array" ref="J994">_xlfn.IFS(Call_Center[[#This Row],[Duration]]&lt;=10,"Under 10 mins",Call_Center[[#This Row],[Duration]]&lt;=30,"10 to 30 min",Call_Center[[#This Row],[Duration]]&lt;=60,"30 to 60 min",Call_Center[[#This Row],[Duration]]&lt;=120,"1 to 2 hours",TRUE,"More than 2 hours")</f>
        <v>1 to 2 hours</v>
      </c>
      <c r="K994">
        <f>ROUND(Call_Center[[#This Row],[Satisfaction Rating]],0)</f>
        <v>4</v>
      </c>
    </row>
    <row r="995" spans="1:11" x14ac:dyDescent="0.35">
      <c r="A995" s="21" t="s">
        <v>1978</v>
      </c>
      <c r="B995" s="18" t="s">
        <v>1000</v>
      </c>
      <c r="C995" s="18">
        <v>95</v>
      </c>
      <c r="D995" s="19" t="s">
        <v>982</v>
      </c>
      <c r="E995" s="20">
        <v>45289</v>
      </c>
      <c r="F995" s="18">
        <v>50</v>
      </c>
      <c r="G995" s="22">
        <v>2.9</v>
      </c>
      <c r="H995">
        <f>IF(MONTH(Call_Center[[#This Row],[Date of Call]])&lt;=6,2023,2024)</f>
        <v>2024</v>
      </c>
      <c r="I995" t="str">
        <f>TEXT(Call_Center[[#This Row],[Date of Call]],"DDDD")</f>
        <v>Friday</v>
      </c>
      <c r="J995" t="str" cm="1">
        <f t="array" ref="J995">_xlfn.IFS(Call_Center[[#This Row],[Duration]]&lt;=10,"Under 10 mins",Call_Center[[#This Row],[Duration]]&lt;=30,"10 to 30 min",Call_Center[[#This Row],[Duration]]&lt;=60,"30 to 60 min",Call_Center[[#This Row],[Duration]]&lt;=120,"1 to 2 hours",TRUE,"More than 2 hours")</f>
        <v>1 to 2 hours</v>
      </c>
      <c r="K995">
        <f>ROUND(Call_Center[[#This Row],[Satisfaction Rating]],0)</f>
        <v>3</v>
      </c>
    </row>
    <row r="996" spans="1:11" x14ac:dyDescent="0.35">
      <c r="A996" s="21" t="s">
        <v>1979</v>
      </c>
      <c r="B996" s="18" t="s">
        <v>974</v>
      </c>
      <c r="C996" s="18">
        <v>113</v>
      </c>
      <c r="D996" s="19" t="s">
        <v>967</v>
      </c>
      <c r="E996" s="20">
        <v>45290</v>
      </c>
      <c r="F996" s="18">
        <v>165</v>
      </c>
      <c r="G996" s="22">
        <v>4.7</v>
      </c>
      <c r="H996">
        <f>IF(MONTH(Call_Center[[#This Row],[Date of Call]])&lt;=6,2023,2024)</f>
        <v>2024</v>
      </c>
      <c r="I996" t="str">
        <f>TEXT(Call_Center[[#This Row],[Date of Call]],"DDDD")</f>
        <v>Saturday</v>
      </c>
      <c r="J996" t="str" cm="1">
        <f t="array" ref="J996">_xlfn.IFS(Call_Center[[#This Row],[Duration]]&lt;=10,"Under 10 mins",Call_Center[[#This Row],[Duration]]&lt;=30,"10 to 30 min",Call_Center[[#This Row],[Duration]]&lt;=60,"30 to 60 min",Call_Center[[#This Row],[Duration]]&lt;=120,"1 to 2 hours",TRUE,"More than 2 hours")</f>
        <v>1 to 2 hours</v>
      </c>
      <c r="K996">
        <f>ROUND(Call_Center[[#This Row],[Satisfaction Rating]],0)</f>
        <v>5</v>
      </c>
    </row>
    <row r="997" spans="1:11" x14ac:dyDescent="0.35">
      <c r="A997" s="21" t="s">
        <v>1980</v>
      </c>
      <c r="B997" s="18" t="s">
        <v>991</v>
      </c>
      <c r="C997" s="18">
        <v>81</v>
      </c>
      <c r="D997" s="19" t="s">
        <v>967</v>
      </c>
      <c r="E997" s="20">
        <v>45290</v>
      </c>
      <c r="F997" s="18">
        <v>28</v>
      </c>
      <c r="G997" s="22">
        <v>3.9</v>
      </c>
      <c r="H997">
        <f>IF(MONTH(Call_Center[[#This Row],[Date of Call]])&lt;=6,2023,2024)</f>
        <v>2024</v>
      </c>
      <c r="I997" t="str">
        <f>TEXT(Call_Center[[#This Row],[Date of Call]],"DDDD")</f>
        <v>Saturday</v>
      </c>
      <c r="J997" t="str" cm="1">
        <f t="array" ref="J997">_xlfn.IFS(Call_Center[[#This Row],[Duration]]&lt;=10,"Under 10 mins",Call_Center[[#This Row],[Duration]]&lt;=30,"10 to 30 min",Call_Center[[#This Row],[Duration]]&lt;=60,"30 to 60 min",Call_Center[[#This Row],[Duration]]&lt;=120,"1 to 2 hours",TRUE,"More than 2 hours")</f>
        <v>1 to 2 hours</v>
      </c>
      <c r="K997">
        <f>ROUND(Call_Center[[#This Row],[Satisfaction Rating]],0)</f>
        <v>4</v>
      </c>
    </row>
    <row r="998" spans="1:11" x14ac:dyDescent="0.35">
      <c r="A998" s="21" t="s">
        <v>1981</v>
      </c>
      <c r="B998" s="18" t="s">
        <v>980</v>
      </c>
      <c r="C998" s="18">
        <v>127</v>
      </c>
      <c r="D998" s="19" t="s">
        <v>982</v>
      </c>
      <c r="E998" s="20">
        <v>45290</v>
      </c>
      <c r="F998" s="18">
        <v>215</v>
      </c>
      <c r="G998" s="22">
        <v>3.8</v>
      </c>
      <c r="H998">
        <f>IF(MONTH(Call_Center[[#This Row],[Date of Call]])&lt;=6,2023,2024)</f>
        <v>2024</v>
      </c>
      <c r="I998" t="str">
        <f>TEXT(Call_Center[[#This Row],[Date of Call]],"DDDD")</f>
        <v>Saturday</v>
      </c>
      <c r="J998" t="str" cm="1">
        <f t="array" ref="J998">_xlfn.IFS(Call_Center[[#This Row],[Duration]]&lt;=10,"Under 10 mins",Call_Center[[#This Row],[Duration]]&lt;=30,"10 to 30 min",Call_Center[[#This Row],[Duration]]&lt;=60,"30 to 60 min",Call_Center[[#This Row],[Duration]]&lt;=120,"1 to 2 hours",TRUE,"More than 2 hours")</f>
        <v>More than 2 hours</v>
      </c>
      <c r="K998">
        <f>ROUND(Call_Center[[#This Row],[Satisfaction Rating]],0)</f>
        <v>4</v>
      </c>
    </row>
    <row r="999" spans="1:11" x14ac:dyDescent="0.35">
      <c r="A999" s="21" t="s">
        <v>1982</v>
      </c>
      <c r="B999" s="18" t="s">
        <v>989</v>
      </c>
      <c r="C999" s="18">
        <v>146</v>
      </c>
      <c r="D999" s="19" t="s">
        <v>967</v>
      </c>
      <c r="E999" s="20">
        <v>45291</v>
      </c>
      <c r="F999" s="18">
        <v>115</v>
      </c>
      <c r="G999" s="22">
        <v>2.2999999999999998</v>
      </c>
      <c r="H999">
        <f>IF(MONTH(Call_Center[[#This Row],[Date of Call]])&lt;=6,2023,2024)</f>
        <v>2024</v>
      </c>
      <c r="I999" t="str">
        <f>TEXT(Call_Center[[#This Row],[Date of Call]],"DDDD")</f>
        <v>Sunday</v>
      </c>
      <c r="J999" t="str" cm="1">
        <f t="array" ref="J999">_xlfn.IFS(Call_Center[[#This Row],[Duration]]&lt;=10,"Under 10 mins",Call_Center[[#This Row],[Duration]]&lt;=30,"10 to 30 min",Call_Center[[#This Row],[Duration]]&lt;=60,"30 to 60 min",Call_Center[[#This Row],[Duration]]&lt;=120,"1 to 2 hours",TRUE,"More than 2 hours")</f>
        <v>More than 2 hours</v>
      </c>
      <c r="K999">
        <f>ROUND(Call_Center[[#This Row],[Satisfaction Rating]],0)</f>
        <v>2</v>
      </c>
    </row>
    <row r="1000" spans="1:11" x14ac:dyDescent="0.35">
      <c r="A1000" s="21" t="s">
        <v>1983</v>
      </c>
      <c r="B1000" s="18" t="s">
        <v>985</v>
      </c>
      <c r="C1000" s="18">
        <v>123</v>
      </c>
      <c r="D1000" s="19" t="s">
        <v>967</v>
      </c>
      <c r="E1000" s="20">
        <v>45291</v>
      </c>
      <c r="F1000" s="18">
        <v>64</v>
      </c>
      <c r="G1000" s="22">
        <v>3.7</v>
      </c>
      <c r="H1000">
        <f>IF(MONTH(Call_Center[[#This Row],[Date of Call]])&lt;=6,2023,2024)</f>
        <v>2024</v>
      </c>
      <c r="I1000" t="str">
        <f>TEXT(Call_Center[[#This Row],[Date of Call]],"DDDD")</f>
        <v>Sunday</v>
      </c>
      <c r="J1000" t="str" cm="1">
        <f t="array" ref="J1000">_xlfn.IFS(Call_Center[[#This Row],[Duration]]&lt;=10,"Under 10 mins",Call_Center[[#This Row],[Duration]]&lt;=30,"10 to 30 min",Call_Center[[#This Row],[Duration]]&lt;=60,"30 to 60 min",Call_Center[[#This Row],[Duration]]&lt;=120,"1 to 2 hours",TRUE,"More than 2 hours")</f>
        <v>More than 2 hours</v>
      </c>
      <c r="K1000">
        <f>ROUND(Call_Center[[#This Row],[Satisfaction Rating]],0)</f>
        <v>4</v>
      </c>
    </row>
    <row r="1001" spans="1:11" x14ac:dyDescent="0.35">
      <c r="A1001" s="28" t="s">
        <v>1984</v>
      </c>
      <c r="B1001" s="29" t="s">
        <v>997</v>
      </c>
      <c r="C1001" s="29">
        <v>114</v>
      </c>
      <c r="D1001" s="30" t="s">
        <v>977</v>
      </c>
      <c r="E1001" s="31">
        <v>45291</v>
      </c>
      <c r="F1001" s="29">
        <v>40</v>
      </c>
      <c r="G1001" s="32">
        <v>3.9</v>
      </c>
      <c r="H1001">
        <f>IF(MONTH(Call_Center[[#This Row],[Date of Call]])&lt;=6,2023,2024)</f>
        <v>2024</v>
      </c>
      <c r="I1001" t="str">
        <f>TEXT(Call_Center[[#This Row],[Date of Call]],"DDDD")</f>
        <v>Sunday</v>
      </c>
      <c r="J1001" t="str" cm="1">
        <f t="array" ref="J1001">_xlfn.IFS(Call_Center[[#This Row],[Duration]]&lt;=10,"Under 10 mins",Call_Center[[#This Row],[Duration]]&lt;=30,"10 to 30 min",Call_Center[[#This Row],[Duration]]&lt;=60,"30 to 60 min",Call_Center[[#This Row],[Duration]]&lt;=120,"1 to 2 hours",TRUE,"More than 2 hours")</f>
        <v>1 to 2 hours</v>
      </c>
      <c r="K1001">
        <f>ROUND(Call_Center[[#This Row],[Satisfaction Rating]],0)</f>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7B47-DA1A-400E-AF88-506B68C00E7A}">
  <dimension ref="A1:N165"/>
  <sheetViews>
    <sheetView tabSelected="1" topLeftCell="C114" workbookViewId="0">
      <selection activeCell="H131" sqref="H131"/>
    </sheetView>
  </sheetViews>
  <sheetFormatPr defaultRowHeight="14.5" x14ac:dyDescent="0.35"/>
  <cols>
    <col min="1" max="1" width="12.36328125" bestFit="1" customWidth="1"/>
    <col min="2" max="2" width="18.81640625" bestFit="1" customWidth="1"/>
    <col min="3" max="3" width="22.26953125" bestFit="1" customWidth="1"/>
    <col min="4" max="4" width="18.81640625" bestFit="1" customWidth="1"/>
    <col min="5" max="5" width="22.26953125" bestFit="1" customWidth="1"/>
    <col min="6" max="6" width="18.81640625" bestFit="1" customWidth="1"/>
    <col min="7" max="7" width="22.26953125" bestFit="1" customWidth="1"/>
    <col min="8" max="8" width="18.81640625" bestFit="1" customWidth="1"/>
    <col min="9" max="9" width="22.26953125" bestFit="1" customWidth="1"/>
    <col min="10" max="10" width="18.81640625" bestFit="1" customWidth="1"/>
    <col min="11" max="11" width="22.26953125" bestFit="1" customWidth="1"/>
    <col min="12" max="12" width="23.6328125" bestFit="1" customWidth="1"/>
    <col min="13" max="13" width="27.08984375" bestFit="1" customWidth="1"/>
    <col min="14" max="14" width="22.26953125" bestFit="1" customWidth="1"/>
    <col min="15" max="15" width="18.81640625" bestFit="1" customWidth="1"/>
    <col min="16" max="16" width="22.26953125" bestFit="1" customWidth="1"/>
    <col min="17" max="17" width="18.81640625" bestFit="1" customWidth="1"/>
    <col min="18" max="18" width="22.26953125" bestFit="1" customWidth="1"/>
    <col min="19" max="19" width="18.81640625" bestFit="1" customWidth="1"/>
    <col min="20" max="20" width="22.26953125" bestFit="1" customWidth="1"/>
    <col min="21" max="21" width="18.81640625" bestFit="1" customWidth="1"/>
    <col min="22" max="22" width="22.26953125" bestFit="1" customWidth="1"/>
    <col min="23" max="23" width="18.81640625" bestFit="1" customWidth="1"/>
    <col min="24" max="24" width="22.26953125" bestFit="1" customWidth="1"/>
    <col min="25" max="25" width="18.81640625" bestFit="1" customWidth="1"/>
    <col min="26" max="26" width="22.26953125" bestFit="1" customWidth="1"/>
    <col min="27" max="27" width="18.81640625" bestFit="1" customWidth="1"/>
    <col min="28" max="28" width="22.26953125" bestFit="1" customWidth="1"/>
    <col min="29" max="29" width="18.81640625" bestFit="1" customWidth="1"/>
    <col min="30" max="30" width="22.26953125" bestFit="1" customWidth="1"/>
    <col min="31" max="31" width="18.81640625" bestFit="1" customWidth="1"/>
    <col min="32" max="32" width="27.08984375" bestFit="1" customWidth="1"/>
    <col min="33" max="33" width="23.6328125" bestFit="1" customWidth="1"/>
    <col min="34" max="36" width="8.08984375" bestFit="1" customWidth="1"/>
    <col min="37" max="55" width="9.08984375" bestFit="1" customWidth="1"/>
    <col min="56" max="64" width="8.54296875" bestFit="1" customWidth="1"/>
    <col min="65" max="85" width="9.54296875" bestFit="1" customWidth="1"/>
    <col min="86" max="94" width="8.08984375" bestFit="1" customWidth="1"/>
    <col min="95" max="115" width="9.08984375" bestFit="1" customWidth="1"/>
    <col min="116" max="123" width="8.7265625" bestFit="1" customWidth="1"/>
    <col min="124" max="143" width="9.7265625" bestFit="1" customWidth="1"/>
    <col min="144" max="151" width="7.90625" bestFit="1" customWidth="1"/>
    <col min="152" max="171" width="8.90625" bestFit="1" customWidth="1"/>
    <col min="172" max="179" width="7.26953125" bestFit="1" customWidth="1"/>
    <col min="180" max="205" width="8.26953125" bestFit="1" customWidth="1"/>
    <col min="206" max="222" width="9.26953125" bestFit="1" customWidth="1"/>
    <col min="223" max="230" width="8.08984375" bestFit="1" customWidth="1"/>
    <col min="231" max="249" width="9.08984375" bestFit="1" customWidth="1"/>
    <col min="250" max="258" width="8" bestFit="1" customWidth="1"/>
    <col min="259" max="280" width="9" bestFit="1" customWidth="1"/>
    <col min="281" max="288" width="8.36328125" bestFit="1" customWidth="1"/>
    <col min="289" max="307" width="9.36328125" bestFit="1" customWidth="1"/>
    <col min="308" max="315" width="8.1796875" bestFit="1" customWidth="1"/>
    <col min="316" max="331" width="9.1796875" bestFit="1" customWidth="1"/>
    <col min="332" max="332" width="10.7265625" bestFit="1" customWidth="1"/>
  </cols>
  <sheetData>
    <row r="1" spans="1:4" x14ac:dyDescent="0.35">
      <c r="A1" s="33" t="s">
        <v>961</v>
      </c>
      <c r="B1" s="17" t="s">
        <v>1988</v>
      </c>
    </row>
    <row r="3" spans="1:4" x14ac:dyDescent="0.35">
      <c r="A3" s="33" t="s">
        <v>1985</v>
      </c>
      <c r="B3" s="17" t="s">
        <v>1991</v>
      </c>
      <c r="C3" s="17" t="s">
        <v>1987</v>
      </c>
      <c r="D3" s="17" t="s">
        <v>1990</v>
      </c>
    </row>
    <row r="4" spans="1:4" x14ac:dyDescent="0.35">
      <c r="A4" s="34" t="s">
        <v>971</v>
      </c>
      <c r="B4" s="38">
        <v>7747</v>
      </c>
      <c r="C4" s="1">
        <v>79</v>
      </c>
      <c r="D4" s="35">
        <v>3.9797468354430396</v>
      </c>
    </row>
    <row r="5" spans="1:4" x14ac:dyDescent="0.35">
      <c r="A5" s="34" t="s">
        <v>969</v>
      </c>
      <c r="B5" s="38">
        <v>7689</v>
      </c>
      <c r="C5" s="1">
        <v>82</v>
      </c>
      <c r="D5" s="35">
        <v>3.976829268292684</v>
      </c>
    </row>
    <row r="6" spans="1:4" x14ac:dyDescent="0.35">
      <c r="A6" s="34" t="s">
        <v>989</v>
      </c>
      <c r="B6" s="38">
        <v>7230</v>
      </c>
      <c r="C6" s="1">
        <v>69</v>
      </c>
      <c r="D6" s="35">
        <v>3.7753623188405814</v>
      </c>
    </row>
    <row r="7" spans="1:4" x14ac:dyDescent="0.35">
      <c r="A7" s="34" t="s">
        <v>980</v>
      </c>
      <c r="B7" s="38">
        <v>7216</v>
      </c>
      <c r="C7" s="1">
        <v>67</v>
      </c>
      <c r="D7" s="35">
        <v>3.8522388059701487</v>
      </c>
    </row>
    <row r="8" spans="1:4" x14ac:dyDescent="0.35">
      <c r="A8" s="34" t="s">
        <v>1008</v>
      </c>
      <c r="B8" s="38">
        <v>6819</v>
      </c>
      <c r="C8" s="1">
        <v>70</v>
      </c>
      <c r="D8" s="35">
        <v>4.1300000000000008</v>
      </c>
    </row>
    <row r="9" spans="1:4" x14ac:dyDescent="0.35">
      <c r="A9" s="34" t="s">
        <v>1018</v>
      </c>
      <c r="B9" s="38">
        <v>6785</v>
      </c>
      <c r="C9" s="1">
        <v>65</v>
      </c>
      <c r="D9" s="35">
        <v>3.8307692307692309</v>
      </c>
    </row>
    <row r="10" spans="1:4" x14ac:dyDescent="0.35">
      <c r="A10" s="34" t="s">
        <v>976</v>
      </c>
      <c r="B10" s="38">
        <v>6749</v>
      </c>
      <c r="C10" s="1">
        <v>74</v>
      </c>
      <c r="D10" s="35">
        <v>3.9837837837837853</v>
      </c>
    </row>
    <row r="11" spans="1:4" x14ac:dyDescent="0.35">
      <c r="A11" s="34" t="s">
        <v>997</v>
      </c>
      <c r="B11" s="38">
        <v>6601</v>
      </c>
      <c r="C11" s="1">
        <v>69</v>
      </c>
      <c r="D11" s="35">
        <v>3.62608695652174</v>
      </c>
    </row>
    <row r="12" spans="1:4" x14ac:dyDescent="0.35">
      <c r="A12" s="34" t="s">
        <v>1005</v>
      </c>
      <c r="B12" s="38">
        <v>6518</v>
      </c>
      <c r="C12" s="1">
        <v>59</v>
      </c>
      <c r="D12" s="35">
        <v>3.8389830508474563</v>
      </c>
    </row>
    <row r="13" spans="1:4" x14ac:dyDescent="0.35">
      <c r="A13" s="34" t="s">
        <v>985</v>
      </c>
      <c r="B13" s="38">
        <v>6242</v>
      </c>
      <c r="C13" s="1">
        <v>72</v>
      </c>
      <c r="D13" s="35">
        <v>3.863888888888888</v>
      </c>
    </row>
    <row r="14" spans="1:4" x14ac:dyDescent="0.35">
      <c r="A14" s="34" t="s">
        <v>1000</v>
      </c>
      <c r="B14" s="38">
        <v>6176</v>
      </c>
      <c r="C14" s="1">
        <v>62</v>
      </c>
      <c r="D14" s="35">
        <v>3.7774193548387092</v>
      </c>
    </row>
    <row r="15" spans="1:4" x14ac:dyDescent="0.35">
      <c r="A15" s="34" t="s">
        <v>991</v>
      </c>
      <c r="B15" s="38">
        <v>5634</v>
      </c>
      <c r="C15" s="1">
        <v>63</v>
      </c>
      <c r="D15" s="35">
        <v>4.0730158730158736</v>
      </c>
    </row>
    <row r="16" spans="1:4" x14ac:dyDescent="0.35">
      <c r="A16" s="34" t="s">
        <v>974</v>
      </c>
      <c r="B16" s="38">
        <v>5404</v>
      </c>
      <c r="C16" s="1">
        <v>60</v>
      </c>
      <c r="D16" s="35">
        <v>3.609999999999999</v>
      </c>
    </row>
    <row r="17" spans="1:4" x14ac:dyDescent="0.35">
      <c r="A17" s="34" t="s">
        <v>1038</v>
      </c>
      <c r="B17" s="38">
        <v>5009</v>
      </c>
      <c r="C17" s="1">
        <v>59</v>
      </c>
      <c r="D17" s="35">
        <v>3.901694915254236</v>
      </c>
    </row>
    <row r="18" spans="1:4" x14ac:dyDescent="0.35">
      <c r="A18" s="34" t="s">
        <v>966</v>
      </c>
      <c r="B18" s="38">
        <v>4804</v>
      </c>
      <c r="C18" s="1">
        <v>50</v>
      </c>
      <c r="D18" s="35">
        <v>4.0179999999999998</v>
      </c>
    </row>
    <row r="19" spans="1:4" x14ac:dyDescent="0.35">
      <c r="A19" s="34" t="s">
        <v>1986</v>
      </c>
      <c r="B19" s="38">
        <v>96623</v>
      </c>
      <c r="C19" s="1">
        <v>1000</v>
      </c>
      <c r="D19" s="35">
        <v>3.8854000000000029</v>
      </c>
    </row>
    <row r="23" spans="1:4" x14ac:dyDescent="0.35">
      <c r="A23" s="33" t="s">
        <v>1985</v>
      </c>
      <c r="B23" t="s">
        <v>1987</v>
      </c>
    </row>
    <row r="24" spans="1:4" x14ac:dyDescent="0.35">
      <c r="A24" s="34" t="s">
        <v>1992</v>
      </c>
      <c r="B24" s="1">
        <v>16</v>
      </c>
    </row>
    <row r="25" spans="1:4" x14ac:dyDescent="0.35">
      <c r="A25" s="34" t="s">
        <v>1993</v>
      </c>
      <c r="B25" s="1">
        <v>14</v>
      </c>
    </row>
    <row r="26" spans="1:4" x14ac:dyDescent="0.35">
      <c r="A26" s="34" t="s">
        <v>1994</v>
      </c>
      <c r="B26" s="1">
        <v>26</v>
      </c>
    </row>
    <row r="27" spans="1:4" x14ac:dyDescent="0.35">
      <c r="A27" s="34" t="s">
        <v>1995</v>
      </c>
      <c r="B27" s="1">
        <v>29</v>
      </c>
    </row>
    <row r="28" spans="1:4" x14ac:dyDescent="0.35">
      <c r="A28" s="34" t="s">
        <v>1996</v>
      </c>
      <c r="B28" s="1">
        <v>17</v>
      </c>
    </row>
    <row r="29" spans="1:4" x14ac:dyDescent="0.35">
      <c r="A29" s="34" t="s">
        <v>1997</v>
      </c>
      <c r="B29" s="1">
        <v>15</v>
      </c>
    </row>
    <row r="30" spans="1:4" x14ac:dyDescent="0.35">
      <c r="A30" s="34" t="s">
        <v>1998</v>
      </c>
      <c r="B30" s="1">
        <v>15</v>
      </c>
    </row>
    <row r="31" spans="1:4" x14ac:dyDescent="0.35">
      <c r="A31" s="34" t="s">
        <v>1999</v>
      </c>
      <c r="B31" s="1">
        <v>7</v>
      </c>
    </row>
    <row r="32" spans="1:4" x14ac:dyDescent="0.35">
      <c r="A32" s="34" t="s">
        <v>2000</v>
      </c>
      <c r="B32" s="1">
        <v>11</v>
      </c>
    </row>
    <row r="33" spans="1:2" x14ac:dyDescent="0.35">
      <c r="A33" s="34" t="s">
        <v>2001</v>
      </c>
      <c r="B33" s="1">
        <v>24</v>
      </c>
    </row>
    <row r="34" spans="1:2" x14ac:dyDescent="0.35">
      <c r="A34" s="34" t="s">
        <v>2002</v>
      </c>
      <c r="B34" s="1">
        <v>9</v>
      </c>
    </row>
    <row r="35" spans="1:2" x14ac:dyDescent="0.35">
      <c r="A35" s="34" t="s">
        <v>2003</v>
      </c>
      <c r="B35" s="1">
        <v>6</v>
      </c>
    </row>
    <row r="36" spans="1:2" x14ac:dyDescent="0.35">
      <c r="A36" s="34" t="s">
        <v>1986</v>
      </c>
      <c r="B36" s="1">
        <v>189</v>
      </c>
    </row>
    <row r="42" spans="1:2" x14ac:dyDescent="0.35">
      <c r="A42" s="33" t="s">
        <v>1985</v>
      </c>
      <c r="B42" t="s">
        <v>1991</v>
      </c>
    </row>
    <row r="43" spans="1:2" x14ac:dyDescent="0.35">
      <c r="A43" s="34" t="s">
        <v>1992</v>
      </c>
      <c r="B43" s="38">
        <v>7790</v>
      </c>
    </row>
    <row r="44" spans="1:2" x14ac:dyDescent="0.35">
      <c r="A44" s="34" t="s">
        <v>1993</v>
      </c>
      <c r="B44" s="38">
        <v>13912</v>
      </c>
    </row>
    <row r="45" spans="1:2" x14ac:dyDescent="0.35">
      <c r="A45" s="34" t="s">
        <v>1994</v>
      </c>
      <c r="B45" s="38">
        <v>28475</v>
      </c>
    </row>
    <row r="46" spans="1:2" x14ac:dyDescent="0.35">
      <c r="A46" s="34" t="s">
        <v>1995</v>
      </c>
      <c r="B46" s="38">
        <v>42011</v>
      </c>
    </row>
    <row r="47" spans="1:2" x14ac:dyDescent="0.35">
      <c r="A47" s="34" t="s">
        <v>1996</v>
      </c>
      <c r="B47" s="38">
        <v>50182</v>
      </c>
    </row>
    <row r="48" spans="1:2" x14ac:dyDescent="0.35">
      <c r="A48" s="34" t="s">
        <v>1997</v>
      </c>
      <c r="B48" s="38">
        <v>56075</v>
      </c>
    </row>
    <row r="49" spans="1:2" x14ac:dyDescent="0.35">
      <c r="A49" s="34" t="s">
        <v>1998</v>
      </c>
      <c r="B49" s="38">
        <v>62082</v>
      </c>
    </row>
    <row r="50" spans="1:2" x14ac:dyDescent="0.35">
      <c r="A50" s="34" t="s">
        <v>1999</v>
      </c>
      <c r="B50" s="38">
        <v>67032</v>
      </c>
    </row>
    <row r="51" spans="1:2" x14ac:dyDescent="0.35">
      <c r="A51" s="34" t="s">
        <v>2000</v>
      </c>
      <c r="B51" s="38">
        <v>73721</v>
      </c>
    </row>
    <row r="52" spans="1:2" x14ac:dyDescent="0.35">
      <c r="A52" s="34" t="s">
        <v>2001</v>
      </c>
      <c r="B52" s="38">
        <v>84596</v>
      </c>
    </row>
    <row r="53" spans="1:2" x14ac:dyDescent="0.35">
      <c r="A53" s="34" t="s">
        <v>2002</v>
      </c>
      <c r="B53" s="38">
        <v>91371</v>
      </c>
    </row>
    <row r="54" spans="1:2" x14ac:dyDescent="0.35">
      <c r="A54" s="34" t="s">
        <v>2003</v>
      </c>
      <c r="B54" s="38">
        <v>96623</v>
      </c>
    </row>
    <row r="55" spans="1:2" x14ac:dyDescent="0.35">
      <c r="A55" s="34" t="s">
        <v>1986</v>
      </c>
      <c r="B55" s="38"/>
    </row>
    <row r="64" spans="1:2" x14ac:dyDescent="0.35">
      <c r="A64" s="33" t="s">
        <v>1985</v>
      </c>
      <c r="B64" t="s">
        <v>1991</v>
      </c>
    </row>
    <row r="65" spans="1:2" x14ac:dyDescent="0.35">
      <c r="A65" s="34">
        <v>2023</v>
      </c>
      <c r="B65" s="38"/>
    </row>
    <row r="66" spans="1:2" x14ac:dyDescent="0.35">
      <c r="A66" s="37" t="s">
        <v>1992</v>
      </c>
      <c r="B66" s="38">
        <v>7790</v>
      </c>
    </row>
    <row r="67" spans="1:2" x14ac:dyDescent="0.35">
      <c r="A67" s="37" t="s">
        <v>1993</v>
      </c>
      <c r="B67" s="38">
        <v>13912</v>
      </c>
    </row>
    <row r="68" spans="1:2" x14ac:dyDescent="0.35">
      <c r="A68" s="37" t="s">
        <v>1994</v>
      </c>
      <c r="B68" s="38">
        <v>28475</v>
      </c>
    </row>
    <row r="69" spans="1:2" x14ac:dyDescent="0.35">
      <c r="A69" s="37" t="s">
        <v>1995</v>
      </c>
      <c r="B69" s="38">
        <v>42011</v>
      </c>
    </row>
    <row r="70" spans="1:2" x14ac:dyDescent="0.35">
      <c r="A70" s="37" t="s">
        <v>1996</v>
      </c>
      <c r="B70" s="38">
        <v>50182</v>
      </c>
    </row>
    <row r="71" spans="1:2" x14ac:dyDescent="0.35">
      <c r="A71" s="37" t="s">
        <v>1997</v>
      </c>
      <c r="B71" s="38">
        <v>56075</v>
      </c>
    </row>
    <row r="72" spans="1:2" x14ac:dyDescent="0.35">
      <c r="A72" s="34">
        <v>2024</v>
      </c>
      <c r="B72" s="38"/>
    </row>
    <row r="73" spans="1:2" x14ac:dyDescent="0.35">
      <c r="A73" s="37" t="s">
        <v>1998</v>
      </c>
      <c r="B73" s="38">
        <v>6007</v>
      </c>
    </row>
    <row r="74" spans="1:2" x14ac:dyDescent="0.35">
      <c r="A74" s="37" t="s">
        <v>1999</v>
      </c>
      <c r="B74" s="38">
        <v>10957</v>
      </c>
    </row>
    <row r="75" spans="1:2" x14ac:dyDescent="0.35">
      <c r="A75" s="37" t="s">
        <v>2000</v>
      </c>
      <c r="B75" s="38">
        <v>17646</v>
      </c>
    </row>
    <row r="76" spans="1:2" x14ac:dyDescent="0.35">
      <c r="A76" s="37" t="s">
        <v>2001</v>
      </c>
      <c r="B76" s="38">
        <v>28521</v>
      </c>
    </row>
    <row r="77" spans="1:2" x14ac:dyDescent="0.35">
      <c r="A77" s="37" t="s">
        <v>2002</v>
      </c>
      <c r="B77" s="38">
        <v>35296</v>
      </c>
    </row>
    <row r="78" spans="1:2" x14ac:dyDescent="0.35">
      <c r="A78" s="37" t="s">
        <v>2003</v>
      </c>
      <c r="B78" s="38">
        <v>40548</v>
      </c>
    </row>
    <row r="79" spans="1:2" x14ac:dyDescent="0.35">
      <c r="A79" s="34" t="s">
        <v>1986</v>
      </c>
      <c r="B79" s="38"/>
    </row>
    <row r="84" spans="1:9" x14ac:dyDescent="0.35">
      <c r="A84" s="33" t="s">
        <v>1987</v>
      </c>
      <c r="B84" s="33" t="s">
        <v>1989</v>
      </c>
    </row>
    <row r="85" spans="1:9" x14ac:dyDescent="0.35">
      <c r="A85" s="33" t="s">
        <v>1985</v>
      </c>
      <c r="B85" s="17" t="s">
        <v>2006</v>
      </c>
      <c r="C85" s="17" t="s">
        <v>2007</v>
      </c>
      <c r="D85" s="17" t="s">
        <v>2008</v>
      </c>
      <c r="E85" s="17" t="s">
        <v>2009</v>
      </c>
      <c r="F85" s="17" t="s">
        <v>311</v>
      </c>
      <c r="G85" s="17" t="s">
        <v>2010</v>
      </c>
      <c r="H85" s="17" t="s">
        <v>2011</v>
      </c>
      <c r="I85" s="17" t="s">
        <v>1986</v>
      </c>
    </row>
    <row r="86" spans="1:9" x14ac:dyDescent="0.35">
      <c r="A86" s="34" t="s">
        <v>977</v>
      </c>
      <c r="B86" s="39">
        <v>0.22556390977443608</v>
      </c>
      <c r="C86" s="39">
        <v>9.420289855072464E-2</v>
      </c>
      <c r="D86" s="39">
        <v>0.15032679738562091</v>
      </c>
      <c r="E86" s="39">
        <v>0.1796875</v>
      </c>
      <c r="F86" s="39">
        <v>0.1702127659574468</v>
      </c>
      <c r="G86" s="39">
        <v>0.2484472049689441</v>
      </c>
      <c r="H86" s="39">
        <v>0.24657534246575341</v>
      </c>
      <c r="I86" s="39">
        <v>0.189</v>
      </c>
    </row>
    <row r="87" spans="1:9" x14ac:dyDescent="0.35">
      <c r="A87" s="34" t="s">
        <v>972</v>
      </c>
      <c r="B87" s="39">
        <v>0.18045112781954886</v>
      </c>
      <c r="C87" s="39">
        <v>0.3188405797101449</v>
      </c>
      <c r="D87" s="39">
        <v>0.23529411764705882</v>
      </c>
      <c r="E87" s="39">
        <v>0.2578125</v>
      </c>
      <c r="F87" s="39">
        <v>0.20567375886524822</v>
      </c>
      <c r="G87" s="39">
        <v>0.14906832298136646</v>
      </c>
      <c r="H87" s="39">
        <v>0.19178082191780821</v>
      </c>
      <c r="I87" s="39">
        <v>0.218</v>
      </c>
    </row>
    <row r="88" spans="1:9" x14ac:dyDescent="0.35">
      <c r="A88" s="34" t="s">
        <v>986</v>
      </c>
      <c r="B88" s="39">
        <v>0.25563909774436089</v>
      </c>
      <c r="C88" s="39">
        <v>0.18840579710144928</v>
      </c>
      <c r="D88" s="39">
        <v>0.24836601307189543</v>
      </c>
      <c r="E88" s="39">
        <v>0.2109375</v>
      </c>
      <c r="F88" s="39">
        <v>0.19148936170212766</v>
      </c>
      <c r="G88" s="39">
        <v>0.15527950310559005</v>
      </c>
      <c r="H88" s="39">
        <v>0.20547945205479451</v>
      </c>
      <c r="I88" s="39">
        <v>0.20699999999999999</v>
      </c>
    </row>
    <row r="89" spans="1:9" x14ac:dyDescent="0.35">
      <c r="A89" s="34" t="s">
        <v>982</v>
      </c>
      <c r="B89" s="39">
        <v>0.17293233082706766</v>
      </c>
      <c r="C89" s="39">
        <v>0.20289855072463769</v>
      </c>
      <c r="D89" s="39">
        <v>0.18954248366013071</v>
      </c>
      <c r="E89" s="39">
        <v>0.140625</v>
      </c>
      <c r="F89" s="39">
        <v>0.20567375886524822</v>
      </c>
      <c r="G89" s="39">
        <v>0.21118012422360249</v>
      </c>
      <c r="H89" s="39">
        <v>0.17123287671232876</v>
      </c>
      <c r="I89" s="39">
        <v>0.186</v>
      </c>
    </row>
    <row r="90" spans="1:9" x14ac:dyDescent="0.35">
      <c r="A90" s="34" t="s">
        <v>967</v>
      </c>
      <c r="B90" s="39">
        <v>0.16541353383458646</v>
      </c>
      <c r="C90" s="39">
        <v>0.19565217391304349</v>
      </c>
      <c r="D90" s="39">
        <v>0.17647058823529413</v>
      </c>
      <c r="E90" s="39">
        <v>0.2109375</v>
      </c>
      <c r="F90" s="39">
        <v>0.22695035460992907</v>
      </c>
      <c r="G90" s="39">
        <v>0.2360248447204969</v>
      </c>
      <c r="H90" s="39">
        <v>0.18493150684931506</v>
      </c>
      <c r="I90" s="39">
        <v>0.2</v>
      </c>
    </row>
    <row r="91" spans="1:9" x14ac:dyDescent="0.35">
      <c r="A91" s="34" t="s">
        <v>1986</v>
      </c>
      <c r="B91" s="39">
        <v>1</v>
      </c>
      <c r="C91" s="39">
        <v>1</v>
      </c>
      <c r="D91" s="39">
        <v>1</v>
      </c>
      <c r="E91" s="39">
        <v>1</v>
      </c>
      <c r="F91" s="39">
        <v>1</v>
      </c>
      <c r="G91" s="39">
        <v>1</v>
      </c>
      <c r="H91" s="39">
        <v>1</v>
      </c>
      <c r="I91" s="39">
        <v>1</v>
      </c>
    </row>
    <row r="96" spans="1:9" x14ac:dyDescent="0.35">
      <c r="A96" s="33" t="s">
        <v>1987</v>
      </c>
      <c r="B96" s="33" t="s">
        <v>1989</v>
      </c>
    </row>
    <row r="97" spans="1:14" x14ac:dyDescent="0.35">
      <c r="A97" s="33" t="s">
        <v>1985</v>
      </c>
      <c r="B97" s="17">
        <v>2</v>
      </c>
      <c r="C97" s="17">
        <v>3</v>
      </c>
      <c r="D97" s="17">
        <v>4</v>
      </c>
      <c r="E97" s="17">
        <v>5</v>
      </c>
      <c r="F97" s="17" t="s">
        <v>1986</v>
      </c>
    </row>
    <row r="98" spans="1:14" x14ac:dyDescent="0.35">
      <c r="A98" s="34" t="s">
        <v>2020</v>
      </c>
      <c r="B98" s="1"/>
      <c r="C98" s="1">
        <v>1</v>
      </c>
      <c r="D98" s="1">
        <v>2</v>
      </c>
      <c r="E98" s="1"/>
      <c r="F98" s="1">
        <v>3</v>
      </c>
    </row>
    <row r="99" spans="1:14" x14ac:dyDescent="0.35">
      <c r="A99" s="34" t="s">
        <v>2017</v>
      </c>
      <c r="B99" s="1">
        <v>1</v>
      </c>
      <c r="C99" s="1">
        <v>2</v>
      </c>
      <c r="D99" s="1">
        <v>3</v>
      </c>
      <c r="E99" s="1">
        <v>3</v>
      </c>
      <c r="F99" s="1">
        <v>9</v>
      </c>
    </row>
    <row r="100" spans="1:14" x14ac:dyDescent="0.35">
      <c r="A100" s="34" t="s">
        <v>2018</v>
      </c>
      <c r="B100" s="1">
        <v>2</v>
      </c>
      <c r="C100" s="1">
        <v>6</v>
      </c>
      <c r="D100" s="1">
        <v>19</v>
      </c>
      <c r="E100" s="1">
        <v>5</v>
      </c>
      <c r="F100" s="1">
        <v>32</v>
      </c>
    </row>
    <row r="101" spans="1:14" x14ac:dyDescent="0.35">
      <c r="A101" s="34" t="s">
        <v>2016</v>
      </c>
      <c r="B101" s="1">
        <v>3</v>
      </c>
      <c r="C101" s="1">
        <v>25</v>
      </c>
      <c r="D101" s="1">
        <v>51</v>
      </c>
      <c r="E101" s="1">
        <v>29</v>
      </c>
      <c r="F101" s="1">
        <v>108</v>
      </c>
    </row>
    <row r="102" spans="1:14" x14ac:dyDescent="0.35">
      <c r="A102" s="34" t="s">
        <v>2019</v>
      </c>
      <c r="B102" s="1">
        <v>4</v>
      </c>
      <c r="C102" s="1">
        <v>10</v>
      </c>
      <c r="D102" s="1">
        <v>20</v>
      </c>
      <c r="E102" s="1">
        <v>14</v>
      </c>
      <c r="F102" s="1">
        <v>48</v>
      </c>
    </row>
    <row r="103" spans="1:14" x14ac:dyDescent="0.35">
      <c r="A103" s="34" t="s">
        <v>1986</v>
      </c>
      <c r="B103" s="1">
        <v>10</v>
      </c>
      <c r="C103" s="1">
        <v>44</v>
      </c>
      <c r="D103" s="1">
        <v>95</v>
      </c>
      <c r="E103" s="1">
        <v>51</v>
      </c>
      <c r="F103" s="1">
        <v>200</v>
      </c>
    </row>
    <row r="107" spans="1:14" x14ac:dyDescent="0.35">
      <c r="A107" s="33" t="s">
        <v>1987</v>
      </c>
      <c r="B107" s="33" t="s">
        <v>1989</v>
      </c>
    </row>
    <row r="108" spans="1:14" x14ac:dyDescent="0.35">
      <c r="A108" s="33" t="s">
        <v>1985</v>
      </c>
      <c r="B108" s="17" t="s">
        <v>1992</v>
      </c>
      <c r="C108" s="17" t="s">
        <v>1993</v>
      </c>
      <c r="D108" s="17" t="s">
        <v>1994</v>
      </c>
      <c r="E108" s="17" t="s">
        <v>1995</v>
      </c>
      <c r="F108" s="17" t="s">
        <v>1996</v>
      </c>
      <c r="G108" s="17" t="s">
        <v>1997</v>
      </c>
      <c r="H108" s="17" t="s">
        <v>1998</v>
      </c>
      <c r="I108" s="17" t="s">
        <v>1999</v>
      </c>
      <c r="J108" s="17" t="s">
        <v>2000</v>
      </c>
      <c r="K108" s="17" t="s">
        <v>2001</v>
      </c>
      <c r="L108" s="17" t="s">
        <v>2002</v>
      </c>
      <c r="M108" s="17" t="s">
        <v>2003</v>
      </c>
      <c r="N108" s="17" t="s">
        <v>1986</v>
      </c>
    </row>
    <row r="109" spans="1:14" x14ac:dyDescent="0.35">
      <c r="A109" s="34" t="s">
        <v>977</v>
      </c>
      <c r="B109" s="1">
        <v>16</v>
      </c>
      <c r="C109" s="1">
        <v>14</v>
      </c>
      <c r="D109" s="1">
        <v>26</v>
      </c>
      <c r="E109" s="1">
        <v>29</v>
      </c>
      <c r="F109" s="1">
        <v>17</v>
      </c>
      <c r="G109" s="1">
        <v>15</v>
      </c>
      <c r="H109" s="1">
        <v>15</v>
      </c>
      <c r="I109" s="1">
        <v>7</v>
      </c>
      <c r="J109" s="1">
        <v>11</v>
      </c>
      <c r="K109" s="1">
        <v>24</v>
      </c>
      <c r="L109" s="1">
        <v>9</v>
      </c>
      <c r="M109" s="1">
        <v>6</v>
      </c>
      <c r="N109" s="1">
        <v>189</v>
      </c>
    </row>
    <row r="110" spans="1:14" x14ac:dyDescent="0.35">
      <c r="A110" s="34" t="s">
        <v>972</v>
      </c>
      <c r="B110" s="1">
        <v>19</v>
      </c>
      <c r="C110" s="1">
        <v>10</v>
      </c>
      <c r="D110" s="1">
        <v>40</v>
      </c>
      <c r="E110" s="1">
        <v>40</v>
      </c>
      <c r="F110" s="1">
        <v>13</v>
      </c>
      <c r="G110" s="1">
        <v>12</v>
      </c>
      <c r="H110" s="1">
        <v>9</v>
      </c>
      <c r="I110" s="1">
        <v>13</v>
      </c>
      <c r="J110" s="1">
        <v>18</v>
      </c>
      <c r="K110" s="1">
        <v>21</v>
      </c>
      <c r="L110" s="1">
        <v>14</v>
      </c>
      <c r="M110" s="1">
        <v>9</v>
      </c>
      <c r="N110" s="1">
        <v>218</v>
      </c>
    </row>
    <row r="111" spans="1:14" x14ac:dyDescent="0.35">
      <c r="A111" s="34" t="s">
        <v>986</v>
      </c>
      <c r="B111" s="1">
        <v>13</v>
      </c>
      <c r="C111" s="1">
        <v>13</v>
      </c>
      <c r="D111" s="1">
        <v>28</v>
      </c>
      <c r="E111" s="1">
        <v>24</v>
      </c>
      <c r="F111" s="1">
        <v>23</v>
      </c>
      <c r="G111" s="1">
        <v>17</v>
      </c>
      <c r="H111" s="1">
        <v>11</v>
      </c>
      <c r="I111" s="1">
        <v>11</v>
      </c>
      <c r="J111" s="1">
        <v>14</v>
      </c>
      <c r="K111" s="1">
        <v>30</v>
      </c>
      <c r="L111" s="1">
        <v>14</v>
      </c>
      <c r="M111" s="1">
        <v>9</v>
      </c>
      <c r="N111" s="1">
        <v>207</v>
      </c>
    </row>
    <row r="112" spans="1:14" x14ac:dyDescent="0.35">
      <c r="A112" s="34" t="s">
        <v>982</v>
      </c>
      <c r="B112" s="1">
        <v>10</v>
      </c>
      <c r="C112" s="1">
        <v>11</v>
      </c>
      <c r="D112" s="1">
        <v>30</v>
      </c>
      <c r="E112" s="1">
        <v>23</v>
      </c>
      <c r="F112" s="1">
        <v>22</v>
      </c>
      <c r="G112" s="1">
        <v>11</v>
      </c>
      <c r="H112" s="1">
        <v>17</v>
      </c>
      <c r="I112" s="1">
        <v>12</v>
      </c>
      <c r="J112" s="1">
        <v>13</v>
      </c>
      <c r="K112" s="1">
        <v>15</v>
      </c>
      <c r="L112" s="1">
        <v>8</v>
      </c>
      <c r="M112" s="1">
        <v>14</v>
      </c>
      <c r="N112" s="1">
        <v>186</v>
      </c>
    </row>
    <row r="113" spans="1:14" x14ac:dyDescent="0.35">
      <c r="A113" s="34" t="s">
        <v>967</v>
      </c>
      <c r="B113" s="1">
        <v>21</v>
      </c>
      <c r="C113" s="1">
        <v>18</v>
      </c>
      <c r="D113" s="1">
        <v>31</v>
      </c>
      <c r="E113" s="1">
        <v>20</v>
      </c>
      <c r="F113" s="1">
        <v>8</v>
      </c>
      <c r="G113" s="1">
        <v>12</v>
      </c>
      <c r="H113" s="1">
        <v>12</v>
      </c>
      <c r="I113" s="1">
        <v>7</v>
      </c>
      <c r="J113" s="1">
        <v>20</v>
      </c>
      <c r="K113" s="1">
        <v>24</v>
      </c>
      <c r="L113" s="1">
        <v>12</v>
      </c>
      <c r="M113" s="1">
        <v>15</v>
      </c>
      <c r="N113" s="1">
        <v>200</v>
      </c>
    </row>
    <row r="114" spans="1:14" x14ac:dyDescent="0.35">
      <c r="A114" s="34" t="s">
        <v>1986</v>
      </c>
      <c r="B114" s="1">
        <v>79</v>
      </c>
      <c r="C114" s="1">
        <v>66</v>
      </c>
      <c r="D114" s="1">
        <v>155</v>
      </c>
      <c r="E114" s="1">
        <v>136</v>
      </c>
      <c r="F114" s="1">
        <v>83</v>
      </c>
      <c r="G114" s="1">
        <v>67</v>
      </c>
      <c r="H114" s="1">
        <v>64</v>
      </c>
      <c r="I114" s="1">
        <v>50</v>
      </c>
      <c r="J114" s="1">
        <v>76</v>
      </c>
      <c r="K114" s="1">
        <v>114</v>
      </c>
      <c r="L114" s="1">
        <v>57</v>
      </c>
      <c r="M114" s="1">
        <v>53</v>
      </c>
      <c r="N114" s="1">
        <v>1000</v>
      </c>
    </row>
    <row r="118" spans="1:14" x14ac:dyDescent="0.35">
      <c r="A118" s="33" t="s">
        <v>1987</v>
      </c>
      <c r="B118" s="33" t="s">
        <v>1989</v>
      </c>
    </row>
    <row r="119" spans="1:14" x14ac:dyDescent="0.35">
      <c r="A119" s="33" t="s">
        <v>1985</v>
      </c>
      <c r="B119" s="17" t="s">
        <v>977</v>
      </c>
      <c r="C119" s="17" t="s">
        <v>972</v>
      </c>
      <c r="D119" s="17" t="s">
        <v>986</v>
      </c>
      <c r="E119" s="17" t="s">
        <v>982</v>
      </c>
      <c r="F119" s="17" t="s">
        <v>967</v>
      </c>
      <c r="G119" s="17" t="s">
        <v>1986</v>
      </c>
    </row>
    <row r="120" spans="1:14" x14ac:dyDescent="0.35">
      <c r="A120" s="34">
        <v>0</v>
      </c>
      <c r="B120" s="1"/>
      <c r="C120" s="1"/>
      <c r="D120" s="1">
        <v>1</v>
      </c>
      <c r="E120" s="1"/>
      <c r="F120" s="1"/>
      <c r="G120" s="1">
        <v>1</v>
      </c>
    </row>
    <row r="121" spans="1:14" x14ac:dyDescent="0.35">
      <c r="A121" s="34">
        <v>1</v>
      </c>
      <c r="B121" s="1">
        <v>1</v>
      </c>
      <c r="C121" s="1">
        <v>3</v>
      </c>
      <c r="D121" s="1">
        <v>1</v>
      </c>
      <c r="E121" s="1">
        <v>3</v>
      </c>
      <c r="F121" s="1"/>
      <c r="G121" s="1">
        <v>8</v>
      </c>
    </row>
    <row r="122" spans="1:14" x14ac:dyDescent="0.35">
      <c r="A122" s="34">
        <v>2</v>
      </c>
      <c r="B122" s="1">
        <v>9</v>
      </c>
      <c r="C122" s="1">
        <v>19</v>
      </c>
      <c r="D122" s="1">
        <v>11</v>
      </c>
      <c r="E122" s="1">
        <v>10</v>
      </c>
      <c r="F122" s="1">
        <v>10</v>
      </c>
      <c r="G122" s="1">
        <v>59</v>
      </c>
    </row>
    <row r="123" spans="1:14" x14ac:dyDescent="0.35">
      <c r="A123" s="34">
        <v>3</v>
      </c>
      <c r="B123" s="1">
        <v>31</v>
      </c>
      <c r="C123" s="1">
        <v>35</v>
      </c>
      <c r="D123" s="1">
        <v>46</v>
      </c>
      <c r="E123" s="1">
        <v>41</v>
      </c>
      <c r="F123" s="1">
        <v>44</v>
      </c>
      <c r="G123" s="1">
        <v>197</v>
      </c>
    </row>
    <row r="124" spans="1:14" x14ac:dyDescent="0.35">
      <c r="A124" s="34">
        <v>4</v>
      </c>
      <c r="B124" s="1">
        <v>88</v>
      </c>
      <c r="C124" s="1">
        <v>87</v>
      </c>
      <c r="D124" s="1">
        <v>88</v>
      </c>
      <c r="E124" s="1">
        <v>70</v>
      </c>
      <c r="F124" s="1">
        <v>95</v>
      </c>
      <c r="G124" s="1">
        <v>428</v>
      </c>
    </row>
    <row r="125" spans="1:14" x14ac:dyDescent="0.35">
      <c r="A125" s="34">
        <v>5</v>
      </c>
      <c r="B125" s="1">
        <v>60</v>
      </c>
      <c r="C125" s="1">
        <v>74</v>
      </c>
      <c r="D125" s="1">
        <v>60</v>
      </c>
      <c r="E125" s="1">
        <v>62</v>
      </c>
      <c r="F125" s="1">
        <v>51</v>
      </c>
      <c r="G125" s="1">
        <v>307</v>
      </c>
    </row>
    <row r="126" spans="1:14" x14ac:dyDescent="0.35">
      <c r="A126" s="34" t="s">
        <v>1986</v>
      </c>
      <c r="B126" s="1">
        <v>189</v>
      </c>
      <c r="C126" s="1">
        <v>218</v>
      </c>
      <c r="D126" s="1">
        <v>207</v>
      </c>
      <c r="E126" s="1">
        <v>186</v>
      </c>
      <c r="F126" s="1">
        <v>200</v>
      </c>
      <c r="G126" s="1">
        <v>1000</v>
      </c>
    </row>
    <row r="147" spans="1:13" x14ac:dyDescent="0.35">
      <c r="B147" s="33" t="s">
        <v>1989</v>
      </c>
    </row>
    <row r="148" spans="1:13" x14ac:dyDescent="0.35">
      <c r="B148" s="17" t="s">
        <v>2020</v>
      </c>
      <c r="D148" s="17" t="s">
        <v>2017</v>
      </c>
      <c r="F148" s="17" t="s">
        <v>2018</v>
      </c>
      <c r="H148" s="17" t="s">
        <v>2016</v>
      </c>
      <c r="J148" s="17" t="s">
        <v>2019</v>
      </c>
      <c r="L148" s="17" t="s">
        <v>2012</v>
      </c>
      <c r="M148" s="17" t="s">
        <v>2013</v>
      </c>
    </row>
    <row r="149" spans="1:13" x14ac:dyDescent="0.35">
      <c r="A149" s="33" t="s">
        <v>1985</v>
      </c>
      <c r="B149" s="17" t="s">
        <v>1987</v>
      </c>
      <c r="C149" s="17" t="s">
        <v>1991</v>
      </c>
      <c r="D149" s="17" t="s">
        <v>1987</v>
      </c>
      <c r="E149" s="17" t="s">
        <v>1991</v>
      </c>
      <c r="F149" s="17" t="s">
        <v>1987</v>
      </c>
      <c r="G149" s="17" t="s">
        <v>1991</v>
      </c>
      <c r="H149" s="17" t="s">
        <v>1987</v>
      </c>
      <c r="I149" s="17" t="s">
        <v>1991</v>
      </c>
      <c r="J149" s="17" t="s">
        <v>1987</v>
      </c>
      <c r="K149" s="17" t="s">
        <v>1991</v>
      </c>
    </row>
    <row r="150" spans="1:13" x14ac:dyDescent="0.35">
      <c r="A150" s="34" t="s">
        <v>1018</v>
      </c>
      <c r="B150" s="1"/>
      <c r="C150" s="1"/>
      <c r="D150" s="1">
        <v>4</v>
      </c>
      <c r="E150" s="1">
        <v>435</v>
      </c>
      <c r="F150" s="1">
        <v>9</v>
      </c>
      <c r="G150" s="1">
        <v>979</v>
      </c>
      <c r="H150" s="1">
        <v>37</v>
      </c>
      <c r="I150" s="1">
        <v>4123</v>
      </c>
      <c r="J150" s="1">
        <v>15</v>
      </c>
      <c r="K150" s="1">
        <v>1248</v>
      </c>
      <c r="L150" s="1">
        <v>65</v>
      </c>
      <c r="M150" s="1">
        <v>6785</v>
      </c>
    </row>
    <row r="151" spans="1:13" x14ac:dyDescent="0.35">
      <c r="A151" s="34" t="s">
        <v>991</v>
      </c>
      <c r="B151" s="1"/>
      <c r="C151" s="1"/>
      <c r="D151" s="1">
        <v>4</v>
      </c>
      <c r="E151" s="1">
        <v>284</v>
      </c>
      <c r="F151" s="1">
        <v>11</v>
      </c>
      <c r="G151" s="1">
        <v>1000</v>
      </c>
      <c r="H151" s="1">
        <v>34</v>
      </c>
      <c r="I151" s="1">
        <v>3121</v>
      </c>
      <c r="J151" s="1">
        <v>14</v>
      </c>
      <c r="K151" s="1">
        <v>1229</v>
      </c>
      <c r="L151" s="1">
        <v>63</v>
      </c>
      <c r="M151" s="1">
        <v>5634</v>
      </c>
    </row>
    <row r="152" spans="1:13" x14ac:dyDescent="0.35">
      <c r="A152" s="34" t="s">
        <v>966</v>
      </c>
      <c r="B152" s="1"/>
      <c r="C152" s="1"/>
      <c r="D152" s="1">
        <v>2</v>
      </c>
      <c r="E152" s="1">
        <v>49</v>
      </c>
      <c r="F152" s="1">
        <v>6</v>
      </c>
      <c r="G152" s="1">
        <v>675</v>
      </c>
      <c r="H152" s="1">
        <v>32</v>
      </c>
      <c r="I152" s="1">
        <v>3116</v>
      </c>
      <c r="J152" s="1">
        <v>10</v>
      </c>
      <c r="K152" s="1">
        <v>964</v>
      </c>
      <c r="L152" s="1">
        <v>50</v>
      </c>
      <c r="M152" s="1">
        <v>4804</v>
      </c>
    </row>
    <row r="153" spans="1:13" x14ac:dyDescent="0.35">
      <c r="A153" s="34" t="s">
        <v>969</v>
      </c>
      <c r="B153" s="1">
        <v>1</v>
      </c>
      <c r="C153" s="1">
        <v>102</v>
      </c>
      <c r="D153" s="1">
        <v>3</v>
      </c>
      <c r="E153" s="1">
        <v>377</v>
      </c>
      <c r="F153" s="1">
        <v>17</v>
      </c>
      <c r="G153" s="1">
        <v>1507</v>
      </c>
      <c r="H153" s="1">
        <v>40</v>
      </c>
      <c r="I153" s="1">
        <v>3831</v>
      </c>
      <c r="J153" s="1">
        <v>21</v>
      </c>
      <c r="K153" s="1">
        <v>1872</v>
      </c>
      <c r="L153" s="1">
        <v>82</v>
      </c>
      <c r="M153" s="1">
        <v>7689</v>
      </c>
    </row>
    <row r="154" spans="1:13" x14ac:dyDescent="0.35">
      <c r="A154" s="34" t="s">
        <v>971</v>
      </c>
      <c r="B154" s="1"/>
      <c r="C154" s="1"/>
      <c r="D154" s="1">
        <v>5</v>
      </c>
      <c r="E154" s="1">
        <v>341</v>
      </c>
      <c r="F154" s="1">
        <v>17</v>
      </c>
      <c r="G154" s="1">
        <v>2070</v>
      </c>
      <c r="H154" s="1">
        <v>45</v>
      </c>
      <c r="I154" s="1">
        <v>4336</v>
      </c>
      <c r="J154" s="1">
        <v>12</v>
      </c>
      <c r="K154" s="1">
        <v>1000</v>
      </c>
      <c r="L154" s="1">
        <v>79</v>
      </c>
      <c r="M154" s="1">
        <v>7747</v>
      </c>
    </row>
    <row r="155" spans="1:13" x14ac:dyDescent="0.35">
      <c r="A155" s="34" t="s">
        <v>1000</v>
      </c>
      <c r="B155" s="1">
        <v>1</v>
      </c>
      <c r="C155" s="1">
        <v>64</v>
      </c>
      <c r="D155" s="1">
        <v>3</v>
      </c>
      <c r="E155" s="1">
        <v>190</v>
      </c>
      <c r="F155" s="1">
        <v>13</v>
      </c>
      <c r="G155" s="1">
        <v>1753</v>
      </c>
      <c r="H155" s="1">
        <v>25</v>
      </c>
      <c r="I155" s="1">
        <v>2312</v>
      </c>
      <c r="J155" s="1">
        <v>20</v>
      </c>
      <c r="K155" s="1">
        <v>1857</v>
      </c>
      <c r="L155" s="1">
        <v>62</v>
      </c>
      <c r="M155" s="1">
        <v>6176</v>
      </c>
    </row>
    <row r="156" spans="1:13" x14ac:dyDescent="0.35">
      <c r="A156" s="34" t="s">
        <v>980</v>
      </c>
      <c r="B156" s="1"/>
      <c r="C156" s="1"/>
      <c r="D156" s="1">
        <v>1</v>
      </c>
      <c r="E156" s="1">
        <v>75</v>
      </c>
      <c r="F156" s="1">
        <v>15</v>
      </c>
      <c r="G156" s="1">
        <v>1926</v>
      </c>
      <c r="H156" s="1">
        <v>35</v>
      </c>
      <c r="I156" s="1">
        <v>3448</v>
      </c>
      <c r="J156" s="1">
        <v>16</v>
      </c>
      <c r="K156" s="1">
        <v>1767</v>
      </c>
      <c r="L156" s="1">
        <v>67</v>
      </c>
      <c r="M156" s="1">
        <v>7216</v>
      </c>
    </row>
    <row r="157" spans="1:13" x14ac:dyDescent="0.35">
      <c r="A157" s="34" t="s">
        <v>1038</v>
      </c>
      <c r="B157" s="1">
        <v>1</v>
      </c>
      <c r="C157" s="1">
        <v>29</v>
      </c>
      <c r="D157" s="1">
        <v>1</v>
      </c>
      <c r="E157" s="1">
        <v>43</v>
      </c>
      <c r="F157" s="1">
        <v>10</v>
      </c>
      <c r="G157" s="1">
        <v>955</v>
      </c>
      <c r="H157" s="1">
        <v>32</v>
      </c>
      <c r="I157" s="1">
        <v>2901</v>
      </c>
      <c r="J157" s="1">
        <v>15</v>
      </c>
      <c r="K157" s="1">
        <v>1081</v>
      </c>
      <c r="L157" s="1">
        <v>59</v>
      </c>
      <c r="M157" s="1">
        <v>5009</v>
      </c>
    </row>
    <row r="158" spans="1:13" x14ac:dyDescent="0.35">
      <c r="A158" s="34" t="s">
        <v>997</v>
      </c>
      <c r="B158" s="1"/>
      <c r="C158" s="1"/>
      <c r="D158" s="1">
        <v>4</v>
      </c>
      <c r="E158" s="1">
        <v>267</v>
      </c>
      <c r="F158" s="1">
        <v>8</v>
      </c>
      <c r="G158" s="1">
        <v>833</v>
      </c>
      <c r="H158" s="1">
        <v>48</v>
      </c>
      <c r="I158" s="1">
        <v>4702</v>
      </c>
      <c r="J158" s="1">
        <v>9</v>
      </c>
      <c r="K158" s="1">
        <v>799</v>
      </c>
      <c r="L158" s="1">
        <v>69</v>
      </c>
      <c r="M158" s="1">
        <v>6601</v>
      </c>
    </row>
    <row r="159" spans="1:13" x14ac:dyDescent="0.35">
      <c r="A159" s="34" t="s">
        <v>985</v>
      </c>
      <c r="B159" s="1">
        <v>1</v>
      </c>
      <c r="C159" s="1">
        <v>31</v>
      </c>
      <c r="D159" s="1">
        <v>2</v>
      </c>
      <c r="E159" s="1">
        <v>225</v>
      </c>
      <c r="F159" s="1">
        <v>12</v>
      </c>
      <c r="G159" s="1">
        <v>753</v>
      </c>
      <c r="H159" s="1">
        <v>36</v>
      </c>
      <c r="I159" s="1">
        <v>3334</v>
      </c>
      <c r="J159" s="1">
        <v>21</v>
      </c>
      <c r="K159" s="1">
        <v>1899</v>
      </c>
      <c r="L159" s="1">
        <v>72</v>
      </c>
      <c r="M159" s="1">
        <v>6242</v>
      </c>
    </row>
    <row r="160" spans="1:13" x14ac:dyDescent="0.35">
      <c r="A160" s="34" t="s">
        <v>976</v>
      </c>
      <c r="B160" s="1">
        <v>1</v>
      </c>
      <c r="C160" s="1">
        <v>170</v>
      </c>
      <c r="D160" s="1">
        <v>10</v>
      </c>
      <c r="E160" s="1">
        <v>703</v>
      </c>
      <c r="F160" s="1">
        <v>13</v>
      </c>
      <c r="G160" s="1">
        <v>1473</v>
      </c>
      <c r="H160" s="1">
        <v>32</v>
      </c>
      <c r="I160" s="1">
        <v>2695</v>
      </c>
      <c r="J160" s="1">
        <v>18</v>
      </c>
      <c r="K160" s="1">
        <v>1708</v>
      </c>
      <c r="L160" s="1">
        <v>74</v>
      </c>
      <c r="M160" s="1">
        <v>6749</v>
      </c>
    </row>
    <row r="161" spans="1:13" x14ac:dyDescent="0.35">
      <c r="A161" s="34" t="s">
        <v>1008</v>
      </c>
      <c r="B161" s="1">
        <v>1</v>
      </c>
      <c r="C161" s="1">
        <v>20</v>
      </c>
      <c r="D161" s="1">
        <v>6</v>
      </c>
      <c r="E161" s="1">
        <v>613</v>
      </c>
      <c r="F161" s="1">
        <v>12</v>
      </c>
      <c r="G161" s="1">
        <v>1122</v>
      </c>
      <c r="H161" s="1">
        <v>33</v>
      </c>
      <c r="I161" s="1">
        <v>3236</v>
      </c>
      <c r="J161" s="1">
        <v>18</v>
      </c>
      <c r="K161" s="1">
        <v>1828</v>
      </c>
      <c r="L161" s="1">
        <v>70</v>
      </c>
      <c r="M161" s="1">
        <v>6819</v>
      </c>
    </row>
    <row r="162" spans="1:13" x14ac:dyDescent="0.35">
      <c r="A162" s="34" t="s">
        <v>989</v>
      </c>
      <c r="B162" s="1">
        <v>2</v>
      </c>
      <c r="C162" s="1">
        <v>137</v>
      </c>
      <c r="D162" s="1">
        <v>3</v>
      </c>
      <c r="E162" s="1">
        <v>408</v>
      </c>
      <c r="F162" s="1">
        <v>13</v>
      </c>
      <c r="G162" s="1">
        <v>1140</v>
      </c>
      <c r="H162" s="1">
        <v>32</v>
      </c>
      <c r="I162" s="1">
        <v>3418</v>
      </c>
      <c r="J162" s="1">
        <v>19</v>
      </c>
      <c r="K162" s="1">
        <v>2127</v>
      </c>
      <c r="L162" s="1">
        <v>69</v>
      </c>
      <c r="M162" s="1">
        <v>7230</v>
      </c>
    </row>
    <row r="163" spans="1:13" x14ac:dyDescent="0.35">
      <c r="A163" s="34" t="s">
        <v>974</v>
      </c>
      <c r="B163" s="1"/>
      <c r="C163" s="1"/>
      <c r="D163" s="1">
        <v>1</v>
      </c>
      <c r="E163" s="1">
        <v>38</v>
      </c>
      <c r="F163" s="1">
        <v>10</v>
      </c>
      <c r="G163" s="1">
        <v>844</v>
      </c>
      <c r="H163" s="1">
        <v>35</v>
      </c>
      <c r="I163" s="1">
        <v>3328</v>
      </c>
      <c r="J163" s="1">
        <v>14</v>
      </c>
      <c r="K163" s="1">
        <v>1194</v>
      </c>
      <c r="L163" s="1">
        <v>60</v>
      </c>
      <c r="M163" s="1">
        <v>5404</v>
      </c>
    </row>
    <row r="164" spans="1:13" x14ac:dyDescent="0.35">
      <c r="A164" s="34" t="s">
        <v>1005</v>
      </c>
      <c r="B164" s="1">
        <v>1</v>
      </c>
      <c r="C164" s="1">
        <v>72</v>
      </c>
      <c r="D164" s="1">
        <v>2</v>
      </c>
      <c r="E164" s="1">
        <v>170</v>
      </c>
      <c r="F164" s="1">
        <v>13</v>
      </c>
      <c r="G164" s="1">
        <v>1555</v>
      </c>
      <c r="H164" s="1">
        <v>28</v>
      </c>
      <c r="I164" s="1">
        <v>3004</v>
      </c>
      <c r="J164" s="1">
        <v>15</v>
      </c>
      <c r="K164" s="1">
        <v>1717</v>
      </c>
      <c r="L164" s="1">
        <v>59</v>
      </c>
      <c r="M164" s="1">
        <v>6518</v>
      </c>
    </row>
    <row r="165" spans="1:13" x14ac:dyDescent="0.35">
      <c r="A165" s="34" t="s">
        <v>1986</v>
      </c>
      <c r="B165" s="1">
        <v>9</v>
      </c>
      <c r="C165" s="1">
        <v>625</v>
      </c>
      <c r="D165" s="1">
        <v>51</v>
      </c>
      <c r="E165" s="1">
        <v>4218</v>
      </c>
      <c r="F165" s="1">
        <v>179</v>
      </c>
      <c r="G165" s="1">
        <v>18585</v>
      </c>
      <c r="H165" s="1">
        <v>524</v>
      </c>
      <c r="I165" s="1">
        <v>50905</v>
      </c>
      <c r="J165" s="1">
        <v>237</v>
      </c>
      <c r="K165" s="1">
        <v>22290</v>
      </c>
      <c r="L165" s="1">
        <v>1000</v>
      </c>
      <c r="M165" s="1">
        <v>96623</v>
      </c>
    </row>
  </sheetData>
  <conditionalFormatting pivot="1" sqref="B86:H90">
    <cfRule type="colorScale" priority="5">
      <colorScale>
        <cfvo type="min"/>
        <cfvo type="percentile" val="50"/>
        <cfvo type="max"/>
        <color rgb="FFF8696B"/>
        <color rgb="FFFFEB84"/>
        <color rgb="FF63BE7B"/>
      </colorScale>
    </cfRule>
  </conditionalFormatting>
  <conditionalFormatting pivot="1" sqref="B98:E102">
    <cfRule type="colorScale" priority="4">
      <colorScale>
        <cfvo type="min"/>
        <cfvo type="percentile" val="50"/>
        <cfvo type="max"/>
        <color rgb="FFF8696B"/>
        <color rgb="FFFFEB84"/>
        <color rgb="FF63BE7B"/>
      </colorScale>
    </cfRule>
  </conditionalFormatting>
  <conditionalFormatting pivot="1" sqref="B109:M113">
    <cfRule type="dataBar" priority="2">
      <dataBar>
        <cfvo type="min"/>
        <cfvo type="max"/>
        <color rgb="FF638EC6"/>
      </dataBar>
      <extLst>
        <ext xmlns:x14="http://schemas.microsoft.com/office/spreadsheetml/2009/9/main" uri="{B025F937-C7B1-47D3-B67F-A62EFF666E3E}">
          <x14:id>{52751271-9B6F-4078-B746-FFF5CC4D43C1}</x14:id>
        </ext>
      </extLst>
    </cfRule>
  </conditionalFormatting>
  <conditionalFormatting pivot="1" sqref="B120:F12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0"/>
  <drawing r:id="rId11"/>
  <extLst>
    <ext xmlns:x14="http://schemas.microsoft.com/office/spreadsheetml/2009/9/main" uri="{78C0D931-6437-407d-A8EE-F0AAD7539E65}">
      <x14:conditionalFormattings>
        <x14:conditionalFormatting xmlns:xm="http://schemas.microsoft.com/office/excel/2006/main" pivot="1">
          <x14:cfRule type="dataBar" id="{52751271-9B6F-4078-B746-FFF5CC4D43C1}">
            <x14:dataBar minLength="0" maxLength="100" gradient="0">
              <x14:cfvo type="autoMin"/>
              <x14:cfvo type="autoMax"/>
              <x14:negativeFillColor rgb="FFFF0000"/>
              <x14:axisColor rgb="FF000000"/>
            </x14:dataBar>
          </x14:cfRule>
          <xm:sqref>B109:M113</xm:sqref>
        </x14:conditionalFormatting>
      </x14:conditionalFormattings>
    </ex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1A2C12-4338-4011-9757-15B3958FC5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2020 Summer Olympics medal tabl</vt:lpstr>
      <vt:lpstr>Staff</vt:lpstr>
      <vt:lpstr>Staff Analysis</vt:lpstr>
      <vt:lpstr>Call Center</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Mallesh, Yeddula Siva</dc:creator>
  <cp:lastModifiedBy>Mallesh, Yeddula Siva</cp:lastModifiedBy>
  <dcterms:created xsi:type="dcterms:W3CDTF">2015-06-05T18:17:20Z</dcterms:created>
  <dcterms:modified xsi:type="dcterms:W3CDTF">2025-04-20T02:38:41Z</dcterms:modified>
</cp:coreProperties>
</file>