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hidePivotFieldList="1"/>
  <mc:AlternateContent xmlns:mc="http://schemas.openxmlformats.org/markup-compatibility/2006">
    <mc:Choice Requires="x15">
      <x15ac:absPath xmlns:x15ac="http://schemas.microsoft.com/office/spreadsheetml/2010/11/ac" url="C:\Users\YMALLESH\Downloads\excelFilesForDataAnalysis-main\excelFilesForDataAnalysis-main\"/>
    </mc:Choice>
  </mc:AlternateContent>
  <xr:revisionPtr revIDLastSave="0" documentId="13_ncr:1_{5F9A0EC6-51DC-4F5E-92A0-DBA679B56CFA}" xr6:coauthVersionLast="47" xr6:coauthVersionMax="47" xr10:uidLastSave="{00000000-0000-0000-0000-000000000000}"/>
  <bookViews>
    <workbookView xWindow="-110" yWindow="-110" windowWidth="19420" windowHeight="10300" activeTab="2" xr2:uid="{26D4546B-D2A1-4444-8EAF-A6228F96F0C1}"/>
  </bookViews>
  <sheets>
    <sheet name="Pivot" sheetId="5" r:id="rId1"/>
    <sheet name="Data" sheetId="2" r:id="rId2"/>
    <sheet name="Customer Report" sheetId="6" r:id="rId3"/>
    <sheet name="Assets" sheetId="4"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143" r:id="rId5"/>
    <pivotCache cacheId="281" r:id="rId6"/>
    <pivotCache cacheId="324" r:id="rId7"/>
    <pivotCache cacheId="472" r:id="rId8"/>
    <pivotCache cacheId="550" r:id="rId9"/>
    <pivotCache cacheId="553" r:id="rId10"/>
    <pivotCache cacheId="556" r:id="rId11"/>
    <pivotCache cacheId="559" r:id="rId12"/>
    <pivotCache cacheId="562" r:id="rId13"/>
  </pivotCaches>
  <extLst>
    <ext xmlns:x14="http://schemas.microsoft.com/office/spreadsheetml/2009/9/main" uri="{876F7934-8845-4945-9796-88D515C7AA90}">
      <x14:pivotCaches>
        <pivotCache cacheId="136"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07.sample-data-excel-portfolio-project.xlsx!calls"/>
          <x15:modelTable id="customers" name="customers" connection="WorksheetConnection_07.sample-data-excel-portfolio-project.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6" i="6" l="1"/>
  <c r="N35" i="6"/>
  <c r="N34" i="6"/>
  <c r="M31" i="6"/>
  <c r="I78" i="5"/>
  <c r="I79" i="5"/>
  <c r="I80" i="5"/>
  <c r="I81" i="5"/>
  <c r="I74" i="5"/>
  <c r="I75" i="5"/>
  <c r="I72" i="5"/>
  <c r="I71" i="5"/>
  <c r="I70" i="5"/>
  <c r="Q21" i="6" a="1"/>
  <c r="Q21" i="6" s="1"/>
  <c r="P22" i="6" a="1"/>
  <c r="P22" i="6" s="1"/>
  <c r="J54" i="5"/>
  <c r="J57" i="5" s="1"/>
  <c r="F56" i="5" a="1"/>
  <c r="F56" i="5"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58" i="5" l="1"/>
  <c r="I59" i="5"/>
  <c r="I57" i="5"/>
  <c r="J56" i="5"/>
  <c r="J60" i="5"/>
  <c r="J59" i="5"/>
  <c r="I56" i="5"/>
  <c r="J58" i="5"/>
  <c r="I6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AAE8D9-FAAB-418D-BAB0-0EA2297C54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76013E9-F8AB-46A6-BC18-472A7E1BCCE4}"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F24FD60F-D588-46E5-AEFC-A02719AB2AC2}"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<sst xmlns="http://schemas.openxmlformats.org/spreadsheetml/2006/main" count="3169" uniqueCount="1083">
  <si>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</si>
  <si>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</si>
  <si>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</si>
  <si>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</si>
  <si>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</si>
  <si>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</si>
  <si>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</si>
  <si>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</si>
  <si>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</si>
  <si>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</si>
  <si>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</si>
  <si>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</si>
  <si>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</si>
  <si>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</si>
  <si>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</si>
  <si>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</si>
  <si>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</si>
  <si>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</si>
  <si>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</si>
  <si>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</si>
  <si>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</si>
  <si>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</si>
  <si>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</si>
  <si>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</si>
  <si>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</si>
  <si>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</si>
  <si>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</si>
  <si>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</si>
  <si>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</si>
  <si>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</si>
  <si>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</si>
  <si>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</si>
  <si>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</si>
  <si>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</si>
  <si>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</si>
  <si>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</si>
  <si>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</si>
  <si>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</si>
  <si>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</si>
  <si>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</si>
  <si>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</si>
  <si>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</si>
  <si>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</si>
  <si>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</si>
  <si>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</si>
  <si>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</si>
  <si>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</si>
  <si>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</si>
  <si>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</si>
  <si>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</si>
  <si>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</si>
  <si>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</si>
  <si>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</si>
  <si>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</si>
  <si>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</si>
  <si>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</si>
  <si>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</si>
  <si>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</si>
  <si>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</si>
  <si>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</si>
  <si>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</si>
  <si>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</si>
  <si>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</si>
  <si>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</si>
  <si>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</si>
  <si>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</si>
  <si>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</si>
  <si>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</si>
  <si>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</si>
  <si>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</si>
  <si>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</si>
  <si>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</si>
  <si>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</si>
  <si>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</si>
  <si>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</si>
  <si>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</si>
  <si>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</si>
  <si>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</si>
  <si>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</si>
  <si>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</si>
  <si>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</si>
  <si>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</si>
  <si>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</si>
  <si>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</si>
  <si>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</si>
  <si>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</si>
  <si>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</si>
  <si>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</si>
  <si>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</si>
  <si>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</si>
  <si>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</si>
  <si>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</si>
  <si>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</si>
  <si>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</si>
  <si>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</si>
  <si>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</si>
  <si>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</si>
  <si>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</si>
  <si>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</si>
  <si>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</si>
  <si>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</si>
  <si>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</si>
  <si>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</si>
  <si>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</si>
  <si>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</si>
  <si>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</si>
  <si>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</si>
  <si>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</si>
  <si>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</si>
  <si>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</si>
  <si>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</si>
  <si>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</si>
  <si>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</si>
  <si>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</si>
  <si>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</si>
  <si>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</si>
  <si>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</si>
  <si>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</si>
  <si>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</si>
  <si>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</si>
  <si>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</si>
  <si>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</si>
  <si>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</si>
  <si>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</si>
  <si>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</si>
  <si>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</si>
  <si>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</si>
  <si>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</si>
  <si>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</si>
  <si>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</si>
  <si>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</si>
  <si>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</si>
  <si>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</si>
  <si>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</si>
  <si>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</si>
  <si>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</si>
  <si>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</si>
  <si>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</si>
  <si>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</si>
  <si>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</si>
  <si>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</si>
  <si>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</si>
  <si>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</si>
  <si>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</si>
  <si>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</si>
  <si>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</si>
  <si>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</si>
  <si>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</si>
  <si>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</si>
  <si>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</si>
  <si>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</si>
  <si>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</si>
  <si>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</si>
  <si>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</si>
  <si>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</si>
  <si>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</si>
  <si>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</si>
  <si>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</si>
  <si>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</si>
  <si>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</si>
  <si>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</si>
  <si>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</si>
  <si>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</si>
  <si>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</si>
  <si>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</si>
  <si>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</si>
  <si>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</si>
  <si>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</si>
  <si>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</si>
  <si>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</si>
  <si>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</si>
  <si>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</si>
  <si>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</si>
  <si>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</si>
  <si>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</si>
  <si>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</si>
  <si>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</si>
  <si>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</si>
  <si>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</si>
  <si>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</si>
  <si>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</si>
  <si>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</si>
  <si>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</si>
  <si>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</si>
  <si>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</si>
  <si>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</si>
  <si>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</si>
  <si>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</si>
  <si>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</si>
  <si>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</si>
  <si>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</si>
  <si>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</si>
  <si>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</si>
  <si>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</si>
  <si>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</si>
  <si>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</si>
  <si>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</si>
  <si>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</si>
  <si>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</si>
  <si>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</si>
  <si>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</si>
  <si>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</si>
  <si>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</si>
  <si>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</si>
  <si>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</si>
  <si>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</si>
  <si>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</si>
  <si>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</si>
  <si>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</si>
  <si>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</si>
  <si>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</si>
  <si>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</si>
  <si>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</si>
  <si>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</si>
  <si>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</si>
  <si>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</si>
  <si>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</si>
  <si>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</si>
  <si>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</si>
  <si>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</si>
  <si>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</si>
  <si>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</si>
  <si>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</si>
  <si>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</si>
  <si>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</si>
  <si>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</si>
  <si>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</si>
  <si>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</si>
  <si>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</si>
  <si>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</si>
  <si>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</si>
  <si>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</si>
  <si>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</si>
  <si>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</si>
  <si>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</si>
  <si>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</si>
  <si>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</si>
  <si>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</si>
  <si>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</si>
  <si>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</si>
  <si>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</si>
  <si>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</si>
  <si>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</si>
  <si>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</si>
  <si>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</si>
  <si>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</si>
  <si>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</si>
  <si>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</si>
  <si>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</si>
  <si>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</si>
  <si>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</si>
  <si>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</si>
  <si>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</si>
  <si>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</si>
  <si>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</si>
  <si>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</si>
  <si>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</si>
  <si>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</si>
  <si>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</si>
  <si>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</si>
  <si>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</si>
  <si>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</si>
  <si>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</si>
  <si>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</si>
  <si>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</si>
  <si>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</si>
  <si>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</si>
  <si>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</si>
  <si>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</si>
  <si>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</si>
  <si>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</si>
  <si>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</si>
  <si>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</si>
  <si>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</si>
  <si>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</si>
  <si>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</si>
  <si>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</si>
  <si>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</si>
  <si>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</si>
  <si>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</si>
  <si>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</si>
  <si>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</si>
  <si>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</si>
  <si>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</si>
  <si>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</si>
  <si>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</si>
  <si>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</si>
  <si>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</si>
  <si>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</si>
  <si>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</si>
  <si>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</si>
  <si>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</si>
  <si>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</si>
  <si>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</si>
  <si>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</si>
  <si>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</si>
  <si>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</si>
  <si>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</si>
  <si>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</si>
  <si>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</si>
  <si>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</si>
  <si>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</si>
  <si>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</si>
  <si>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</si>
  <si>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</si>
  <si>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</si>
  <si>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</si>
  <si>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</si>
  <si>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</si>
  <si>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</si>
  <si>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</si>
  <si>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</si>
  <si>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</si>
  <si>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</si>
  <si>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</si>
  <si>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</si>
  <si>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</si>
  <si>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</si>
  <si>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</si>
  <si>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</si>
  <si>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</si>
  <si>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</si>
  <si>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</si>
  <si>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</si>
  <si>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</si>
  <si>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</si>
  <si>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</si>
  <si>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</si>
  <si>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</si>
  <si>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</si>
  <si>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</si>
  <si>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</si>
  <si>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</si>
  <si>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</si>
  <si>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</si>
  <si>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</si>
  <si>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</si>
  <si>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</si>
  <si>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</si>
  <si>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</si>
  <si>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</si>
  <si>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</si>
  <si>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</si>
  <si>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</si>
  <si>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</si>
  <si>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</si>
  <si>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</si>
  <si>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</si>
  <si>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</si>
  <si>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</si>
  <si>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</si>
  <si>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</si>
  <si>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</si>
  <si>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</si>
  <si>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</si>
  <si>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</si>
  <si>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</si>
  <si>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</si>
  <si>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</si>
  <si>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</si>
  <si>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</si>
  <si>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</si>
  <si>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</si>
  <si>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</si>
  <si>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</si>
  <si>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</si>
  <si>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</si>
  <si>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</si>
  <si>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</si>
  <si>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</si>
  <si>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</si>
  <si>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</si>
  <si>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</si>
  <si>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</si>
  <si>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</si>
  <si>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</si>
  <si>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</si>
  <si>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</si>
  <si>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</si>
  <si>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</si>
  <si>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</si>
  <si>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</si>
  <si>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</si>
  <si>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</si>
  <si>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</si>
  <si>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</si>
  <si>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</si>
  <si>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</si>
  <si>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</si>
  <si>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</si>
  <si>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</si>
  <si>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</si>
  <si>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</si>
  <si>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</si>
  <si>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</si>
  <si>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</si>
  <si>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</si>
  <si>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</si>
  <si>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</si>
  <si>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</si>
  <si>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</si>
  <si>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</si>
  <si>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</si>
  <si>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</si>
  <si>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</si>
  <si>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</si>
  <si>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</si>
  <si>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</si>
  <si>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</si>
  <si>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</si>
  <si>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</si>
  <si>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</si>
  <si>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</si>
  <si>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</si>
  <si>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</si>
  <si>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</si>
  <si>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</si>
  <si>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</si>
  <si>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</si>
  <si>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</si>
  <si>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</si>
  <si>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</si>
  <si>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</si>
  <si>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</si>
  <si>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</si>
  <si>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</si>
  <si>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</si>
  <si>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</si>
  <si>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</si>
  <si>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</si>
  <si>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</si>
  <si>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</si>
  <si>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</si>
  <si>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</si>
  <si>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</si>
  <si>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</si>
  <si>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</si>
  <si>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</si>
  <si>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</si>
  <si>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</si>
  <si>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</si>
  <si>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</si>
  <si>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</si>
  <si>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</si>
  <si>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</si>
  <si>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</si>
  <si>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</si>
  <si>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</si>
  <si>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</si>
  <si>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</si>
  <si>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</si>
  <si>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</si>
  <si>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</si>
  <si>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</si>
  <si>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</si>
  <si>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</si>
  <si>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</si>
  <si>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</si>
  <si>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</si>
  <si>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</si>
  <si>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</si>
  <si>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</si>
  <si>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</si>
  <si>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</si>
  <si>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</si>
  <si>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</si>
  <si>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</si>
  <si>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</si>
  <si>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</si>
  <si>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</si>
  <si>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</si>
  <si>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</si>
  <si>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</si>
  <si>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</si>
  <si>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</si>
  <si>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</si>
  <si>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</si>
  <si>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</si>
  <si>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</si>
  <si>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</si>
  <si>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</si>
  <si>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</si>
  <si>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</si>
  <si>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</si>
  <si>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</si>
  <si>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</si>
  <si>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</si>
  <si>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</si>
  <si>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</si>
  <si>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</si>
  <si>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</si>
  <si>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</si>
  <si>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</si>
  <si>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</si>
  <si>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</si>
  <si>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</si>
  <si>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</si>
  <si>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</si>
  <si>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</si>
  <si>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</si>
  <si>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</si>
  <si>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</si>
  <si>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</si>
  <si>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</si>
  <si>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</si>
  <si>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</si>
  <si>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</si>
  <si>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</si>
  <si>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</si>
  <si>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</si>
  <si>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</si>
  <si>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</si>
  <si>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</si>
  <si>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</si>
  <si>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</si>
  <si>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</si>
  <si>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</si>
  <si>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</si>
  <si>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</si>
  <si>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</si>
  <si>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</si>
  <si>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</si>
  <si>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</si>
  <si>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</si>
  <si>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</si>
  <si>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</si>
  <si>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</si>
  <si>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</si>
  <si>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</si>
  <si>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</si>
  <si>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</si>
  <si>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</si>
  <si>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</si>
  <si>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</si>
  <si>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</si>
  <si>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</si>
  <si>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</si>
  <si>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</si>
  <si>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</si>
  <si>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</si>
  <si>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</si>
  <si>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</si>
  <si>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</si>
  <si>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</si>
  <si>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</si>
  <si>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</si>
  <si>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</si>
  <si>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</si>
  <si>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</si>
  <si>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</si>
  <si>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</si>
  <si>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</si>
  <si>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</si>
  <si>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</si>
  <si>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</si>
  <si>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</si>
  <si>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</si>
  <si>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</si>
  <si>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</si>
  <si>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</si>
  <si>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</si>
  <si>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</si>
  <si>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</si>
  <si>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</si>
  <si>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</si>
  <si>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</si>
  <si>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</si>
  <si>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</si>
  <si>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</si>
  <si>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</si>
  <si>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</si>
  <si>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</si>
  <si>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</si>
  <si>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</si>
  <si>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</si>
  <si>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</si>
  <si>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</si>
  <si>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</si>
  <si>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</si>
  <si>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</si>
  <si>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</si>
  <si>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</si>
  <si>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</si>
  <si>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</si>
  <si>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</si>
  <si>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</si>
  <si>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</si>
  <si>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</si>
  <si>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</si>
  <si>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</si>
  <si>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</si>
  <si>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</si>
  <si>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</si>
  <si>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</si>
  <si>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</si>
  <si>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</si>
  <si>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</si>
  <si>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</si>
  <si>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</si>
  <si>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</si>
  <si>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</si>
  <si>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</si>
  <si>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</si>
  <si>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</si>
  <si>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</si>
  <si>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</si>
  <si>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</si>
  <si>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</si>
  <si>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</si>
  <si>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</si>
  <si>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</si>
  <si>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</si>
  <si>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</si>
  <si>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</si>
  <si>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</si>
  <si>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</si>
  <si>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</si>
  <si>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</si>
  <si>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</si>
  <si>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</si>
  <si>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</si>
  <si>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</si>
  <si>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</si>
  <si>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</si>
  <si>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</si>
  <si>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</si>
  <si>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</si>
  <si>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</si>
  <si>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</si>
  <si>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</si>
  <si>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</si>
  <si>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</si>
  <si>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</si>
  <si>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</si>
  <si>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</si>
  <si>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</si>
  <si>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</si>
  <si>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</si>
  <si>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</si>
  <si>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</si>
  <si>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</si>
  <si>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</si>
  <si>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</si>
  <si>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</si>
  <si>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</si>
  <si>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</si>
  <si>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</si>
  <si>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</si>
  <si>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</si>
  <si>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</si>
  <si>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</si>
  <si>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</si>
  <si>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</si>
  <si>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</si>
  <si>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</si>
  <si>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</si>
  <si>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</si>
  <si>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</si>
  <si>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</si>
  <si>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</si>
  <si>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</si>
  <si>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</si>
  <si>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</si>
  <si>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</si>
  <si>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</si>
  <si>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</si>
  <si>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</si>
  <si>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</si>
  <si>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</si>
  <si>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</si>
  <si>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</si>
  <si>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</si>
  <si>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</si>
  <si>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</si>
  <si>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</si>
  <si>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</si>
  <si>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</si>
  <si>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</si>
  <si>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</si>
  <si>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</si>
  <si>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</si>
  <si>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</si>
  <si>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</si>
  <si>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</si>
  <si>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</si>
  <si>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</si>
  <si>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</si>
  <si>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</si>
  <si>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</si>
  <si>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</si>
  <si>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</si>
  <si>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</si>
  <si>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</si>
  <si>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</si>
  <si>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</si>
  <si>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</si>
  <si>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</si>
  <si>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</si>
  <si>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</si>
  <si>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</si>
  <si>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</si>
  <si>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</si>
  <si>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</si>
  <si>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</si>
  <si>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</si>
  <si>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</si>
  <si>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</si>
  <si>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</si>
  <si>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</si>
  <si>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</si>
  <si>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</si>
  <si>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</si>
  <si>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</si>
  <si>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</si>
  <si>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</si>
  <si>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</si>
  <si>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</si>
  <si>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</si>
  <si>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</si>
  <si>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</si>
  <si>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</si>
  <si>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</si>
  <si>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</si>
  <si>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</si>
  <si>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</si>
  <si>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</si>
  <si>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</si>
  <si>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</si>
  <si>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</si>
  <si>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</si>
  <si>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</si>
  <si>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</si>
  <si>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</si>
  <si>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</si>
  <si>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</si>
  <si>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</si>
  <si>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</si>
  <si>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</si>
  <si>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</si>
  <si>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</si>
  <si>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</si>
  <si>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</si>
  <si>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</si>
  <si>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</si>
  <si>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</si>
  <si>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</si>
  <si>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</si>
  <si>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</si>
  <si>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</si>
  <si>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</si>
  <si>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</si>
  <si>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</si>
  <si>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</si>
  <si>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</si>
  <si>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</si>
  <si>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</si>
  <si>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</si>
  <si>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</si>
  <si>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</si>
  <si>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</si>
  <si>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</si>
  <si>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</si>
  <si>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</si>
  <si>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</si>
  <si>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</si>
  <si>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</si>
  <si>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</si>
  <si>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</si>
  <si>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</si>
  <si>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</si>
  <si>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</si>
  <si>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</si>
  <si>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</si>
  <si>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</si>
  <si>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</si>
  <si>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</si>
  <si>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</si>
  <si>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</si>
  <si>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</si>
  <si>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</si>
  <si>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</si>
  <si>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</si>
  <si>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</si>
  <si>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</si>
  <si>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</si>
  <si>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</si>
  <si>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</si>
  <si>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</si>
  <si>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</si>
  <si>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</si>
  <si>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</si>
  <si>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</si>
  <si>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</si>
  <si>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</si>
  <si>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</si>
  <si>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</si>
  <si>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</si>
  <si>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</si>
  <si>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</si>
  <si>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</si>
  <si>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</si>
  <si>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</si>
  <si>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</si>
  <si>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</si>
  <si>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</si>
  <si>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</si>
  <si>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</si>
  <si>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</si>
  <si>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</si>
  <si>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</si>
  <si>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</si>
  <si>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</si>
  <si>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</si>
  <si>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</si>
  <si>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</si>
  <si>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</si>
  <si>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</si>
  <si>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</si>
  <si>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</si>
  <si>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</si>
  <si>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</si>
  <si>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</si>
  <si>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</si>
  <si>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</si>
  <si>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</si>
  <si>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</si>
  <si>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</si>
  <si>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</si>
  <si>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</si>
  <si>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</si>
  <si>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</si>
  <si>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</si>
  <si>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</si>
  <si>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</si>
  <si>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</si>
  <si>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</si>
  <si>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</si>
  <si>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</si>
  <si>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</si>
  <si>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</si>
  <si>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</si>
  <si>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</si>
  <si>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</si>
  <si>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</si>
  <si>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</si>
  <si>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</si>
  <si>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</si>
  <si>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</si>
  <si>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</si>
  <si>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</si>
  <si>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</si>
  <si>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</si>
  <si>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</si>
  <si>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</si>
  <si>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</si>
  <si>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</si>
  <si>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</si>
  <si>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</si>
  <si>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</si>
  <si>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</si>
  <si>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</si>
  <si>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</si>
  <si>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</si>
  <si>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</si>
  <si>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</si>
  <si>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</si>
  <si>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</si>
  <si>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</si>
  <si>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</si>
  <si>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</si>
  <si>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</si>
  <si>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</si>
  <si>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</si>
  <si>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</si>
  <si>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</si>
  <si>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</si>
  <si>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</si>
  <si>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</si>
  <si>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</si>
  <si>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</si>
  <si>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</si>
  <si>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</si>
  <si>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</si>
  <si>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</si>
  <si>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</si>
  <si>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</si>
  <si>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</si>
  <si>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</si>
  <si>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</si>
  <si>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</si>
  <si>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</si>
  <si>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</si>
  <si>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</si>
  <si>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</si>
  <si>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</si>
  <si>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</si>
  <si>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</si>
  <si>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</si>
  <si>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</si>
  <si>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</si>
  <si>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</si>
  <si>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</si>
  <si>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</si>
  <si>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</si>
  <si>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</si>
  <si>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</si>
  <si>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</si>
  <si>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</si>
  <si>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</si>
  <si>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</si>
  <si>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</si>
  <si>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</si>
  <si>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</si>
  <si>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</si>
  <si>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</si>
  <si>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</si>
  <si>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</si>
  <si>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</si>
  <si>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</si>
  <si>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</si>
  <si>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</si>
  <si>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</si>
  <si>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</si>
  <si>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</si>
  <si>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</si>
  <si>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</si>
  <si>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</si>
  <si>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</si>
  <si>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</si>
  <si>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</si>
  <si>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</si>
  <si>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</si>
  <si>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</si>
  <si>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</si>
  <si>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</si>
  <si>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</si>
  <si>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</si>
  <si>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</si>
  <si>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</si>
  <si>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</si>
  <si>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</si>
  <si>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</si>
  <si>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</si>
  <si>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</si>
  <si>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</si>
  <si>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</si>
  <si>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</si>
  <si>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</si>
  <si>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</si>
  <si>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</si>
  <si>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</si>
  <si>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</si>
  <si>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</si>
  <si>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</si>
  <si>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</si>
  <si>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</si>
  <si>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</si>
  <si>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</si>
  <si>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</si>
  <si>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</si>
  <si>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</si>
  <si>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</si>
  <si>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</si>
  <si>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</si>
  <si>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</si>
  <si>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</si>
  <si>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</si>
  <si>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</si>
  <si>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</si>
  <si>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</si>
  <si>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</si>
  <si>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</si>
  <si>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</si>
  <si>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</si>
  <si>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</si>
  <si>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</si>
  <si>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</si>
  <si>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</si>
  <si>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</si>
  <si>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</si>
  <si>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</si>
  <si>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</si>
  <si>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</si>
  <si>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</si>
  <si>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</si>
  <si>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</si>
  <si>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</si>
  <si>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</si>
  <si>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</si>
  <si>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</si>
  <si>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</si>
  <si>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</si>
  <si>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</si>
  <si>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</si>
  <si>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</si>
  <si>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</si>
  <si>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</si>
  <si>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</si>
  <si>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</si>
  <si>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</si>
  <si>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</si>
  <si>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</si>
  <si>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</si>
  <si>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</si>
  <si>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</si>
  <si>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</si>
  <si>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</si>
  <si>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</si>
  <si>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</si>
  <si>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</si>
  <si>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</si>
  <si>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</si>
  <si>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</si>
  <si>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</si>
  <si>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</si>
  <si>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</si>
  <si>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</si>
  <si>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</si>
  <si>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</si>
  <si>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</si>
  <si>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</si>
  <si>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</si>
  <si>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</si>
  <si>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</si>
  <si>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</si>
  <si>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</si>
  <si>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</si>
  <si>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</si>
  <si>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</si>
  <si>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</si>
  <si>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</si>
  <si>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</si>
  <si>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</si>
  <si>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</si>
  <si>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</si>
  <si>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</si>
  <si>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</si>
  <si>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</si>
  <si>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</si>
  <si>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</si>
  <si>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</si>
  <si>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</si>
  <si>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</si>
  <si>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</si>
  <si>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</si>
  <si>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</si>
  <si>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</si>
  <si>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</si>
  <si>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</si>
  <si>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</si>
  <si>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</si>
  <si>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</si>
  <si>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</si>
  <si>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</si>
  <si>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</si>
  <si>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</si>
  <si>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</si>
  <si>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</si>
  <si>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</si>
  <si>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</si>
  <si>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</si>
  <si>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</si>
  <si>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</si>
  <si>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</si>
  <si>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</si>
  <si>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</si>
  <si>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</si>
  <si>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</si>
  <si>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</si>
  <si>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Sel cals</t>
  </si>
  <si>
    <t>Sel Amount</t>
  </si>
  <si>
    <t>Selected rEp</t>
  </si>
  <si>
    <t>Column Labels</t>
  </si>
  <si>
    <t>Total</t>
  </si>
  <si>
    <t>Rep Summary</t>
  </si>
  <si>
    <t>% of calls</t>
  </si>
  <si>
    <t>Calls</t>
  </si>
  <si>
    <t>Amount</t>
  </si>
  <si>
    <t>Amount Rank</t>
  </si>
  <si>
    <t>Call Rank</t>
  </si>
  <si>
    <t>Lables</t>
  </si>
  <si>
    <t>Image</t>
  </si>
  <si>
    <t>Call Center Report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</si>
</sst>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8" formatCode="\$#,###.0,&quot;K&quot;"/>
    <numFmt numFmtId="174" formatCode="[$$-1409]#,##0;\-[$$-1409]#,##0"/>
  </numFmts>
  <fonts count="9" x14ac:knownFonts="1">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
      <sz val="11"/>
      <color theme="1"/>
      <name val="Arial"/>
      <family val="2"/>
      <scheme val="minor"/>
    </font>
    <font>
      <sz val="11"/>
      <color theme="1"/>
      <name val="Aptos ExtraBold"/>
      <family val="2"/>
    </font>
    <font>
      <sz val="10"/>
      <color theme="1"/>
      <name val="Arial"/>
      <family val="2"/>
      <scheme val="minor"/>
    </font>
    <font>
      <sz val="10"/>
      <color theme="1"/>
      <name val="Aptos Display"/>
      <family val="2"/>
    </font>
    <font>
      <sz val="36"/>
      <color theme="8"/>
      <name val="Aptos ExtraBold"/>
      <family val="2"/>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2">
    <xf numFmtId="0" fontId="0" fillId="0" borderId="0"/>
    <xf numFmtId="9" fontId="4" fillId="0" borderId="0" applyFont="0" applyFill="0" applyBorder="0" applyAlignment="0" applyProtection="0"/>
  </cellStyleXfs>
  <cellXfs count="4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3" borderId="0" xfId="0" applyFill="1"/>
    <xf numFmtId="0" fontId="0" fillId="0" borderId="0" xfId="0" applyAlignment="1">
      <alignment horizontal="left"/>
    </xf>
    <xf numFmtId="168" fontId="0" fillId="0" borderId="0" xfId="0" applyNumberFormat="1"/>
    <xf numFmtId="0" fontId="0" fillId="0" borderId="0" xfId="0" applyAlignment="1">
      <alignment horizontal="left" indent="1"/>
    </xf>
    <xf numFmtId="0" fontId="0" fillId="0" borderId="0" xfId="0" applyNumberFormat="1"/>
    <xf numFmtId="0" fontId="0" fillId="3" borderId="0" xfId="0" applyFill="1" applyAlignment="1">
      <alignment horizontal="center"/>
    </xf>
    <xf numFmtId="0" fontId="6" fillId="3" borderId="0" xfId="0" applyFont="1" applyFill="1"/>
    <xf numFmtId="0" fontId="6" fillId="3" borderId="0" xfId="0" applyFont="1" applyFill="1" applyAlignment="1">
      <alignment horizontal="center"/>
    </xf>
    <xf numFmtId="0" fontId="0" fillId="4" borderId="9" xfId="0" applyFill="1" applyBorder="1"/>
    <xf numFmtId="0" fontId="0" fillId="4" borderId="10" xfId="0" applyFill="1" applyBorder="1" applyAlignment="1">
      <alignment horizontal="center"/>
    </xf>
    <xf numFmtId="0" fontId="0" fillId="4" borderId="7" xfId="0" applyFill="1" applyBorder="1" applyAlignment="1">
      <alignment horizontal="center"/>
    </xf>
    <xf numFmtId="0" fontId="6" fillId="4" borderId="11" xfId="0" applyFont="1" applyFill="1" applyBorder="1"/>
    <xf numFmtId="0" fontId="6" fillId="4" borderId="0" xfId="0" applyFont="1" applyFill="1" applyBorder="1"/>
    <xf numFmtId="0" fontId="6" fillId="4" borderId="12" xfId="0" applyFont="1" applyFill="1" applyBorder="1"/>
    <xf numFmtId="0" fontId="7" fillId="4" borderId="11" xfId="0" applyFont="1" applyFill="1" applyBorder="1" applyAlignment="1">
      <alignment horizontal="center"/>
    </xf>
    <xf numFmtId="174" fontId="6" fillId="4" borderId="0" xfId="0" applyNumberFormat="1" applyFont="1" applyFill="1" applyBorder="1" applyAlignment="1">
      <alignment horizontal="center"/>
    </xf>
    <xf numFmtId="0" fontId="6" fillId="4" borderId="12" xfId="0" applyFont="1" applyFill="1" applyBorder="1" applyAlignment="1">
      <alignment horizontal="center"/>
    </xf>
    <xf numFmtId="0" fontId="7" fillId="4" borderId="6" xfId="0" applyFont="1" applyFill="1" applyBorder="1" applyAlignment="1">
      <alignment horizontal="center"/>
    </xf>
    <xf numFmtId="174" fontId="6" fillId="4" borderId="13" xfId="0" applyNumberFormat="1" applyFont="1" applyFill="1" applyBorder="1" applyAlignment="1">
      <alignment horizontal="center"/>
    </xf>
    <xf numFmtId="0" fontId="6" fillId="4" borderId="4" xfId="0" applyFont="1" applyFill="1" applyBorder="1" applyAlignment="1">
      <alignment horizontal="center"/>
    </xf>
    <xf numFmtId="9" fontId="0" fillId="0" borderId="0" xfId="1" applyFont="1"/>
    <xf numFmtId="165" fontId="5" fillId="0" borderId="0" xfId="0" applyNumberFormat="1" applyFont="1"/>
    <xf numFmtId="0" fontId="0" fillId="3" borderId="0" xfId="0" applyFill="1" applyAlignment="1">
      <alignment horizontal="center"/>
    </xf>
    <xf numFmtId="0" fontId="0" fillId="3" borderId="12" xfId="0" applyFill="1" applyBorder="1" applyAlignment="1">
      <alignment horizontal="center"/>
    </xf>
    <xf numFmtId="0" fontId="8" fillId="3" borderId="0" xfId="0" applyFont="1" applyFill="1" applyAlignment="1">
      <alignment horizontal="center"/>
    </xf>
  </cellXfs>
  <cellStyles count="2">
    <cellStyle name="Normal" xfId="0" builtinId="0"/>
    <cellStyle name="Percent" xfId="1" builtinId="5"/>
  </cellStyles>
  <dxfs count="19">
    <dxf>
      <fill>
        <patternFill>
          <bgColor theme="8" tint="0.39994506668294322"/>
        </patternFill>
      </fill>
      <border>
        <left style="thin">
          <color theme="1"/>
        </left>
        <right style="thin">
          <color theme="1"/>
        </right>
        <vertical/>
        <horizontal/>
      </border>
    </dxf>
    <dxf>
      <fill>
        <patternFill>
          <bgColor theme="8" tint="0.39994506668294322"/>
        </patternFill>
      </fill>
      <border>
        <left style="thin">
          <color auto="1"/>
        </left>
        <right style="thin">
          <color auto="1"/>
        </right>
        <vertical/>
        <horizontal/>
      </border>
    </dxf>
    <dxf>
      <fill>
        <patternFill>
          <bgColor theme="8" tint="0.39994506668294322"/>
        </patternFill>
      </fill>
      <border>
        <left style="thin">
          <color theme="1"/>
        </left>
        <right style="thin">
          <color theme="1"/>
        </right>
        <vertical/>
        <horizontal/>
      </border>
    </dxf>
    <dxf>
      <fill>
        <patternFill>
          <bgColor theme="8" tint="0.39994506668294322"/>
        </patternFill>
      </fill>
      <border>
        <left style="thin">
          <color auto="1"/>
        </left>
        <right style="thin">
          <color auto="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Project.xlsx]Pivot!WeekdayTrend</c:name>
    <c:fmtId val="16"/>
  </c:pivotSource>
  <c:chart>
    <c:title>
      <c:layout>
        <c:manualLayout>
          <c:xMode val="edge"/>
          <c:yMode val="edge"/>
          <c:x val="0.34277415018244672"/>
          <c:y val="4.76190476190476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Pivot!$G$22</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Pivot!$F$23:$F$30</c:f>
              <c:strCache>
                <c:ptCount val="7"/>
                <c:pt idx="0">
                  <c:v>Monday</c:v>
                </c:pt>
                <c:pt idx="1">
                  <c:v>Tuesday</c:v>
                </c:pt>
                <c:pt idx="2">
                  <c:v>Wednesday</c:v>
                </c:pt>
                <c:pt idx="3">
                  <c:v>Thursday</c:v>
                </c:pt>
                <c:pt idx="4">
                  <c:v>Friday</c:v>
                </c:pt>
                <c:pt idx="5">
                  <c:v>Saturday</c:v>
                </c:pt>
                <c:pt idx="6">
                  <c:v>Sunday</c:v>
                </c:pt>
              </c:strCache>
            </c:strRef>
          </c:cat>
          <c:val>
            <c:numRef>
              <c:f>Pivot!$G$23:$G$30</c:f>
              <c:numCache>
                <c:formatCode>#,##0</c:formatCode>
                <c:ptCount val="7"/>
                <c:pt idx="0">
                  <c:v>23</c:v>
                </c:pt>
                <c:pt idx="1">
                  <c:v>28</c:v>
                </c:pt>
                <c:pt idx="2">
                  <c:v>29</c:v>
                </c:pt>
                <c:pt idx="3">
                  <c:v>18</c:v>
                </c:pt>
                <c:pt idx="4">
                  <c:v>29</c:v>
                </c:pt>
                <c:pt idx="5">
                  <c:v>34</c:v>
                </c:pt>
                <c:pt idx="6">
                  <c:v>25</c:v>
                </c:pt>
              </c:numCache>
            </c:numRef>
          </c:val>
          <c:extLst>
            <c:ext xmlns:c16="http://schemas.microsoft.com/office/drawing/2014/chart" uri="{C3380CC4-5D6E-409C-BE32-E72D297353CC}">
              <c16:uniqueId val="{00000000-7E81-4173-8D29-EF4B9123AFE9}"/>
            </c:ext>
          </c:extLst>
        </c:ser>
        <c:dLbls>
          <c:dLblPos val="outEnd"/>
          <c:showLegendKey val="0"/>
          <c:showVal val="1"/>
          <c:showCatName val="0"/>
          <c:showSerName val="0"/>
          <c:showPercent val="0"/>
          <c:showBubbleSize val="0"/>
        </c:dLbls>
        <c:gapWidth val="50"/>
        <c:axId val="1606929624"/>
        <c:axId val="1606929264"/>
      </c:barChart>
      <c:catAx>
        <c:axId val="160692962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929264"/>
        <c:crosses val="autoZero"/>
        <c:auto val="1"/>
        <c:lblAlgn val="ctr"/>
        <c:lblOffset val="100"/>
        <c:noMultiLvlLbl val="0"/>
      </c:catAx>
      <c:valAx>
        <c:axId val="1606929264"/>
        <c:scaling>
          <c:orientation val="minMax"/>
        </c:scaling>
        <c:delete val="0"/>
        <c:axPos val="t"/>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929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Project.xlsx]Pivot!MonthlyTrend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gs>
              <a:gs pos="100000">
                <a:schemeClr val="accent5">
                  <a:lumMod val="20000"/>
                  <a:lumOff val="8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5"/>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Pivot!$C$22</c:f>
              <c:strCache>
                <c:ptCount val="1"/>
                <c:pt idx="0">
                  <c:v>Call Count2</c:v>
                </c:pt>
              </c:strCache>
            </c:strRef>
          </c:tx>
          <c:spPr>
            <a:gradFill flip="none" rotWithShape="1">
              <a:gsLst>
                <a:gs pos="0">
                  <a:schemeClr val="accent5"/>
                </a:gs>
                <a:gs pos="100000">
                  <a:schemeClr val="accent5">
                    <a:lumMod val="20000"/>
                    <a:lumOff val="80000"/>
                  </a:schemeClr>
                </a:gs>
              </a:gsLst>
              <a:lin ang="2700000" scaled="1"/>
              <a:tileRect/>
            </a:gradFill>
            <a:ln>
              <a:noFill/>
            </a:ln>
            <a:effectLst/>
          </c:spPr>
          <c:cat>
            <c:strRef>
              <c:f>Pivot!$A$23:$A$35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Pivot!$C$23:$C$35</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08D8-40D5-8FD7-B19A43CE701C}"/>
            </c:ext>
          </c:extLst>
        </c:ser>
        <c:dLbls>
          <c:showLegendKey val="0"/>
          <c:showVal val="0"/>
          <c:showCatName val="0"/>
          <c:showSerName val="0"/>
          <c:showPercent val="0"/>
          <c:showBubbleSize val="0"/>
        </c:dLbls>
        <c:axId val="2143565208"/>
        <c:axId val="2143568088"/>
      </c:areaChart>
      <c:lineChart>
        <c:grouping val="standard"/>
        <c:varyColors val="0"/>
        <c:ser>
          <c:idx val="0"/>
          <c:order val="0"/>
          <c:tx>
            <c:strRef>
              <c:f>Pivot!$B$22</c:f>
              <c:strCache>
                <c:ptCount val="1"/>
                <c:pt idx="0">
                  <c:v>Call Count</c:v>
                </c:pt>
              </c:strCache>
            </c:strRef>
          </c:tx>
          <c:spPr>
            <a:ln w="28575" cap="rnd">
              <a:solidFill>
                <a:srgbClr val="C00000"/>
              </a:solidFill>
              <a:round/>
            </a:ln>
            <a:effectLst/>
          </c:spPr>
          <c:marker>
            <c:symbol val="circle"/>
            <c:size val="5"/>
            <c:spPr>
              <a:solidFill>
                <a:schemeClr val="bg1"/>
              </a:solidFill>
              <a:ln w="25400">
                <a:solidFill>
                  <a:schemeClr val="tx1"/>
                </a:solidFill>
              </a:ln>
              <a:effectLst/>
            </c:spPr>
          </c:marker>
          <c:cat>
            <c:strRef>
              <c:f>Pivot!$A$23:$A$35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Pivot!$B$23:$B$35</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08D8-40D5-8FD7-B19A43CE701C}"/>
            </c:ext>
          </c:extLst>
        </c:ser>
        <c:dLbls>
          <c:showLegendKey val="0"/>
          <c:showVal val="0"/>
          <c:showCatName val="0"/>
          <c:showSerName val="0"/>
          <c:showPercent val="0"/>
          <c:showBubbleSize val="0"/>
        </c:dLbls>
        <c:marker val="1"/>
        <c:smooth val="0"/>
        <c:axId val="2143565208"/>
        <c:axId val="2143568088"/>
      </c:lineChart>
      <c:catAx>
        <c:axId val="2143565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68088"/>
        <c:crosses val="autoZero"/>
        <c:auto val="1"/>
        <c:lblAlgn val="ctr"/>
        <c:lblOffset val="100"/>
        <c:noMultiLvlLbl val="0"/>
      </c:catAx>
      <c:valAx>
        <c:axId val="2143568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65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00638013133734"/>
          <c:y val="0"/>
          <c:w val="0.8840275590551181"/>
          <c:h val="0.89814814814814814"/>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Pivot!$F$56:$F$60</c:f>
              <c:strCache>
                <c:ptCount val="5"/>
                <c:pt idx="0">
                  <c:v>R01</c:v>
                </c:pt>
                <c:pt idx="1">
                  <c:v>R02</c:v>
                </c:pt>
                <c:pt idx="2">
                  <c:v>R03</c:v>
                </c:pt>
                <c:pt idx="3">
                  <c:v>R04</c:v>
                </c:pt>
                <c:pt idx="4">
                  <c:v>R05</c:v>
                </c:pt>
              </c:strCache>
            </c:strRef>
          </c:cat>
          <c:val>
            <c:numRef>
              <c:f>Pivot!$G$56:$G$60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7AF-45AF-A8A0-089427E6C231}"/>
            </c:ext>
          </c:extLst>
        </c:ser>
        <c:ser>
          <c:idx val="1"/>
          <c:order val="1"/>
          <c:tx>
            <c:strRef>
              <c:f>Pivot!$I$55</c:f>
              <c:strCache>
                <c:ptCount val="1"/>
                <c:pt idx="0">
                  <c:v>Sel cals</c:v>
                </c:pt>
              </c:strCache>
            </c:strRef>
          </c:tx>
          <c:spPr>
            <a:gradFill>
              <a:gsLst>
                <a:gs pos="0">
                  <a:srgbClr val="FF0000"/>
                </a:gs>
                <a:gs pos="100000">
                  <a:srgbClr val="FFC000"/>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Pivot!$I$56:$I$60</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67AF-45AF-A8A0-089427E6C231}"/>
            </c:ext>
          </c:extLst>
        </c:ser>
        <c:dLbls>
          <c:dLblPos val="outEnd"/>
          <c:showLegendKey val="0"/>
          <c:showVal val="1"/>
          <c:showCatName val="0"/>
          <c:showSerName val="0"/>
          <c:showPercent val="0"/>
          <c:showBubbleSize val="0"/>
        </c:dLbls>
        <c:gapWidth val="25"/>
        <c:overlap val="100"/>
        <c:axId val="1601222832"/>
        <c:axId val="1601221392"/>
      </c:barChart>
      <c:catAx>
        <c:axId val="16012228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221392"/>
        <c:crosses val="autoZero"/>
        <c:auto val="1"/>
        <c:lblAlgn val="ctr"/>
        <c:lblOffset val="100"/>
        <c:noMultiLvlLbl val="0"/>
      </c:catAx>
      <c:valAx>
        <c:axId val="1601221392"/>
        <c:scaling>
          <c:orientation val="minMax"/>
        </c:scaling>
        <c:delete val="0"/>
        <c:axPos val="t"/>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22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Pivot!$F$56:$F$60</c:f>
              <c:strCache>
                <c:ptCount val="5"/>
                <c:pt idx="0">
                  <c:v>R01</c:v>
                </c:pt>
                <c:pt idx="1">
                  <c:v>R02</c:v>
                </c:pt>
                <c:pt idx="2">
                  <c:v>R03</c:v>
                </c:pt>
                <c:pt idx="3">
                  <c:v>R04</c:v>
                </c:pt>
                <c:pt idx="4">
                  <c:v>R05</c:v>
                </c:pt>
              </c:strCache>
            </c:strRef>
          </c:cat>
          <c:val>
            <c:numRef>
              <c:f>Pivot!$H$56:$H$60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0D93-4C19-9F5B-1C7873D3417D}"/>
            </c:ext>
          </c:extLst>
        </c:ser>
        <c:ser>
          <c:idx val="1"/>
          <c:order val="1"/>
          <c:tx>
            <c:strRef>
              <c:f>Pivot!$J$55</c:f>
              <c:strCache>
                <c:ptCount val="1"/>
                <c:pt idx="0">
                  <c:v>Sel Amount</c:v>
                </c:pt>
              </c:strCache>
            </c:strRef>
          </c:tx>
          <c:spPr>
            <a:gradFill>
              <a:gsLst>
                <a:gs pos="0">
                  <a:srgbClr val="FFFF00"/>
                </a:gs>
                <a:gs pos="100000">
                  <a:srgbClr val="FF0000">
                    <a:alpha val="60000"/>
                    <a:lumMod val="90000"/>
                    <a:lumOff val="10000"/>
                  </a:srgbClr>
                </a:gs>
              </a:gsLst>
              <a:lin ang="5400000" scaled="1"/>
            </a:gradFill>
            <a:ln>
              <a:noFill/>
            </a:ln>
            <a:effectLst/>
          </c:spPr>
          <c:invertIfNegative val="0"/>
          <c:val>
            <c:numRef>
              <c:f>Pivot!$J$56:$J$60</c:f>
              <c:numCache>
                <c:formatCode>General</c:formatCode>
                <c:ptCount val="5"/>
                <c:pt idx="0">
                  <c:v>#N/A</c:v>
                </c:pt>
                <c:pt idx="1">
                  <c:v>#N/A</c:v>
                </c:pt>
                <c:pt idx="2">
                  <c:v>#N/A</c:v>
                </c:pt>
                <c:pt idx="3">
                  <c:v>16651</c:v>
                </c:pt>
                <c:pt idx="4">
                  <c:v>#N/A</c:v>
                </c:pt>
              </c:numCache>
            </c:numRef>
          </c:val>
          <c:extLst>
            <c:ext xmlns:c16="http://schemas.microsoft.com/office/drawing/2014/chart" uri="{C3380CC4-5D6E-409C-BE32-E72D297353CC}">
              <c16:uniqueId val="{00000001-0D93-4C19-9F5B-1C7873D3417D}"/>
            </c:ext>
          </c:extLst>
        </c:ser>
        <c:dLbls>
          <c:showLegendKey val="0"/>
          <c:showVal val="0"/>
          <c:showCatName val="0"/>
          <c:showSerName val="0"/>
          <c:showPercent val="0"/>
          <c:showBubbleSize val="0"/>
        </c:dLbls>
        <c:gapWidth val="25"/>
        <c:overlap val="100"/>
        <c:axId val="1601222832"/>
        <c:axId val="1601221392"/>
      </c:barChart>
      <c:catAx>
        <c:axId val="16012228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01221392"/>
        <c:crosses val="autoZero"/>
        <c:auto val="1"/>
        <c:lblAlgn val="ctr"/>
        <c:lblOffset val="100"/>
        <c:noMultiLvlLbl val="0"/>
      </c:catAx>
      <c:valAx>
        <c:axId val="1601221392"/>
        <c:scaling>
          <c:orientation val="minMax"/>
        </c:scaling>
        <c:delete val="0"/>
        <c:axPos val="t"/>
        <c:numFmt formatCode="\$#,###.0,&quot;K&quot;" sourceLinked="1"/>
        <c:majorTickMark val="none"/>
        <c:minorTickMark val="none"/>
        <c:tickLblPos val="none"/>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0122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Project.xlsx]Pivot!PivotTable20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F0000"/>
                </a:solidFill>
                <a:latin typeface="Aptos Black" panose="020F0502020204030204" pitchFamily="34" charset="0"/>
              </a:rPr>
              <a:t>Female</a:t>
            </a:r>
            <a:r>
              <a:rPr lang="en-IN">
                <a:latin typeface="Aptos Black" panose="020F0502020204030204" pitchFamily="34" charset="0"/>
              </a:rPr>
              <a:t> </a:t>
            </a:r>
            <a:r>
              <a:rPr lang="en-IN">
                <a:solidFill>
                  <a:schemeClr val="tx2"/>
                </a:solidFill>
                <a:latin typeface="Aptos Black" panose="020F0502020204030204" pitchFamily="34" charset="0"/>
              </a:rPr>
              <a:t>Vs</a:t>
            </a:r>
            <a:r>
              <a:rPr lang="en-IN">
                <a:latin typeface="Aptos Black" panose="020F0502020204030204" pitchFamily="34" charset="0"/>
              </a:rPr>
              <a:t>.</a:t>
            </a:r>
            <a:r>
              <a:rPr lang="en-IN">
                <a:solidFill>
                  <a:schemeClr val="accent4">
                    <a:lumMod val="75000"/>
                  </a:schemeClr>
                </a:solidFill>
                <a:latin typeface="Aptos Black" panose="020F0502020204030204" pitchFamily="34" charset="0"/>
              </a:rPr>
              <a:t>Male</a:t>
            </a:r>
            <a:r>
              <a:rPr lang="en-IN">
                <a:latin typeface="Aptos Black" panose="020F0502020204030204" pitchFamily="34" charset="0"/>
              </a:rPr>
              <a:t> </a:t>
            </a:r>
            <a:r>
              <a:rPr lang="en-IN">
                <a:solidFill>
                  <a:schemeClr val="tx2"/>
                </a:solidFill>
                <a:latin typeface="Aptos Black" panose="020F0502020204030204" pitchFamily="34" charset="0"/>
              </a:rPr>
              <a:t>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solidFill>
              <a:schemeClr val="accent6">
                <a:lumMod val="40000"/>
                <a:lumOff val="60000"/>
              </a:schemeClr>
            </a:solidFill>
            <a:ln cap="rnd">
              <a:solidFill>
                <a:schemeClr val="accent6">
                  <a:lumMod val="60000"/>
                  <a:lumOff val="4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solidFill>
              <a:schemeClr val="accent4">
                <a:lumMod val="40000"/>
                <a:lumOff val="60000"/>
              </a:schemeClr>
            </a:solidFill>
            <a:ln cap="rnd">
              <a:solidFill>
                <a:schemeClr val="accent4">
                  <a:lumMod val="60000"/>
                  <a:lumOff val="40000"/>
                </a:schemeClr>
              </a:solidFill>
            </a:ln>
            <a:effectLst>
              <a:softEdge rad="635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solidFill>
              <a:schemeClr val="accent6">
                <a:lumMod val="40000"/>
                <a:lumOff val="60000"/>
              </a:schemeClr>
            </a:solidFill>
            <a:ln cap="rnd">
              <a:solidFill>
                <a:schemeClr val="accent6">
                  <a:lumMod val="60000"/>
                  <a:lumOff val="4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solidFill>
              <a:schemeClr val="accent4">
                <a:lumMod val="40000"/>
                <a:lumOff val="60000"/>
              </a:schemeClr>
            </a:solidFill>
            <a:ln cap="rnd">
              <a:solidFill>
                <a:schemeClr val="accent4">
                  <a:lumMod val="60000"/>
                  <a:lumOff val="40000"/>
                </a:schemeClr>
              </a:solidFill>
            </a:ln>
            <a:effectLst>
              <a:softEdge rad="635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solidFill>
              <a:schemeClr val="accent6">
                <a:lumMod val="40000"/>
                <a:lumOff val="60000"/>
              </a:schemeClr>
            </a:solidFill>
            <a:ln cap="rnd">
              <a:solidFill>
                <a:schemeClr val="accent6">
                  <a:lumMod val="60000"/>
                  <a:lumOff val="4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solidFill>
              <a:schemeClr val="accent4">
                <a:lumMod val="40000"/>
                <a:lumOff val="60000"/>
              </a:schemeClr>
            </a:solidFill>
            <a:ln cap="rnd">
              <a:solidFill>
                <a:schemeClr val="accent4">
                  <a:lumMod val="60000"/>
                  <a:lumOff val="40000"/>
                </a:schemeClr>
              </a:solidFill>
            </a:ln>
            <a:effectLst>
              <a:softEdge rad="635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Pivot!$B$73:$B$74</c:f>
              <c:strCache>
                <c:ptCount val="1"/>
                <c:pt idx="0">
                  <c:v>Female</c:v>
                </c:pt>
              </c:strCache>
            </c:strRef>
          </c:tx>
          <c:spPr>
            <a:solidFill>
              <a:srgbClr val="FF0000"/>
            </a:solidFill>
            <a:ln>
              <a:noFill/>
            </a:ln>
            <a:effectLst/>
          </c:spPr>
          <c:invertIfNegative val="0"/>
          <c:dLbls>
            <c:spPr>
              <a:solidFill>
                <a:schemeClr val="accent6">
                  <a:lumMod val="40000"/>
                  <a:lumOff val="60000"/>
                </a:schemeClr>
              </a:solidFill>
              <a:ln cap="rnd">
                <a:solidFill>
                  <a:schemeClr val="accent6">
                    <a:lumMod val="60000"/>
                    <a:lumOff val="4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Pivot!$A$75:$A$78</c:f>
              <c:strCache>
                <c:ptCount val="3"/>
                <c:pt idx="0">
                  <c:v>Cincinnati</c:v>
                </c:pt>
                <c:pt idx="1">
                  <c:v>Cleveland</c:v>
                </c:pt>
                <c:pt idx="2">
                  <c:v>Columbus</c:v>
                </c:pt>
              </c:strCache>
            </c:strRef>
          </c:cat>
          <c:val>
            <c:numRef>
              <c:f>Pivot!$B$75:$B$78</c:f>
              <c:numCache>
                <c:formatCode>#,##0</c:formatCode>
                <c:ptCount val="3"/>
                <c:pt idx="0">
                  <c:v>144</c:v>
                </c:pt>
                <c:pt idx="1">
                  <c:v>326</c:v>
                </c:pt>
                <c:pt idx="2">
                  <c:v>129</c:v>
                </c:pt>
              </c:numCache>
            </c:numRef>
          </c:val>
          <c:extLst>
            <c:ext xmlns:c16="http://schemas.microsoft.com/office/drawing/2014/chart" uri="{C3380CC4-5D6E-409C-BE32-E72D297353CC}">
              <c16:uniqueId val="{00000000-8B15-4288-A976-08B07854A631}"/>
            </c:ext>
          </c:extLst>
        </c:ser>
        <c:ser>
          <c:idx val="1"/>
          <c:order val="1"/>
          <c:tx>
            <c:strRef>
              <c:f>Pivot!$C$73:$C$74</c:f>
              <c:strCache>
                <c:ptCount val="1"/>
                <c:pt idx="0">
                  <c:v>Male</c:v>
                </c:pt>
              </c:strCache>
            </c:strRef>
          </c:tx>
          <c:spPr>
            <a:solidFill>
              <a:schemeClr val="accent4">
                <a:lumMod val="75000"/>
              </a:schemeClr>
            </a:solidFill>
            <a:ln>
              <a:noFill/>
            </a:ln>
            <a:effectLst/>
          </c:spPr>
          <c:invertIfNegative val="0"/>
          <c:dLbls>
            <c:spPr>
              <a:solidFill>
                <a:schemeClr val="accent4">
                  <a:lumMod val="40000"/>
                  <a:lumOff val="60000"/>
                </a:schemeClr>
              </a:solidFill>
              <a:ln cap="rnd">
                <a:solidFill>
                  <a:schemeClr val="accent4">
                    <a:lumMod val="60000"/>
                    <a:lumOff val="40000"/>
                  </a:schemeClr>
                </a:solidFill>
              </a:ln>
              <a:effectLst>
                <a:softEdge rad="635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Pivot!$A$75:$A$78</c:f>
              <c:strCache>
                <c:ptCount val="3"/>
                <c:pt idx="0">
                  <c:v>Cincinnati</c:v>
                </c:pt>
                <c:pt idx="1">
                  <c:v>Cleveland</c:v>
                </c:pt>
                <c:pt idx="2">
                  <c:v>Columbus</c:v>
                </c:pt>
              </c:strCache>
            </c:strRef>
          </c:cat>
          <c:val>
            <c:numRef>
              <c:f>Pivot!$C$75:$C$78</c:f>
              <c:numCache>
                <c:formatCode>#,##0</c:formatCode>
                <c:ptCount val="3"/>
                <c:pt idx="0">
                  <c:v>132</c:v>
                </c:pt>
                <c:pt idx="1">
                  <c:v>63</c:v>
                </c:pt>
                <c:pt idx="2">
                  <c:v>206</c:v>
                </c:pt>
              </c:numCache>
            </c:numRef>
          </c:val>
          <c:extLst>
            <c:ext xmlns:c16="http://schemas.microsoft.com/office/drawing/2014/chart" uri="{C3380CC4-5D6E-409C-BE32-E72D297353CC}">
              <c16:uniqueId val="{00000001-8B15-4288-A976-08B07854A631}"/>
            </c:ext>
          </c:extLst>
        </c:ser>
        <c:dLbls>
          <c:dLblPos val="ctr"/>
          <c:showLegendKey val="0"/>
          <c:showVal val="1"/>
          <c:showCatName val="0"/>
          <c:showSerName val="0"/>
          <c:showPercent val="0"/>
          <c:showBubbleSize val="0"/>
        </c:dLbls>
        <c:gapWidth val="25"/>
        <c:overlap val="100"/>
        <c:axId val="142783287"/>
        <c:axId val="142786167"/>
      </c:barChart>
      <c:catAx>
        <c:axId val="142783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86167"/>
        <c:crosses val="autoZero"/>
        <c:auto val="1"/>
        <c:lblAlgn val="ctr"/>
        <c:lblOffset val="100"/>
        <c:noMultiLvlLbl val="0"/>
      </c:catAx>
      <c:valAx>
        <c:axId val="142786167"/>
        <c:scaling>
          <c:orientation val="minMax"/>
        </c:scaling>
        <c:delete val="1"/>
        <c:axPos val="l"/>
        <c:numFmt formatCode="#,##0" sourceLinked="1"/>
        <c:majorTickMark val="none"/>
        <c:minorTickMark val="none"/>
        <c:tickLblPos val="nextTo"/>
        <c:crossAx val="142783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Project.xlsx]Pivot!Satisfaction Rate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latin typeface="Aptos ExtraBold" panose="020B0004020202020204" pitchFamily="34" charset="0"/>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Pivot!$B$82</c:f>
              <c:strCache>
                <c:ptCount val="1"/>
                <c:pt idx="0">
                  <c:v>Total</c:v>
                </c:pt>
              </c:strCache>
            </c:strRef>
          </c:tx>
          <c:spPr>
            <a:solidFill>
              <a:schemeClr val="accent1"/>
            </a:solidFill>
            <a:ln>
              <a:noFill/>
            </a:ln>
            <a:effectLst/>
          </c:spPr>
          <c:invertIfNegative val="0"/>
          <c:cat>
            <c:strRef>
              <c:f>Pivot!$A$83:$A$88</c:f>
              <c:strCache>
                <c:ptCount val="5"/>
                <c:pt idx="0">
                  <c:v>1</c:v>
                </c:pt>
                <c:pt idx="1">
                  <c:v>2</c:v>
                </c:pt>
                <c:pt idx="2">
                  <c:v>3</c:v>
                </c:pt>
                <c:pt idx="3">
                  <c:v>4</c:v>
                </c:pt>
                <c:pt idx="4">
                  <c:v>5</c:v>
                </c:pt>
              </c:strCache>
            </c:strRef>
          </c:cat>
          <c:val>
            <c:numRef>
              <c:f>Pivot!$B$83:$B$88</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45A7-4315-9276-B3354ED3DF1A}"/>
            </c:ext>
          </c:extLst>
        </c:ser>
        <c:dLbls>
          <c:showLegendKey val="0"/>
          <c:showVal val="0"/>
          <c:showCatName val="0"/>
          <c:showSerName val="0"/>
          <c:showPercent val="0"/>
          <c:showBubbleSize val="0"/>
        </c:dLbls>
        <c:gapWidth val="50"/>
        <c:overlap val="-27"/>
        <c:axId val="2143565208"/>
        <c:axId val="2143567008"/>
      </c:barChart>
      <c:catAx>
        <c:axId val="2143565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67008"/>
        <c:crosses val="autoZero"/>
        <c:auto val="1"/>
        <c:lblAlgn val="ctr"/>
        <c:lblOffset val="100"/>
        <c:noMultiLvlLbl val="0"/>
      </c:catAx>
      <c:valAx>
        <c:axId val="21435670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65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12</xdr:col>
      <xdr:colOff>323850</xdr:colOff>
      <xdr:row>20</xdr:row>
      <xdr:rowOff>1</xdr:rowOff>
    </xdr:from>
    <xdr:to>
      <xdr:col>14</xdr:col>
      <xdr:colOff>273050</xdr:colOff>
      <xdr:row>29</xdr:row>
      <xdr:rowOff>133350</xdr:rowOff>
    </xdr:to>
    <mc:AlternateContent xmlns:mc="http://schemas.openxmlformats.org/markup-compatibility/2006">
      <mc:Choice xmlns:a14="http://schemas.microsoft.com/office/drawing/2010/main" Requires="a14">
        <xdr:graphicFrame macro="">
          <xdr:nvGraphicFramePr>
            <xdr:cNvPr id="22" name="Representative">
              <a:extLst>
                <a:ext uri="{FF2B5EF4-FFF2-40B4-BE49-F238E27FC236}">
                  <a16:creationId xmlns:a16="http://schemas.microsoft.com/office/drawing/2014/main" id="{518826E1-403D-4A6A-88C6-816A255B359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7175500" y="3962401"/>
              <a:ext cx="1270000" cy="1733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209550</xdr:colOff>
      <xdr:row>19</xdr:row>
      <xdr:rowOff>57150</xdr:rowOff>
    </xdr:from>
    <xdr:to>
      <xdr:col>11</xdr:col>
      <xdr:colOff>571500</xdr:colOff>
      <xdr:row>37</xdr:row>
      <xdr:rowOff>76200</xdr:rowOff>
    </xdr:to>
    <xdr:sp macro="" textlink="">
      <xdr:nvSpPr>
        <xdr:cNvPr id="28" name="Rectangle 27">
          <a:extLst>
            <a:ext uri="{FF2B5EF4-FFF2-40B4-BE49-F238E27FC236}">
              <a16:creationId xmlns:a16="http://schemas.microsoft.com/office/drawing/2014/main" id="{6CC60AF8-0967-D178-47C7-C6BB52D58150}"/>
            </a:ext>
          </a:extLst>
        </xdr:cNvPr>
        <xdr:cNvSpPr/>
      </xdr:nvSpPr>
      <xdr:spPr>
        <a:xfrm>
          <a:off x="1778000" y="3435350"/>
          <a:ext cx="4984750" cy="32194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2</xdr:row>
      <xdr:rowOff>82550</xdr:rowOff>
    </xdr:from>
    <xdr:to>
      <xdr:col>3</xdr:col>
      <xdr:colOff>635000</xdr:colOff>
      <xdr:row>7</xdr:row>
      <xdr:rowOff>127000</xdr:rowOff>
    </xdr:to>
    <xdr:sp macro="" textlink="Pivot!A4">
      <xdr:nvSpPr>
        <xdr:cNvPr id="2" name="Rectangle 1">
          <a:extLst>
            <a:ext uri="{FF2B5EF4-FFF2-40B4-BE49-F238E27FC236}">
              <a16:creationId xmlns:a16="http://schemas.microsoft.com/office/drawing/2014/main" id="{768FE9D0-BDFD-98B9-7F9A-11BC35941B43}"/>
            </a:ext>
          </a:extLst>
        </xdr:cNvPr>
        <xdr:cNvSpPr/>
      </xdr:nvSpPr>
      <xdr:spPr>
        <a:xfrm>
          <a:off x="247650" y="438150"/>
          <a:ext cx="1295400" cy="933450"/>
        </a:xfrm>
        <a:prstGeom prst="rect">
          <a:avLst/>
        </a:prstGeom>
        <a:solidFill>
          <a:srgbClr val="FF0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E6E4A0-4613-455A-A387-80C32DAD062E}" type="TxLink">
            <a:rPr lang="en-US" sz="2400" b="0" i="0" u="none" strike="noStrike">
              <a:solidFill>
                <a:schemeClr val="bg1"/>
              </a:solidFill>
              <a:latin typeface="Aptos ExtraBold" panose="020B0004020202020204" pitchFamily="34" charset="0"/>
              <a:cs typeface="Arial"/>
            </a:rPr>
            <a:pPr algn="ctr"/>
            <a:t>1,000</a:t>
          </a:fld>
          <a:endParaRPr lang="en-IN" sz="2400">
            <a:solidFill>
              <a:schemeClr val="bg1"/>
            </a:solidFill>
            <a:latin typeface="Aptos ExtraBold" panose="020B0004020202020204" pitchFamily="34" charset="0"/>
          </a:endParaRPr>
        </a:p>
      </xdr:txBody>
    </xdr:sp>
    <xdr:clientData/>
  </xdr:twoCellAnchor>
  <xdr:oneCellAnchor>
    <xdr:from>
      <xdr:col>2</xdr:col>
      <xdr:colOff>453541</xdr:colOff>
      <xdr:row>2</xdr:row>
      <xdr:rowOff>64849</xdr:rowOff>
    </xdr:from>
    <xdr:ext cx="480196" cy="264560"/>
    <xdr:sp macro="" textlink="">
      <xdr:nvSpPr>
        <xdr:cNvPr id="3" name="TextBox 2">
          <a:extLst>
            <a:ext uri="{FF2B5EF4-FFF2-40B4-BE49-F238E27FC236}">
              <a16:creationId xmlns:a16="http://schemas.microsoft.com/office/drawing/2014/main" id="{BC3F5CE9-F6D6-7CBF-AB7F-593FD3AFA85E}"/>
            </a:ext>
          </a:extLst>
        </xdr:cNvPr>
        <xdr:cNvSpPr txBox="1"/>
      </xdr:nvSpPr>
      <xdr:spPr>
        <a:xfrm>
          <a:off x="701191" y="420449"/>
          <a:ext cx="4801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a:solidFill>
                <a:schemeClr val="bg1"/>
              </a:solidFill>
              <a:latin typeface="Aptos Display" panose="020B0004020202020204" pitchFamily="34" charset="0"/>
            </a:rPr>
            <a:t>Calls</a:t>
          </a:r>
        </a:p>
      </xdr:txBody>
    </xdr:sp>
    <xdr:clientData/>
  </xdr:oneCellAnchor>
  <xdr:oneCellAnchor>
    <xdr:from>
      <xdr:col>2</xdr:col>
      <xdr:colOff>438150</xdr:colOff>
      <xdr:row>6</xdr:row>
      <xdr:rowOff>12700</xdr:rowOff>
    </xdr:from>
    <xdr:ext cx="410690" cy="264560"/>
    <xdr:sp macro="" textlink="Pivot!A11">
      <xdr:nvSpPr>
        <xdr:cNvPr id="4" name="TextBox 3">
          <a:extLst>
            <a:ext uri="{FF2B5EF4-FFF2-40B4-BE49-F238E27FC236}">
              <a16:creationId xmlns:a16="http://schemas.microsoft.com/office/drawing/2014/main" id="{D15906F7-A567-1D3F-F2F5-096AB48784D3}"/>
            </a:ext>
          </a:extLst>
        </xdr:cNvPr>
        <xdr:cNvSpPr txBox="1"/>
      </xdr:nvSpPr>
      <xdr:spPr>
        <a:xfrm>
          <a:off x="685800" y="1079500"/>
          <a:ext cx="41069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7F33080-9BBC-4755-89E2-65CE3EA93492}" type="TxLink">
            <a:rPr lang="en-US" sz="1100" b="0" i="0" u="none" strike="noStrike">
              <a:solidFill>
                <a:schemeClr val="bg1"/>
              </a:solidFill>
              <a:latin typeface="Aptos Display" panose="020B0004020202020204" pitchFamily="34" charset="0"/>
              <a:cs typeface="Arial"/>
            </a:rPr>
            <a:pPr algn="ctr"/>
            <a:t>186</a:t>
          </a:fld>
          <a:endParaRPr lang="en-IN" sz="1100">
            <a:solidFill>
              <a:schemeClr val="bg1"/>
            </a:solidFill>
            <a:latin typeface="Aptos Display" panose="020B0004020202020204" pitchFamily="34" charset="0"/>
          </a:endParaRPr>
        </a:p>
      </xdr:txBody>
    </xdr:sp>
    <xdr:clientData/>
  </xdr:oneCellAnchor>
  <xdr:twoCellAnchor editAs="oneCell">
    <xdr:from>
      <xdr:col>2</xdr:col>
      <xdr:colOff>61812</xdr:colOff>
      <xdr:row>2</xdr:row>
      <xdr:rowOff>117063</xdr:rowOff>
    </xdr:from>
    <xdr:to>
      <xdr:col>2</xdr:col>
      <xdr:colOff>244487</xdr:colOff>
      <xdr:row>3</xdr:row>
      <xdr:rowOff>114551</xdr:rowOff>
    </xdr:to>
    <xdr:pic>
      <xdr:nvPicPr>
        <xdr:cNvPr id="5" name="Graphic 4" descr="Receiver with solid fill">
          <a:extLst>
            <a:ext uri="{FF2B5EF4-FFF2-40B4-BE49-F238E27FC236}">
              <a16:creationId xmlns:a16="http://schemas.microsoft.com/office/drawing/2014/main" id="{3A25ACFB-3CBA-4056-82DF-46085473F6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164408">
          <a:off x="309462" y="472663"/>
          <a:ext cx="182675" cy="175288"/>
        </a:xfrm>
        <a:prstGeom prst="rect">
          <a:avLst/>
        </a:prstGeom>
      </xdr:spPr>
    </xdr:pic>
    <xdr:clientData/>
  </xdr:twoCellAnchor>
  <xdr:twoCellAnchor>
    <xdr:from>
      <xdr:col>2</xdr:col>
      <xdr:colOff>19050</xdr:colOff>
      <xdr:row>9</xdr:row>
      <xdr:rowOff>107950</xdr:rowOff>
    </xdr:from>
    <xdr:to>
      <xdr:col>3</xdr:col>
      <xdr:colOff>654050</xdr:colOff>
      <xdr:row>14</xdr:row>
      <xdr:rowOff>152400</xdr:rowOff>
    </xdr:to>
    <xdr:sp macro="" textlink="Pivot!B4">
      <xdr:nvSpPr>
        <xdr:cNvPr id="6" name="Rectangle 5">
          <a:extLst>
            <a:ext uri="{FF2B5EF4-FFF2-40B4-BE49-F238E27FC236}">
              <a16:creationId xmlns:a16="http://schemas.microsoft.com/office/drawing/2014/main" id="{273639CA-7B9F-4F6D-8E53-0EC918D0B94D}"/>
            </a:ext>
          </a:extLst>
        </xdr:cNvPr>
        <xdr:cNvSpPr/>
      </xdr:nvSpPr>
      <xdr:spPr>
        <a:xfrm>
          <a:off x="266700" y="1708150"/>
          <a:ext cx="1295400" cy="933450"/>
        </a:xfrm>
        <a:prstGeom prst="rect">
          <a:avLst/>
        </a:prstGeom>
        <a:solidFill>
          <a:srgbClr val="FF0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8C4B513-A50D-43DC-8AB3-A823FD2C67FE}" type="TxLink">
            <a:rPr lang="en-US" sz="2400" b="0" i="0" u="none" strike="noStrike">
              <a:solidFill>
                <a:schemeClr val="bg1"/>
              </a:solidFill>
              <a:latin typeface="Aptos ExtraBold" panose="020B0004020202020204" pitchFamily="34" charset="0"/>
              <a:ea typeface="+mn-ea"/>
              <a:cs typeface="Arial"/>
            </a:rPr>
            <a:pPr marL="0" indent="0" algn="ctr"/>
            <a:t>$96,623</a:t>
          </a:fld>
          <a:endParaRPr lang="en-IN" sz="2400" b="0" i="0" u="none" strike="noStrike">
            <a:solidFill>
              <a:schemeClr val="bg1"/>
            </a:solidFill>
            <a:latin typeface="Aptos ExtraBold" panose="020B0004020202020204" pitchFamily="34" charset="0"/>
            <a:ea typeface="+mn-ea"/>
            <a:cs typeface="Arial"/>
          </a:endParaRPr>
        </a:p>
      </xdr:txBody>
    </xdr:sp>
    <xdr:clientData/>
  </xdr:twoCellAnchor>
  <xdr:oneCellAnchor>
    <xdr:from>
      <xdr:col>2</xdr:col>
      <xdr:colOff>394077</xdr:colOff>
      <xdr:row>9</xdr:row>
      <xdr:rowOff>90249</xdr:rowOff>
    </xdr:from>
    <xdr:ext cx="637226" cy="264560"/>
    <xdr:sp macro="" textlink="">
      <xdr:nvSpPr>
        <xdr:cNvPr id="7" name="TextBox 6">
          <a:extLst>
            <a:ext uri="{FF2B5EF4-FFF2-40B4-BE49-F238E27FC236}">
              <a16:creationId xmlns:a16="http://schemas.microsoft.com/office/drawing/2014/main" id="{90FC4D9F-3E00-46BB-BCA7-C5377A187999}"/>
            </a:ext>
          </a:extLst>
        </xdr:cNvPr>
        <xdr:cNvSpPr txBox="1"/>
      </xdr:nvSpPr>
      <xdr:spPr>
        <a:xfrm>
          <a:off x="641727" y="1690449"/>
          <a:ext cx="6372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a:solidFill>
                <a:schemeClr val="bg1"/>
              </a:solidFill>
              <a:latin typeface="Aptos Display" panose="020B0004020202020204" pitchFamily="34" charset="0"/>
            </a:rPr>
            <a:t>Amount</a:t>
          </a:r>
        </a:p>
      </xdr:txBody>
    </xdr:sp>
    <xdr:clientData/>
  </xdr:oneCellAnchor>
  <xdr:oneCellAnchor>
    <xdr:from>
      <xdr:col>2</xdr:col>
      <xdr:colOff>331653</xdr:colOff>
      <xdr:row>13</xdr:row>
      <xdr:rowOff>38100</xdr:rowOff>
    </xdr:from>
    <xdr:ext cx="661784" cy="264560"/>
    <xdr:sp macro="" textlink="Pivot!B11">
      <xdr:nvSpPr>
        <xdr:cNvPr id="8" name="TextBox 7">
          <a:extLst>
            <a:ext uri="{FF2B5EF4-FFF2-40B4-BE49-F238E27FC236}">
              <a16:creationId xmlns:a16="http://schemas.microsoft.com/office/drawing/2014/main" id="{A9F690FA-385F-4919-B031-854FA84B90F6}"/>
            </a:ext>
          </a:extLst>
        </xdr:cNvPr>
        <xdr:cNvSpPr txBox="1"/>
      </xdr:nvSpPr>
      <xdr:spPr>
        <a:xfrm>
          <a:off x="579303" y="2349500"/>
          <a:ext cx="6617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69F7FBDF-91AC-4B10-B0A3-D91C9EC41D33}" type="TxLink">
            <a:rPr lang="en-US" sz="1100" b="0" i="0" u="none" strike="noStrike">
              <a:solidFill>
                <a:schemeClr val="bg1"/>
              </a:solidFill>
              <a:latin typeface="Aptos Display" panose="020B0004020202020204" pitchFamily="34" charset="0"/>
              <a:ea typeface="+mn-ea"/>
              <a:cs typeface="Arial"/>
            </a:rPr>
            <a:pPr marL="0" indent="0" algn="ctr"/>
            <a:t>$16,651</a:t>
          </a:fld>
          <a:endParaRPr lang="en-IN" sz="1100" b="0" i="0" u="none" strike="noStrike">
            <a:solidFill>
              <a:schemeClr val="bg1"/>
            </a:solidFill>
            <a:latin typeface="Aptos Display" panose="020B0004020202020204" pitchFamily="34" charset="0"/>
            <a:ea typeface="+mn-ea"/>
            <a:cs typeface="Arial"/>
          </a:endParaRPr>
        </a:p>
      </xdr:txBody>
    </xdr:sp>
    <xdr:clientData/>
  </xdr:oneCellAnchor>
  <xdr:twoCellAnchor editAs="oneCell">
    <xdr:from>
      <xdr:col>2</xdr:col>
      <xdr:colOff>84555</xdr:colOff>
      <xdr:row>9</xdr:row>
      <xdr:rowOff>142463</xdr:rowOff>
    </xdr:from>
    <xdr:to>
      <xdr:col>2</xdr:col>
      <xdr:colOff>259843</xdr:colOff>
      <xdr:row>10</xdr:row>
      <xdr:rowOff>139951</xdr:rowOff>
    </xdr:to>
    <xdr:pic>
      <xdr:nvPicPr>
        <xdr:cNvPr id="9" name="Graphic 8">
          <a:extLst>
            <a:ext uri="{FF2B5EF4-FFF2-40B4-BE49-F238E27FC236}">
              <a16:creationId xmlns:a16="http://schemas.microsoft.com/office/drawing/2014/main" id="{77ADA019-7BA1-4DDF-A914-B333097AD4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32205" y="1742663"/>
          <a:ext cx="175288" cy="175288"/>
        </a:xfrm>
        <a:prstGeom prst="rect">
          <a:avLst/>
        </a:prstGeom>
      </xdr:spPr>
    </xdr:pic>
    <xdr:clientData/>
  </xdr:twoCellAnchor>
  <xdr:twoCellAnchor>
    <xdr:from>
      <xdr:col>2</xdr:col>
      <xdr:colOff>50800</xdr:colOff>
      <xdr:row>16</xdr:row>
      <xdr:rowOff>133350</xdr:rowOff>
    </xdr:from>
    <xdr:to>
      <xdr:col>4</xdr:col>
      <xdr:colOff>25400</xdr:colOff>
      <xdr:row>22</xdr:row>
      <xdr:rowOff>0</xdr:rowOff>
    </xdr:to>
    <xdr:sp macro="" textlink="Pivot!C4">
      <xdr:nvSpPr>
        <xdr:cNvPr id="10" name="Rectangle 9">
          <a:extLst>
            <a:ext uri="{FF2B5EF4-FFF2-40B4-BE49-F238E27FC236}">
              <a16:creationId xmlns:a16="http://schemas.microsoft.com/office/drawing/2014/main" id="{1CEB74B2-E97B-422B-AB7E-FCC1F9EDFEC0}"/>
            </a:ext>
          </a:extLst>
        </xdr:cNvPr>
        <xdr:cNvSpPr/>
      </xdr:nvSpPr>
      <xdr:spPr>
        <a:xfrm>
          <a:off x="298450" y="2978150"/>
          <a:ext cx="1295400" cy="933450"/>
        </a:xfrm>
        <a:prstGeom prst="rect">
          <a:avLst/>
        </a:prstGeom>
        <a:solidFill>
          <a:srgbClr val="FF0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ACF71FE-7A90-4A76-AE64-E683811FCAE1}" type="TxLink">
            <a:rPr lang="en-US" sz="2400" b="0" i="0" u="none" strike="noStrike">
              <a:solidFill>
                <a:schemeClr val="bg1"/>
              </a:solidFill>
              <a:latin typeface="Aptos ExtraBold" panose="020B0004020202020204" pitchFamily="34" charset="0"/>
              <a:ea typeface="+mn-ea"/>
              <a:cs typeface="Arial"/>
            </a:rPr>
            <a:pPr marL="0" indent="0" algn="ctr"/>
            <a:t>89,850</a:t>
          </a:fld>
          <a:endParaRPr lang="en-IN" sz="2400" b="0" i="0" u="none" strike="noStrike">
            <a:solidFill>
              <a:schemeClr val="bg1"/>
            </a:solidFill>
            <a:latin typeface="Aptos ExtraBold" panose="020B0004020202020204" pitchFamily="34" charset="0"/>
            <a:ea typeface="+mn-ea"/>
            <a:cs typeface="Arial"/>
          </a:endParaRPr>
        </a:p>
      </xdr:txBody>
    </xdr:sp>
    <xdr:clientData/>
  </xdr:twoCellAnchor>
  <xdr:oneCellAnchor>
    <xdr:from>
      <xdr:col>2</xdr:col>
      <xdr:colOff>405759</xdr:colOff>
      <xdr:row>16</xdr:row>
      <xdr:rowOff>115649</xdr:rowOff>
    </xdr:from>
    <xdr:ext cx="677365" cy="264560"/>
    <xdr:sp macro="" textlink="">
      <xdr:nvSpPr>
        <xdr:cNvPr id="11" name="TextBox 10">
          <a:extLst>
            <a:ext uri="{FF2B5EF4-FFF2-40B4-BE49-F238E27FC236}">
              <a16:creationId xmlns:a16="http://schemas.microsoft.com/office/drawing/2014/main" id="{45BEA7D2-B092-4B9C-BFBF-398E95C2957F}"/>
            </a:ext>
          </a:extLst>
        </xdr:cNvPr>
        <xdr:cNvSpPr txBox="1"/>
      </xdr:nvSpPr>
      <xdr:spPr>
        <a:xfrm>
          <a:off x="653409" y="2960449"/>
          <a:ext cx="67736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a:solidFill>
                <a:schemeClr val="bg1"/>
              </a:solidFill>
              <a:latin typeface="Aptos Display" panose="020B0004020202020204" pitchFamily="34" charset="0"/>
            </a:rPr>
            <a:t>Duration</a:t>
          </a:r>
        </a:p>
      </xdr:txBody>
    </xdr:sp>
    <xdr:clientData/>
  </xdr:oneCellAnchor>
  <xdr:oneCellAnchor>
    <xdr:from>
      <xdr:col>2</xdr:col>
      <xdr:colOff>400273</xdr:colOff>
      <xdr:row>20</xdr:row>
      <xdr:rowOff>63500</xdr:rowOff>
    </xdr:from>
    <xdr:ext cx="588045" cy="264560"/>
    <xdr:sp macro="" textlink="Pivot!C11">
      <xdr:nvSpPr>
        <xdr:cNvPr id="12" name="TextBox 11">
          <a:extLst>
            <a:ext uri="{FF2B5EF4-FFF2-40B4-BE49-F238E27FC236}">
              <a16:creationId xmlns:a16="http://schemas.microsoft.com/office/drawing/2014/main" id="{ED65F691-357C-4F79-8A82-3D95CBA083D1}"/>
            </a:ext>
          </a:extLst>
        </xdr:cNvPr>
        <xdr:cNvSpPr txBox="1"/>
      </xdr:nvSpPr>
      <xdr:spPr>
        <a:xfrm>
          <a:off x="647923" y="3619500"/>
          <a:ext cx="5880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4D2A49C3-C0B4-4D08-8A28-9CA47DABF439}" type="TxLink">
            <a:rPr lang="en-US" sz="1100" b="0" i="0" u="none" strike="noStrike">
              <a:solidFill>
                <a:schemeClr val="bg1"/>
              </a:solidFill>
              <a:latin typeface="Aptos Display" panose="020B0004020202020204" pitchFamily="34" charset="0"/>
              <a:ea typeface="+mn-ea"/>
              <a:cs typeface="Arial"/>
            </a:rPr>
            <a:pPr marL="0" indent="0" algn="ctr"/>
            <a:t>17,807</a:t>
          </a:fld>
          <a:endParaRPr lang="en-IN" sz="1100" b="0" i="0" u="none" strike="noStrike">
            <a:solidFill>
              <a:schemeClr val="bg1"/>
            </a:solidFill>
            <a:latin typeface="Aptos Display" panose="020B0004020202020204" pitchFamily="34" charset="0"/>
            <a:ea typeface="+mn-ea"/>
            <a:cs typeface="Arial"/>
          </a:endParaRPr>
        </a:p>
      </xdr:txBody>
    </xdr:sp>
    <xdr:clientData/>
  </xdr:oneCellAnchor>
  <xdr:twoCellAnchor editAs="oneCell">
    <xdr:from>
      <xdr:col>2</xdr:col>
      <xdr:colOff>116304</xdr:colOff>
      <xdr:row>16</xdr:row>
      <xdr:rowOff>167862</xdr:rowOff>
    </xdr:from>
    <xdr:to>
      <xdr:col>2</xdr:col>
      <xdr:colOff>316741</xdr:colOff>
      <xdr:row>18</xdr:row>
      <xdr:rowOff>12699</xdr:rowOff>
    </xdr:to>
    <xdr:pic>
      <xdr:nvPicPr>
        <xdr:cNvPr id="13" name="Graphic 12">
          <a:extLst>
            <a:ext uri="{FF2B5EF4-FFF2-40B4-BE49-F238E27FC236}">
              <a16:creationId xmlns:a16="http://schemas.microsoft.com/office/drawing/2014/main" id="{E4AE55B0-F36B-4290-871A-99715270E6A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63954" y="3012662"/>
          <a:ext cx="200437" cy="200437"/>
        </a:xfrm>
        <a:prstGeom prst="rect">
          <a:avLst/>
        </a:prstGeom>
      </xdr:spPr>
    </xdr:pic>
    <xdr:clientData/>
  </xdr:twoCellAnchor>
  <xdr:twoCellAnchor>
    <xdr:from>
      <xdr:col>2</xdr:col>
      <xdr:colOff>50800</xdr:colOff>
      <xdr:row>24</xdr:row>
      <xdr:rowOff>44450</xdr:rowOff>
    </xdr:from>
    <xdr:to>
      <xdr:col>4</xdr:col>
      <xdr:colOff>25400</xdr:colOff>
      <xdr:row>29</xdr:row>
      <xdr:rowOff>88900</xdr:rowOff>
    </xdr:to>
    <xdr:sp macro="" textlink="Pivot!D4">
      <xdr:nvSpPr>
        <xdr:cNvPr id="14" name="Rectangle 13">
          <a:extLst>
            <a:ext uri="{FF2B5EF4-FFF2-40B4-BE49-F238E27FC236}">
              <a16:creationId xmlns:a16="http://schemas.microsoft.com/office/drawing/2014/main" id="{D4B50E2F-CACB-4143-87E9-B7A65A5CFC97}"/>
            </a:ext>
          </a:extLst>
        </xdr:cNvPr>
        <xdr:cNvSpPr/>
      </xdr:nvSpPr>
      <xdr:spPr>
        <a:xfrm>
          <a:off x="298450" y="4311650"/>
          <a:ext cx="1295400" cy="933450"/>
        </a:xfrm>
        <a:prstGeom prst="rect">
          <a:avLst/>
        </a:prstGeom>
        <a:solidFill>
          <a:srgbClr val="FF0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DD4E900-7F8B-4C43-A0E6-F74FE8074C6A}" type="TxLink">
            <a:rPr lang="en-US" sz="2400" b="0" i="0" u="none" strike="noStrike">
              <a:solidFill>
                <a:schemeClr val="bg1"/>
              </a:solidFill>
              <a:latin typeface="Aptos ExtraBold" panose="020B0004020202020204" pitchFamily="34" charset="0"/>
              <a:ea typeface="+mn-ea"/>
              <a:cs typeface="Arial"/>
            </a:rPr>
            <a:pPr marL="0" indent="0" algn="ctr"/>
            <a:t>3.9</a:t>
          </a:fld>
          <a:endParaRPr lang="en-IN" sz="2400" b="0" i="0" u="none" strike="noStrike">
            <a:solidFill>
              <a:schemeClr val="bg1"/>
            </a:solidFill>
            <a:latin typeface="Aptos ExtraBold" panose="020B0004020202020204" pitchFamily="34" charset="0"/>
            <a:ea typeface="+mn-ea"/>
            <a:cs typeface="Arial"/>
          </a:endParaRPr>
        </a:p>
      </xdr:txBody>
    </xdr:sp>
    <xdr:clientData/>
  </xdr:twoCellAnchor>
  <xdr:oneCellAnchor>
    <xdr:from>
      <xdr:col>2</xdr:col>
      <xdr:colOff>339650</xdr:colOff>
      <xdr:row>24</xdr:row>
      <xdr:rowOff>26749</xdr:rowOff>
    </xdr:from>
    <xdr:ext cx="809581" cy="264560"/>
    <xdr:sp macro="" textlink="">
      <xdr:nvSpPr>
        <xdr:cNvPr id="15" name="TextBox 14">
          <a:extLst>
            <a:ext uri="{FF2B5EF4-FFF2-40B4-BE49-F238E27FC236}">
              <a16:creationId xmlns:a16="http://schemas.microsoft.com/office/drawing/2014/main" id="{60CFC1FB-3F75-4AC7-B196-68BFFB5E59D2}"/>
            </a:ext>
          </a:extLst>
        </xdr:cNvPr>
        <xdr:cNvSpPr txBox="1"/>
      </xdr:nvSpPr>
      <xdr:spPr>
        <a:xfrm>
          <a:off x="587300" y="4293949"/>
          <a:ext cx="8095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a:solidFill>
                <a:schemeClr val="bg1"/>
              </a:solidFill>
              <a:latin typeface="Aptos Display" panose="020B0004020202020204" pitchFamily="34" charset="0"/>
            </a:rPr>
            <a:t>Avg. Rating</a:t>
          </a:r>
        </a:p>
      </xdr:txBody>
    </xdr:sp>
    <xdr:clientData/>
  </xdr:oneCellAnchor>
  <xdr:oneCellAnchor>
    <xdr:from>
      <xdr:col>2</xdr:col>
      <xdr:colOff>503890</xdr:colOff>
      <xdr:row>27</xdr:row>
      <xdr:rowOff>152400</xdr:rowOff>
    </xdr:from>
    <xdr:ext cx="380810" cy="264560"/>
    <xdr:sp macro="" textlink="Pivot!D11">
      <xdr:nvSpPr>
        <xdr:cNvPr id="16" name="TextBox 15">
          <a:extLst>
            <a:ext uri="{FF2B5EF4-FFF2-40B4-BE49-F238E27FC236}">
              <a16:creationId xmlns:a16="http://schemas.microsoft.com/office/drawing/2014/main" id="{17CFEF98-8D2D-4128-B3E8-9C4CFD4293A7}"/>
            </a:ext>
          </a:extLst>
        </xdr:cNvPr>
        <xdr:cNvSpPr txBox="1"/>
      </xdr:nvSpPr>
      <xdr:spPr>
        <a:xfrm>
          <a:off x="751540" y="4953000"/>
          <a:ext cx="3808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0911DB4F-DFAA-4AEF-9410-B32A8D576247}" type="TxLink">
            <a:rPr lang="en-US" sz="1100" b="0" i="0" u="none" strike="noStrike">
              <a:solidFill>
                <a:schemeClr val="bg1"/>
              </a:solidFill>
              <a:latin typeface="Aptos Display" panose="020B0004020202020204" pitchFamily="34" charset="0"/>
              <a:ea typeface="+mn-ea"/>
              <a:cs typeface="Arial"/>
            </a:rPr>
            <a:pPr marL="0" indent="0" algn="ctr"/>
            <a:t>3.9</a:t>
          </a:fld>
          <a:endParaRPr lang="en-IN" sz="1100" b="0" i="0" u="none" strike="noStrike">
            <a:solidFill>
              <a:schemeClr val="bg1"/>
            </a:solidFill>
            <a:latin typeface="Aptos Display" panose="020B0004020202020204" pitchFamily="34" charset="0"/>
            <a:ea typeface="+mn-ea"/>
            <a:cs typeface="Arial"/>
          </a:endParaRPr>
        </a:p>
      </xdr:txBody>
    </xdr:sp>
    <xdr:clientData/>
  </xdr:oneCellAnchor>
  <xdr:twoCellAnchor editAs="oneCell">
    <xdr:from>
      <xdr:col>2</xdr:col>
      <xdr:colOff>116304</xdr:colOff>
      <xdr:row>24</xdr:row>
      <xdr:rowOff>34512</xdr:rowOff>
    </xdr:from>
    <xdr:to>
      <xdr:col>2</xdr:col>
      <xdr:colOff>368299</xdr:colOff>
      <xdr:row>25</xdr:row>
      <xdr:rowOff>108707</xdr:rowOff>
    </xdr:to>
    <xdr:pic>
      <xdr:nvPicPr>
        <xdr:cNvPr id="17" name="Graphic 16">
          <a:extLst>
            <a:ext uri="{FF2B5EF4-FFF2-40B4-BE49-F238E27FC236}">
              <a16:creationId xmlns:a16="http://schemas.microsoft.com/office/drawing/2014/main" id="{FA71A236-C056-426F-8A60-DE15B2D2780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63954" y="4301712"/>
          <a:ext cx="251995" cy="251995"/>
        </a:xfrm>
        <a:prstGeom prst="rect">
          <a:avLst/>
        </a:prstGeom>
      </xdr:spPr>
    </xdr:pic>
    <xdr:clientData/>
  </xdr:twoCellAnchor>
  <xdr:twoCellAnchor>
    <xdr:from>
      <xdr:col>2</xdr:col>
      <xdr:colOff>63500</xdr:colOff>
      <xdr:row>31</xdr:row>
      <xdr:rowOff>127000</xdr:rowOff>
    </xdr:from>
    <xdr:to>
      <xdr:col>4</xdr:col>
      <xdr:colOff>38100</xdr:colOff>
      <xdr:row>36</xdr:row>
      <xdr:rowOff>171450</xdr:rowOff>
    </xdr:to>
    <xdr:sp macro="" textlink="Pivot!E4">
      <xdr:nvSpPr>
        <xdr:cNvPr id="18" name="Rectangle 17">
          <a:extLst>
            <a:ext uri="{FF2B5EF4-FFF2-40B4-BE49-F238E27FC236}">
              <a16:creationId xmlns:a16="http://schemas.microsoft.com/office/drawing/2014/main" id="{4F1B27DD-3F99-4E66-B5F6-C6E7F8F03DC3}"/>
            </a:ext>
          </a:extLst>
        </xdr:cNvPr>
        <xdr:cNvSpPr/>
      </xdr:nvSpPr>
      <xdr:spPr>
        <a:xfrm>
          <a:off x="311150" y="5638800"/>
          <a:ext cx="1295400" cy="933450"/>
        </a:xfrm>
        <a:prstGeom prst="rect">
          <a:avLst/>
        </a:prstGeom>
        <a:solidFill>
          <a:srgbClr val="FF0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FE8AA0B-E513-4C78-AAC2-2BE7F49459CF}" type="TxLink">
            <a:rPr lang="en-US" sz="2400" b="0" i="0" u="none" strike="noStrike">
              <a:solidFill>
                <a:schemeClr val="bg1"/>
              </a:solidFill>
              <a:latin typeface="Aptos ExtraBold" panose="020B0004020202020204" pitchFamily="34" charset="0"/>
              <a:ea typeface="+mn-ea"/>
              <a:cs typeface="Arial"/>
            </a:rPr>
            <a:pPr marL="0" indent="0" algn="ctr"/>
            <a:t>307</a:t>
          </a:fld>
          <a:endParaRPr lang="en-IN" sz="2400" b="0" i="0" u="none" strike="noStrike">
            <a:solidFill>
              <a:schemeClr val="bg1"/>
            </a:solidFill>
            <a:latin typeface="Aptos ExtraBold" panose="020B0004020202020204" pitchFamily="34" charset="0"/>
            <a:ea typeface="+mn-ea"/>
            <a:cs typeface="Arial"/>
          </a:endParaRPr>
        </a:p>
      </xdr:txBody>
    </xdr:sp>
    <xdr:clientData/>
  </xdr:twoCellAnchor>
  <xdr:oneCellAnchor>
    <xdr:from>
      <xdr:col>2</xdr:col>
      <xdr:colOff>261877</xdr:colOff>
      <xdr:row>31</xdr:row>
      <xdr:rowOff>109299</xdr:rowOff>
    </xdr:from>
    <xdr:ext cx="990528" cy="264560"/>
    <xdr:sp macro="" textlink="">
      <xdr:nvSpPr>
        <xdr:cNvPr id="19" name="TextBox 18">
          <a:extLst>
            <a:ext uri="{FF2B5EF4-FFF2-40B4-BE49-F238E27FC236}">
              <a16:creationId xmlns:a16="http://schemas.microsoft.com/office/drawing/2014/main" id="{FA0F0EBE-7953-478D-8A99-E90477A05C74}"/>
            </a:ext>
          </a:extLst>
        </xdr:cNvPr>
        <xdr:cNvSpPr txBox="1"/>
      </xdr:nvSpPr>
      <xdr:spPr>
        <a:xfrm>
          <a:off x="509527" y="5621099"/>
          <a:ext cx="9905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a:solidFill>
                <a:schemeClr val="bg1"/>
              </a:solidFill>
              <a:latin typeface="Aptos Display" panose="020B0004020202020204" pitchFamily="34" charset="0"/>
            </a:rPr>
            <a:t>Happy Callers</a:t>
          </a:r>
        </a:p>
      </xdr:txBody>
    </xdr:sp>
    <xdr:clientData/>
  </xdr:oneCellAnchor>
  <xdr:oneCellAnchor>
    <xdr:from>
      <xdr:col>2</xdr:col>
      <xdr:colOff>536179</xdr:colOff>
      <xdr:row>35</xdr:row>
      <xdr:rowOff>57150</xdr:rowOff>
    </xdr:from>
    <xdr:ext cx="341632" cy="264560"/>
    <xdr:sp macro="" textlink="Pivot!E11">
      <xdr:nvSpPr>
        <xdr:cNvPr id="20" name="TextBox 19">
          <a:extLst>
            <a:ext uri="{FF2B5EF4-FFF2-40B4-BE49-F238E27FC236}">
              <a16:creationId xmlns:a16="http://schemas.microsoft.com/office/drawing/2014/main" id="{8F117638-BFA5-4F35-AE8D-9A5C31D1E183}"/>
            </a:ext>
          </a:extLst>
        </xdr:cNvPr>
        <xdr:cNvSpPr txBox="1"/>
      </xdr:nvSpPr>
      <xdr:spPr>
        <a:xfrm>
          <a:off x="783829" y="6280150"/>
          <a:ext cx="34163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EF50DB8E-A8AE-4F73-92CC-9367BF921E1B}" type="TxLink">
            <a:rPr lang="en-US" sz="1100" b="0" i="0" u="none" strike="noStrike">
              <a:solidFill>
                <a:schemeClr val="bg1"/>
              </a:solidFill>
              <a:latin typeface="Aptos Display" panose="020B0004020202020204" pitchFamily="34" charset="0"/>
              <a:ea typeface="+mn-ea"/>
              <a:cs typeface="Arial"/>
            </a:rPr>
            <a:pPr marL="0" indent="0" algn="ctr"/>
            <a:t>62</a:t>
          </a:fld>
          <a:endParaRPr lang="en-IN" sz="1100" b="0" i="0" u="none" strike="noStrike">
            <a:solidFill>
              <a:schemeClr val="bg1"/>
            </a:solidFill>
            <a:latin typeface="Aptos Display" panose="020B0004020202020204" pitchFamily="34" charset="0"/>
            <a:ea typeface="+mn-ea"/>
            <a:cs typeface="Arial"/>
          </a:endParaRPr>
        </a:p>
      </xdr:txBody>
    </xdr:sp>
    <xdr:clientData/>
  </xdr:oneCellAnchor>
  <xdr:twoCellAnchor editAs="oneCell">
    <xdr:from>
      <xdr:col>2</xdr:col>
      <xdr:colOff>129005</xdr:colOff>
      <xdr:row>31</xdr:row>
      <xdr:rowOff>161513</xdr:rowOff>
    </xdr:from>
    <xdr:to>
      <xdr:col>2</xdr:col>
      <xdr:colOff>304293</xdr:colOff>
      <xdr:row>32</xdr:row>
      <xdr:rowOff>159001</xdr:rowOff>
    </xdr:to>
    <xdr:pic>
      <xdr:nvPicPr>
        <xdr:cNvPr id="21" name="Graphic 20">
          <a:extLst>
            <a:ext uri="{FF2B5EF4-FFF2-40B4-BE49-F238E27FC236}">
              <a16:creationId xmlns:a16="http://schemas.microsoft.com/office/drawing/2014/main" id="{7DD70713-0CCB-456C-8DB6-145F9514845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76655" y="5673313"/>
          <a:ext cx="175288" cy="175288"/>
        </a:xfrm>
        <a:prstGeom prst="rect">
          <a:avLst/>
        </a:prstGeom>
      </xdr:spPr>
    </xdr:pic>
    <xdr:clientData/>
  </xdr:twoCellAnchor>
  <xdr:twoCellAnchor>
    <xdr:from>
      <xdr:col>11</xdr:col>
      <xdr:colOff>63500</xdr:colOff>
      <xdr:row>3</xdr:row>
      <xdr:rowOff>44450</xdr:rowOff>
    </xdr:from>
    <xdr:to>
      <xdr:col>14</xdr:col>
      <xdr:colOff>165100</xdr:colOff>
      <xdr:row>15</xdr:row>
      <xdr:rowOff>44450</xdr:rowOff>
    </xdr:to>
    <xdr:graphicFrame macro="">
      <xdr:nvGraphicFramePr>
        <xdr:cNvPr id="24" name="Chart 23">
          <a:extLst>
            <a:ext uri="{FF2B5EF4-FFF2-40B4-BE49-F238E27FC236}">
              <a16:creationId xmlns:a16="http://schemas.microsoft.com/office/drawing/2014/main" id="{A04BAEA6-42E4-41DF-AF3A-AB1547CBF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381000</xdr:colOff>
      <xdr:row>2</xdr:row>
      <xdr:rowOff>63500</xdr:rowOff>
    </xdr:from>
    <xdr:to>
      <xdr:col>11</xdr:col>
      <xdr:colOff>120650</xdr:colOff>
      <xdr:row>16</xdr:row>
      <xdr:rowOff>146050</xdr:rowOff>
    </xdr:to>
    <xdr:graphicFrame macro="">
      <xdr:nvGraphicFramePr>
        <xdr:cNvPr id="23" name="Chart 22">
          <a:extLst>
            <a:ext uri="{FF2B5EF4-FFF2-40B4-BE49-F238E27FC236}">
              <a16:creationId xmlns:a16="http://schemas.microsoft.com/office/drawing/2014/main" id="{D985108D-41A5-4258-B5C1-E8408148F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266700</xdr:colOff>
      <xdr:row>20</xdr:row>
      <xdr:rowOff>38100</xdr:rowOff>
    </xdr:from>
    <xdr:to>
      <xdr:col>7</xdr:col>
      <xdr:colOff>527050</xdr:colOff>
      <xdr:row>36</xdr:row>
      <xdr:rowOff>107950</xdr:rowOff>
    </xdr:to>
    <xdr:graphicFrame macro="">
      <xdr:nvGraphicFramePr>
        <xdr:cNvPr id="25" name="Chart 24">
          <a:extLst>
            <a:ext uri="{FF2B5EF4-FFF2-40B4-BE49-F238E27FC236}">
              <a16:creationId xmlns:a16="http://schemas.microsoft.com/office/drawing/2014/main" id="{82620F76-A0F2-42EE-9053-5502DD87F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114300</xdr:colOff>
      <xdr:row>19</xdr:row>
      <xdr:rowOff>120650</xdr:rowOff>
    </xdr:from>
    <xdr:to>
      <xdr:col>12</xdr:col>
      <xdr:colOff>425450</xdr:colOff>
      <xdr:row>38</xdr:row>
      <xdr:rowOff>12700</xdr:rowOff>
    </xdr:to>
    <xdr:sp macro="" textlink="">
      <xdr:nvSpPr>
        <xdr:cNvPr id="27" name="Rectangle 26">
          <a:extLst>
            <a:ext uri="{FF2B5EF4-FFF2-40B4-BE49-F238E27FC236}">
              <a16:creationId xmlns:a16="http://schemas.microsoft.com/office/drawing/2014/main" id="{13D6119D-5E47-E168-1F74-BF8C9E51F204}"/>
            </a:ext>
          </a:extLst>
        </xdr:cNvPr>
        <xdr:cNvSpPr/>
      </xdr:nvSpPr>
      <xdr:spPr>
        <a:xfrm>
          <a:off x="1682750" y="3498850"/>
          <a:ext cx="5594350" cy="32702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615950</xdr:colOff>
      <xdr:row>19</xdr:row>
      <xdr:rowOff>139700</xdr:rowOff>
    </xdr:from>
    <xdr:to>
      <xdr:col>11</xdr:col>
      <xdr:colOff>450850</xdr:colOff>
      <xdr:row>36</xdr:row>
      <xdr:rowOff>19050</xdr:rowOff>
    </xdr:to>
    <xdr:graphicFrame macro="">
      <xdr:nvGraphicFramePr>
        <xdr:cNvPr id="26" name="Chart 25">
          <a:extLst>
            <a:ext uri="{FF2B5EF4-FFF2-40B4-BE49-F238E27FC236}">
              <a16:creationId xmlns:a16="http://schemas.microsoft.com/office/drawing/2014/main" id="{26929534-9F10-47E7-B3A3-EE09AE5A1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285751</xdr:colOff>
      <xdr:row>1</xdr:row>
      <xdr:rowOff>514350</xdr:rowOff>
    </xdr:from>
    <xdr:to>
      <xdr:col>18</xdr:col>
      <xdr:colOff>57151</xdr:colOff>
      <xdr:row>18</xdr:row>
      <xdr:rowOff>69850</xdr:rowOff>
    </xdr:to>
    <xdr:graphicFrame macro="">
      <xdr:nvGraphicFramePr>
        <xdr:cNvPr id="29" name="Chart 28">
          <a:extLst>
            <a:ext uri="{FF2B5EF4-FFF2-40B4-BE49-F238E27FC236}">
              <a16:creationId xmlns:a16="http://schemas.microsoft.com/office/drawing/2014/main" id="{1798C147-EC54-43BC-97A3-63BFAD022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63500</xdr:colOff>
      <xdr:row>1</xdr:row>
      <xdr:rowOff>520700</xdr:rowOff>
    </xdr:from>
    <xdr:to>
      <xdr:col>22</xdr:col>
      <xdr:colOff>406400</xdr:colOff>
      <xdr:row>18</xdr:row>
      <xdr:rowOff>69850</xdr:rowOff>
    </xdr:to>
    <xdr:graphicFrame macro="">
      <xdr:nvGraphicFramePr>
        <xdr:cNvPr id="30" name="Chart 29">
          <a:extLst>
            <a:ext uri="{FF2B5EF4-FFF2-40B4-BE49-F238E27FC236}">
              <a16:creationId xmlns:a16="http://schemas.microsoft.com/office/drawing/2014/main" id="{6DB1120C-7C6E-40C1-8D33-1EAED185E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159880</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303198</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16565</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184036</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13</xdr:row>
      <xdr:rowOff>4016</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167672</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lesh, Yeddula Siva" refreshedDate="45767.422653587964" backgroundQuery="1" createdVersion="8" refreshedVersion="8" minRefreshableVersion="3" recordCount="0" supportSubquery="1" supportAdvancedDrill="1" xr:uid="{E4D4546A-4B01-4DB0-8431-26AD55139165}">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lesh, Yeddula Siva" refreshedDate="45767.607561805555" backgroundQuery="1" createdVersion="8" refreshedVersion="8" minRefreshableVersion="3" recordCount="0" supportSubquery="1" supportAdvancedDrill="1" xr:uid="{64934C9A-29EA-469E-9EC9-1440F8E20164}">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lesh, Yeddula Siva" refreshedDate="45767.639997337959" backgroundQuery="1" createdVersion="8" refreshedVersion="8" minRefreshableVersion="3" recordCount="0" supportSubquery="1" supportAdvancedDrill="1" xr:uid="{183EA35B-9957-4717-980F-549C0C3C82FE}">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lesh, Yeddula Siva" refreshedDate="45767.664482638887" backgroundQuery="1" createdVersion="8" refreshedVersion="8" minRefreshableVersion="3" recordCount="0" supportSubquery="1" supportAdvancedDrill="1" xr:uid="{505EBFFF-9D1F-4646-95FC-4ECAEFA85C93}">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lesh, Yeddula Siva" refreshedDate="45767.67392627315" backgroundQuery="1" createdVersion="8" refreshedVersion="8" minRefreshableVersion="3" recordCount="0" supportSubquery="1" supportAdvancedDrill="1" xr:uid="{4EA7B048-BF87-4C1B-897F-DE09F67D21EA}">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lesh, Yeddula Siva" refreshedDate="45767.673927662036" backgroundQuery="1" createdVersion="8" refreshedVersion="8" minRefreshableVersion="3" recordCount="0" supportSubquery="1" supportAdvancedDrill="1" xr:uid="{67903BA8-60C8-4636-A461-2365E3A2F677}">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lesh, Yeddula Siva" refreshedDate="45767.673928356482" backgroundQuery="1" createdVersion="8" refreshedVersion="8" minRefreshableVersion="3" recordCount="0" supportSubquery="1" supportAdvancedDrill="1" xr:uid="{B185A0F3-39FA-4E1E-91BE-11B7A83BE1CA}">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lesh, Yeddula Siva" refreshedDate="45767.673929050929" backgroundQuery="1" createdVersion="8" refreshedVersion="8" minRefreshableVersion="3" recordCount="0" supportSubquery="1" supportAdvancedDrill="1" xr:uid="{7226DE0C-C319-49F4-8B90-B3F526528B3B}">
  <cacheSource type="external" connectionId="1"/>
  <cacheFields count="1">
    <cacheField name="[calls].[Representative].[Representative]" caption="Representative" numFmtId="0" hierarchy="3" level="1">
      <sharedItems count="1">
        <s v="R04"/>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lesh, Yeddula Siva" refreshedDate="45767.673929629629" backgroundQuery="1" createdVersion="8" refreshedVersion="8" minRefreshableVersion="3" recordCount="0" supportSubquery="1" supportAdvancedDrill="1" xr:uid="{30AEA4F7-7263-416B-AB37-DA9E19CAEE73}">
  <cacheSource type="external" connectionId="1"/>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lesh, Yeddula Siva" refreshedDate="45767.422646064813" backgroundQuery="1" createdVersion="3" refreshedVersion="8" minRefreshableVersion="3" recordCount="0" supportSubquery="1" supportAdvancedDrill="1" xr:uid="{9CE8818C-82A7-4E32-9281-0EA338CA6C84}">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009042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F420A8-265A-482F-9CBB-FC657033862A}" name="CityVise" cacheId="47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91:G110"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BE8B18-11B2-4862-9F3E-EBAC2C4FD676}" name="Satisfaction Rate" cacheId="5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2:B8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2BF69B-1422-489D-B033-FD7210E480A8}" name="PivotTable20" cacheId="3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3:D78"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2">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46A4EE-3B96-4199-9F53-E69D948BAB79}" name="Selected Rep" cacheId="5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A67"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9716C2-D338-4589-9D7B-2115A0A229E5}" name="Reps Pivot" cacheId="2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C6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8FEA16-2208-40A4-82B5-09F20FB1E203}" name="WeekdayTrend" cacheId="5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22:G30" firstHeaderRow="1" firstDataRow="1" firstDataCol="1"/>
  <pivotFields count="3">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6"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182713-8905-4D6B-B750-4F782918D86B}" name="MonthlyTrend" cacheId="5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C3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847F8B-68D0-489A-8065-A01C0E47D1B1}" name="rep Pivot" cacheId="5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5D7CE5-5CB0-492D-AD92-44534BD0E6A8}" name="Summary Pivot"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Young businessman writing on notebook</v>
  </rv>
  <rv s="0">
    <v>1</v>
    <v>5</v>
    <v>A person in a skirt and a cardigan
Description automatically generated</v>
  </rv>
  <rv s="0">
    <v>2</v>
    <v>5</v>
    <v>A person in a suit and tie
Description automatically generated</v>
  </rv>
  <rv s="0">
    <v>3</v>
    <v>5</v>
    <v>Business woman raising hand</v>
  </rv>
  <rv s="0">
    <v>0</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4F30DA7-E528-4060-9ED0-E7EEBECA6519}" sourceName="[calls].[Representative]">
  <pivotTables>
    <pivotTable tabId="5" name="rep Pivot"/>
    <pivotTable tabId="5" name="MonthlyTrend"/>
    <pivotTable tabId="5" name="WeekdayTrend"/>
    <pivotTable tabId="5" name="Selected Rep"/>
    <pivotTable tabId="5" name="Satisfaction Rate"/>
  </pivotTables>
  <data>
    <olap pivotCacheId="100090426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567EE9BF-0E14-4D5D-97FF-92940434BDF9}" cache="Slicer_Representative" caption="Representative" level="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7"/>
    <tableColumn id="5" xr3:uid="{5A35565E-8707-4DED-AD15-A0669D67B382}" name="Date of Call" dataDxfId="16"/>
    <tableColumn id="6" xr3:uid="{F2E4F158-B41F-47BC-8DF8-DFCADFEE4E40}" name="Purchase Amount"/>
    <tableColumn id="7" xr3:uid="{04B291B5-47BD-4F78-8FD8-D1551CCA6BD9}" name="Satisfaction Rating"/>
    <tableColumn id="8" xr3:uid="{6E4123C0-0B17-43B8-A142-A1E540CE974C}" name="FY" dataDxfId="15">
      <calculatedColumnFormula>IF(MONTH(calls[[#This Row],[Date of Call]])&lt;=6, YEAR(calls[[#This Row],[Date of Call]]), YEAR(calls[[#This Row],[Date of Call]])+1)</calculatedColumnFormula>
    </tableColumn>
    <tableColumn id="9" xr3:uid="{199FA271-5E9B-46CE-9BC6-2801F92CD17E}" name="Day of week" dataDxfId="14">
      <calculatedColumnFormula>TEXT(calls[[#This Row],[Date of Call]],"DDDD")</calculatedColumnFormula>
    </tableColumn>
    <tableColumn id="10" xr3:uid="{328CDB09-95B8-4D5E-9ED9-EF0D363735A1}" name="Duration Bucket" dataDxfId="13">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2">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1" headerRowBorderDxfId="10" tableBorderDxfId="9" totalsRowBorderDxfId="8">
  <autoFilter ref="Q3:T18" xr:uid="{27158F51-A707-4171-8A04-81FB0AABCBA5}"/>
  <tableColumns count="4">
    <tableColumn id="1" xr3:uid="{02688061-6A8C-4E23-B7FF-D00CD8B58CAC}" name="Customer ID" dataDxfId="7"/>
    <tableColumn id="2" xr3:uid="{771678B6-DB44-426B-9874-B4E421A440D5}" name="Gedner" dataDxfId="6"/>
    <tableColumn id="3" xr3:uid="{B0D41C62-587E-494D-B49A-603F2C05F8D3}" name="Age" dataDxfId="5"/>
    <tableColumn id="4" xr3:uid="{663F92D6-FE31-4D81-9E01-8D066DDC8A88}" name="City" data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218EB-C4E5-466A-8E48-76DC446C0E4D}">
  <dimension ref="A3:J110"/>
  <sheetViews>
    <sheetView topLeftCell="A65" workbookViewId="0">
      <selection activeCell="I79" sqref="I79"/>
    </sheetView>
  </sheetViews>
  <sheetFormatPr defaultRowHeight="14" x14ac:dyDescent="0.3"/>
  <cols>
    <col min="1" max="1" width="12.9140625" bestFit="1" customWidth="1"/>
    <col min="2" max="2" width="9.58203125" bestFit="1" customWidth="1"/>
    <col min="3" max="3" width="10.58203125" bestFit="1" customWidth="1"/>
    <col min="4" max="4" width="10.6640625" bestFit="1" customWidth="1"/>
    <col min="5" max="5" width="6.83203125" bestFit="1" customWidth="1"/>
    <col min="6" max="6" width="12.9140625" bestFit="1" customWidth="1"/>
    <col min="7" max="7" width="9.58203125" bestFit="1" customWidth="1"/>
    <col min="8" max="8" width="10.58203125" bestFit="1" customWidth="1"/>
  </cols>
  <sheetData>
    <row r="3" spans="1:5" x14ac:dyDescent="0.3">
      <c r="A3" t="s">
        <v>1042</v>
      </c>
      <c r="B3" t="s">
        <v>1043</v>
      </c>
      <c r="C3" t="s">
        <v>1044</v>
      </c>
      <c r="D3" t="s">
        <v>1045</v>
      </c>
      <c r="E3" t="s">
        <v>1046</v>
      </c>
    </row>
    <row r="4" spans="1:5" x14ac:dyDescent="0.3">
      <c r="A4" s="20">
        <v>1000</v>
      </c>
      <c r="B4" s="21">
        <v>96623</v>
      </c>
      <c r="C4" s="20">
        <v>89850</v>
      </c>
      <c r="D4" s="22">
        <v>3.8854000000000033</v>
      </c>
      <c r="E4" s="20">
        <v>307</v>
      </c>
    </row>
    <row r="10" spans="1:5" x14ac:dyDescent="0.3">
      <c r="A10" t="s">
        <v>1042</v>
      </c>
      <c r="B10" t="s">
        <v>1043</v>
      </c>
      <c r="C10" t="s">
        <v>1044</v>
      </c>
      <c r="D10" t="s">
        <v>1045</v>
      </c>
      <c r="E10" t="s">
        <v>1046</v>
      </c>
    </row>
    <row r="11" spans="1:5" x14ac:dyDescent="0.3">
      <c r="A11" s="20">
        <v>186</v>
      </c>
      <c r="B11" s="21">
        <v>16651</v>
      </c>
      <c r="C11" s="20">
        <v>17807</v>
      </c>
      <c r="D11" s="22">
        <v>3.8973118279569863</v>
      </c>
      <c r="E11" s="20">
        <v>62</v>
      </c>
    </row>
    <row r="22" spans="1:7" x14ac:dyDescent="0.3">
      <c r="A22" s="23" t="s">
        <v>1047</v>
      </c>
      <c r="B22" t="s">
        <v>1042</v>
      </c>
      <c r="C22" t="s">
        <v>1061</v>
      </c>
      <c r="F22" s="23" t="s">
        <v>1047</v>
      </c>
      <c r="G22" t="s">
        <v>1042</v>
      </c>
    </row>
    <row r="23" spans="1:7" x14ac:dyDescent="0.3">
      <c r="A23" s="25" t="s">
        <v>1049</v>
      </c>
      <c r="B23" s="20">
        <v>10</v>
      </c>
      <c r="C23" s="20">
        <v>10</v>
      </c>
      <c r="F23" s="25" t="s">
        <v>1063</v>
      </c>
      <c r="G23" s="20">
        <v>23</v>
      </c>
    </row>
    <row r="24" spans="1:7" x14ac:dyDescent="0.3">
      <c r="A24" s="25" t="s">
        <v>1050</v>
      </c>
      <c r="B24" s="20">
        <v>11</v>
      </c>
      <c r="C24" s="20">
        <v>11</v>
      </c>
      <c r="F24" s="25" t="s">
        <v>1067</v>
      </c>
      <c r="G24" s="20">
        <v>28</v>
      </c>
    </row>
    <row r="25" spans="1:7" x14ac:dyDescent="0.3">
      <c r="A25" s="25" t="s">
        <v>1051</v>
      </c>
      <c r="B25" s="20">
        <v>30</v>
      </c>
      <c r="C25" s="20">
        <v>30</v>
      </c>
      <c r="F25" s="25" t="s">
        <v>1068</v>
      </c>
      <c r="G25" s="20">
        <v>29</v>
      </c>
    </row>
    <row r="26" spans="1:7" x14ac:dyDescent="0.3">
      <c r="A26" s="25" t="s">
        <v>1052</v>
      </c>
      <c r="B26" s="20">
        <v>23</v>
      </c>
      <c r="C26" s="20">
        <v>23</v>
      </c>
      <c r="F26" s="25" t="s">
        <v>1066</v>
      </c>
      <c r="G26" s="20">
        <v>18</v>
      </c>
    </row>
    <row r="27" spans="1:7" x14ac:dyDescent="0.3">
      <c r="A27" s="25" t="s">
        <v>1053</v>
      </c>
      <c r="B27" s="20">
        <v>22</v>
      </c>
      <c r="C27" s="20">
        <v>22</v>
      </c>
      <c r="F27" s="25" t="s">
        <v>1062</v>
      </c>
      <c r="G27" s="20">
        <v>29</v>
      </c>
    </row>
    <row r="28" spans="1:7" x14ac:dyDescent="0.3">
      <c r="A28" s="25" t="s">
        <v>1054</v>
      </c>
      <c r="B28" s="20">
        <v>11</v>
      </c>
      <c r="C28" s="20">
        <v>11</v>
      </c>
      <c r="F28" s="25" t="s">
        <v>1064</v>
      </c>
      <c r="G28" s="20">
        <v>34</v>
      </c>
    </row>
    <row r="29" spans="1:7" x14ac:dyDescent="0.3">
      <c r="A29" s="25" t="s">
        <v>1055</v>
      </c>
      <c r="B29" s="20">
        <v>17</v>
      </c>
      <c r="C29" s="20">
        <v>17</v>
      </c>
      <c r="F29" s="25" t="s">
        <v>1065</v>
      </c>
      <c r="G29" s="20">
        <v>25</v>
      </c>
    </row>
    <row r="30" spans="1:7" x14ac:dyDescent="0.3">
      <c r="A30" s="25" t="s">
        <v>1056</v>
      </c>
      <c r="B30" s="20">
        <v>12</v>
      </c>
      <c r="C30" s="20">
        <v>12</v>
      </c>
      <c r="F30" s="25" t="s">
        <v>1048</v>
      </c>
      <c r="G30" s="20">
        <v>186</v>
      </c>
    </row>
    <row r="31" spans="1:7" x14ac:dyDescent="0.3">
      <c r="A31" s="25" t="s">
        <v>1057</v>
      </c>
      <c r="B31" s="20">
        <v>13</v>
      </c>
      <c r="C31" s="20">
        <v>13</v>
      </c>
    </row>
    <row r="32" spans="1:7" x14ac:dyDescent="0.3">
      <c r="A32" s="25" t="s">
        <v>1058</v>
      </c>
      <c r="B32" s="20">
        <v>15</v>
      </c>
      <c r="C32" s="20">
        <v>15</v>
      </c>
    </row>
    <row r="33" spans="1:3" x14ac:dyDescent="0.3">
      <c r="A33" s="25" t="s">
        <v>1059</v>
      </c>
      <c r="B33" s="20">
        <v>8</v>
      </c>
      <c r="C33" s="20">
        <v>8</v>
      </c>
    </row>
    <row r="34" spans="1:3" x14ac:dyDescent="0.3">
      <c r="A34" s="25" t="s">
        <v>1060</v>
      </c>
      <c r="B34" s="20">
        <v>14</v>
      </c>
      <c r="C34" s="20">
        <v>14</v>
      </c>
    </row>
    <row r="35" spans="1:3" x14ac:dyDescent="0.3">
      <c r="A35" s="25" t="s">
        <v>1048</v>
      </c>
      <c r="B35" s="20">
        <v>186</v>
      </c>
      <c r="C35" s="20">
        <v>186</v>
      </c>
    </row>
    <row r="54" spans="1:10" x14ac:dyDescent="0.3">
      <c r="I54" t="s">
        <v>1071</v>
      </c>
      <c r="J54" t="str">
        <f>A66</f>
        <v>R04</v>
      </c>
    </row>
    <row r="55" spans="1:10" x14ac:dyDescent="0.3">
      <c r="A55" s="23" t="s">
        <v>1047</v>
      </c>
      <c r="B55" t="s">
        <v>1042</v>
      </c>
      <c r="C55" t="s">
        <v>1043</v>
      </c>
      <c r="I55" t="s">
        <v>1069</v>
      </c>
      <c r="J55" t="s">
        <v>1070</v>
      </c>
    </row>
    <row r="56" spans="1:10" x14ac:dyDescent="0.3">
      <c r="A56" s="25" t="s">
        <v>11</v>
      </c>
      <c r="B56" s="20">
        <v>189</v>
      </c>
      <c r="C56" s="21">
        <v>18415</v>
      </c>
      <c r="F56" t="str" cm="1">
        <f t="array" ref="F56:H60">A56:C60</f>
        <v>R01</v>
      </c>
      <c r="G56">
        <v>189</v>
      </c>
      <c r="H56" s="26">
        <v>18415</v>
      </c>
      <c r="I56" t="e">
        <f>IF(F56=$J$54,G56,NA())</f>
        <v>#N/A</v>
      </c>
      <c r="J56" t="e">
        <f>IF(F56=$J$54,H56,NA())</f>
        <v>#N/A</v>
      </c>
    </row>
    <row r="57" spans="1:10" x14ac:dyDescent="0.3">
      <c r="A57" s="25" t="s">
        <v>9</v>
      </c>
      <c r="B57" s="20">
        <v>218</v>
      </c>
      <c r="C57" s="21">
        <v>20581</v>
      </c>
      <c r="F57" t="str">
        <v>R02</v>
      </c>
      <c r="G57">
        <v>218</v>
      </c>
      <c r="H57" s="26">
        <v>20581</v>
      </c>
      <c r="I57" t="e">
        <f t="shared" ref="I57:I60" si="0">IF(F57=$J$54,G57,NA())</f>
        <v>#N/A</v>
      </c>
      <c r="J57" t="e">
        <f t="shared" ref="J57:J60" si="1">IF(F57=$J$54,H57,NA())</f>
        <v>#N/A</v>
      </c>
    </row>
    <row r="58" spans="1:10" x14ac:dyDescent="0.3">
      <c r="A58" s="25" t="s">
        <v>6</v>
      </c>
      <c r="B58" s="20">
        <v>207</v>
      </c>
      <c r="C58" s="21">
        <v>20872</v>
      </c>
      <c r="F58" t="str">
        <v>R03</v>
      </c>
      <c r="G58">
        <v>207</v>
      </c>
      <c r="H58" s="26">
        <v>20872</v>
      </c>
      <c r="I58" t="e">
        <f t="shared" si="0"/>
        <v>#N/A</v>
      </c>
      <c r="J58" t="e">
        <f t="shared" si="1"/>
        <v>#N/A</v>
      </c>
    </row>
    <row r="59" spans="1:10" x14ac:dyDescent="0.3">
      <c r="A59" s="25" t="s">
        <v>13</v>
      </c>
      <c r="B59" s="20">
        <v>186</v>
      </c>
      <c r="C59" s="21">
        <v>16651</v>
      </c>
      <c r="F59" t="str">
        <v>R04</v>
      </c>
      <c r="G59">
        <v>186</v>
      </c>
      <c r="H59" s="26">
        <v>16651</v>
      </c>
      <c r="I59">
        <f t="shared" si="0"/>
        <v>186</v>
      </c>
      <c r="J59">
        <f t="shared" si="1"/>
        <v>16651</v>
      </c>
    </row>
    <row r="60" spans="1:10" x14ac:dyDescent="0.3">
      <c r="A60" s="25" t="s">
        <v>10</v>
      </c>
      <c r="B60" s="20">
        <v>200</v>
      </c>
      <c r="C60" s="21">
        <v>20104</v>
      </c>
      <c r="F60" t="str">
        <v>R05</v>
      </c>
      <c r="G60">
        <v>200</v>
      </c>
      <c r="H60" s="26">
        <v>20104</v>
      </c>
      <c r="I60" t="e">
        <f t="shared" si="0"/>
        <v>#N/A</v>
      </c>
      <c r="J60" t="e">
        <f t="shared" si="1"/>
        <v>#N/A</v>
      </c>
    </row>
    <row r="61" spans="1:10" x14ac:dyDescent="0.3">
      <c r="A61" s="25" t="s">
        <v>1048</v>
      </c>
      <c r="B61" s="20">
        <v>1000</v>
      </c>
      <c r="C61" s="21">
        <v>96623</v>
      </c>
    </row>
    <row r="65" spans="1:9" x14ac:dyDescent="0.3">
      <c r="A65" s="23" t="s">
        <v>1047</v>
      </c>
    </row>
    <row r="66" spans="1:9" x14ac:dyDescent="0.3">
      <c r="A66" s="25" t="s">
        <v>13</v>
      </c>
    </row>
    <row r="67" spans="1:9" x14ac:dyDescent="0.3">
      <c r="A67" s="25" t="s">
        <v>1048</v>
      </c>
    </row>
    <row r="69" spans="1:9" x14ac:dyDescent="0.3">
      <c r="H69" t="s">
        <v>1074</v>
      </c>
    </row>
    <row r="70" spans="1:9" x14ac:dyDescent="0.3">
      <c r="H70" t="s">
        <v>1075</v>
      </c>
      <c r="I70" s="44">
        <f>A11/A4</f>
        <v>0.186</v>
      </c>
    </row>
    <row r="71" spans="1:9" x14ac:dyDescent="0.3">
      <c r="H71" t="s">
        <v>1076</v>
      </c>
      <c r="I71" s="20">
        <f>A11</f>
        <v>186</v>
      </c>
    </row>
    <row r="72" spans="1:9" ht="14.5" x14ac:dyDescent="0.35">
      <c r="H72" t="s">
        <v>1077</v>
      </c>
      <c r="I72" s="45">
        <f>B11</f>
        <v>16651</v>
      </c>
    </row>
    <row r="73" spans="1:9" x14ac:dyDescent="0.3">
      <c r="A73" s="23" t="s">
        <v>1042</v>
      </c>
      <c r="B73" s="23" t="s">
        <v>1072</v>
      </c>
    </row>
    <row r="74" spans="1:9" x14ac:dyDescent="0.3">
      <c r="A74" s="23" t="s">
        <v>1047</v>
      </c>
      <c r="B74" t="s">
        <v>999</v>
      </c>
      <c r="C74" t="s">
        <v>998</v>
      </c>
      <c r="D74" t="s">
        <v>1048</v>
      </c>
      <c r="H74" t="s">
        <v>1079</v>
      </c>
      <c r="I74">
        <f>_xlfn.RANK.AVG(I71,G56:G60,0)</f>
        <v>5</v>
      </c>
    </row>
    <row r="75" spans="1:9" x14ac:dyDescent="0.3">
      <c r="A75" s="25" t="s">
        <v>1002</v>
      </c>
      <c r="B75" s="20">
        <v>144</v>
      </c>
      <c r="C75" s="20">
        <v>132</v>
      </c>
      <c r="D75" s="20">
        <v>276</v>
      </c>
      <c r="H75" t="s">
        <v>1078</v>
      </c>
      <c r="I75">
        <f>_xlfn.RANK.AVG(I72,H56:H60,0)</f>
        <v>5</v>
      </c>
    </row>
    <row r="76" spans="1:9" x14ac:dyDescent="0.3">
      <c r="A76" s="25" t="s">
        <v>1001</v>
      </c>
      <c r="B76" s="20">
        <v>326</v>
      </c>
      <c r="C76" s="20">
        <v>63</v>
      </c>
      <c r="D76" s="20">
        <v>389</v>
      </c>
    </row>
    <row r="77" spans="1:9" x14ac:dyDescent="0.3">
      <c r="A77" s="25" t="s">
        <v>1000</v>
      </c>
      <c r="B77" s="20">
        <v>129</v>
      </c>
      <c r="C77" s="20">
        <v>206</v>
      </c>
      <c r="D77" s="20">
        <v>335</v>
      </c>
      <c r="H77" t="s">
        <v>1080</v>
      </c>
    </row>
    <row r="78" spans="1:9" x14ac:dyDescent="0.3">
      <c r="A78" s="25" t="s">
        <v>1048</v>
      </c>
      <c r="B78" s="20">
        <v>599</v>
      </c>
      <c r="C78" s="20">
        <v>401</v>
      </c>
      <c r="D78" s="20">
        <v>1000</v>
      </c>
      <c r="I78" t="str">
        <f>IF(COUNTA(A66:A71)&lt;1,"","% of calls : "&amp;TEXT(I70,"0%"))</f>
        <v>% of calls : 19%</v>
      </c>
    </row>
    <row r="79" spans="1:9" x14ac:dyDescent="0.3">
      <c r="I79" t="str">
        <f>IF(COUNTA(A66:A71)&lt;1,"","Call rank : "&amp;I74)</f>
        <v>Call rank : 5</v>
      </c>
    </row>
    <row r="80" spans="1:9" x14ac:dyDescent="0.3">
      <c r="I80" t="str">
        <f>IF(COUNTA(A66:A71)&lt;1,"","Amount Rank : "&amp;I75)</f>
        <v>Amount Rank : 5</v>
      </c>
    </row>
    <row r="81" spans="1:9" x14ac:dyDescent="0.3">
      <c r="H81" t="s">
        <v>1081</v>
      </c>
      <c r="I81" t="e" vm="1">
        <f>IF(COUNTA(A66:A71)&lt;1,"",_xlfn.XLOOKUP(A66,Assets!$E$3:$E$7,Assets!$F$3:$F$7))</f>
        <v>#VALUE!</v>
      </c>
    </row>
    <row r="82" spans="1:9" x14ac:dyDescent="0.3">
      <c r="A82" s="23" t="s">
        <v>1047</v>
      </c>
      <c r="B82" t="s">
        <v>1042</v>
      </c>
    </row>
    <row r="83" spans="1:9" x14ac:dyDescent="0.3">
      <c r="A83" s="25">
        <v>1</v>
      </c>
      <c r="B83" s="20">
        <v>3</v>
      </c>
    </row>
    <row r="84" spans="1:9" x14ac:dyDescent="0.3">
      <c r="A84" s="25">
        <v>2</v>
      </c>
      <c r="B84" s="20">
        <v>10</v>
      </c>
    </row>
    <row r="85" spans="1:9" x14ac:dyDescent="0.3">
      <c r="A85" s="25">
        <v>3</v>
      </c>
      <c r="B85" s="20">
        <v>41</v>
      </c>
    </row>
    <row r="86" spans="1:9" x14ac:dyDescent="0.3">
      <c r="A86" s="25">
        <v>4</v>
      </c>
      <c r="B86" s="20">
        <v>70</v>
      </c>
    </row>
    <row r="87" spans="1:9" x14ac:dyDescent="0.3">
      <c r="A87" s="25">
        <v>5</v>
      </c>
      <c r="B87" s="20">
        <v>62</v>
      </c>
    </row>
    <row r="88" spans="1:9" x14ac:dyDescent="0.3">
      <c r="A88" s="25" t="s">
        <v>1048</v>
      </c>
      <c r="B88" s="20">
        <v>186</v>
      </c>
    </row>
    <row r="91" spans="1:9" x14ac:dyDescent="0.3">
      <c r="A91" s="23" t="s">
        <v>1043</v>
      </c>
      <c r="B91" s="23" t="s">
        <v>1072</v>
      </c>
    </row>
    <row r="92" spans="1:9" x14ac:dyDescent="0.3">
      <c r="A92" s="23" t="s">
        <v>1047</v>
      </c>
      <c r="B92" t="s">
        <v>11</v>
      </c>
      <c r="C92" t="s">
        <v>9</v>
      </c>
      <c r="D92" t="s">
        <v>6</v>
      </c>
      <c r="E92" t="s">
        <v>13</v>
      </c>
      <c r="F92" t="s">
        <v>10</v>
      </c>
      <c r="G92" t="s">
        <v>1048</v>
      </c>
    </row>
    <row r="93" spans="1:9" x14ac:dyDescent="0.3">
      <c r="A93" s="25" t="s">
        <v>1002</v>
      </c>
      <c r="B93" s="28"/>
      <c r="C93" s="28"/>
      <c r="D93" s="28"/>
      <c r="E93" s="28"/>
      <c r="F93" s="28"/>
      <c r="G93" s="28"/>
    </row>
    <row r="94" spans="1:9" x14ac:dyDescent="0.3">
      <c r="A94" s="27" t="s">
        <v>20</v>
      </c>
      <c r="B94" s="21">
        <v>891</v>
      </c>
      <c r="C94" s="21">
        <v>1332</v>
      </c>
      <c r="D94" s="21">
        <v>1282</v>
      </c>
      <c r="E94" s="21">
        <v>739</v>
      </c>
      <c r="F94" s="21">
        <v>560</v>
      </c>
      <c r="G94" s="21">
        <v>4804</v>
      </c>
    </row>
    <row r="95" spans="1:9" x14ac:dyDescent="0.3">
      <c r="A95" s="27" t="s">
        <v>12</v>
      </c>
      <c r="B95" s="21">
        <v>1991</v>
      </c>
      <c r="C95" s="21">
        <v>1886</v>
      </c>
      <c r="D95" s="21">
        <v>1206</v>
      </c>
      <c r="E95" s="21">
        <v>884</v>
      </c>
      <c r="F95" s="21">
        <v>1722</v>
      </c>
      <c r="G95" s="21">
        <v>7689</v>
      </c>
    </row>
    <row r="96" spans="1:9" x14ac:dyDescent="0.3">
      <c r="A96" s="27" t="s">
        <v>8</v>
      </c>
      <c r="B96" s="21">
        <v>1163</v>
      </c>
      <c r="C96" s="21">
        <v>1180</v>
      </c>
      <c r="D96" s="21">
        <v>1616</v>
      </c>
      <c r="E96" s="21">
        <v>1043</v>
      </c>
      <c r="F96" s="21">
        <v>1747</v>
      </c>
      <c r="G96" s="21">
        <v>6749</v>
      </c>
    </row>
    <row r="97" spans="1:7" x14ac:dyDescent="0.3">
      <c r="A97" s="27" t="s">
        <v>16</v>
      </c>
      <c r="B97" s="21">
        <v>1438</v>
      </c>
      <c r="C97" s="21">
        <v>1616</v>
      </c>
      <c r="D97" s="21">
        <v>866</v>
      </c>
      <c r="E97" s="21">
        <v>829</v>
      </c>
      <c r="F97" s="21">
        <v>2070</v>
      </c>
      <c r="G97" s="21">
        <v>6819</v>
      </c>
    </row>
    <row r="98" spans="1:7" x14ac:dyDescent="0.3">
      <c r="A98" s="25" t="s">
        <v>1001</v>
      </c>
      <c r="B98" s="28"/>
      <c r="C98" s="28"/>
      <c r="D98" s="28"/>
      <c r="E98" s="28"/>
      <c r="F98" s="28"/>
      <c r="G98" s="28"/>
    </row>
    <row r="99" spans="1:7" x14ac:dyDescent="0.3">
      <c r="A99" s="27" t="s">
        <v>24</v>
      </c>
      <c r="B99" s="21">
        <v>1233</v>
      </c>
      <c r="C99" s="21">
        <v>223</v>
      </c>
      <c r="D99" s="21">
        <v>1680</v>
      </c>
      <c r="E99" s="21">
        <v>990</v>
      </c>
      <c r="F99" s="21">
        <v>1508</v>
      </c>
      <c r="G99" s="21">
        <v>5634</v>
      </c>
    </row>
    <row r="100" spans="1:7" x14ac:dyDescent="0.3">
      <c r="A100" s="27" t="s">
        <v>15</v>
      </c>
      <c r="B100" s="21">
        <v>1598</v>
      </c>
      <c r="C100" s="21">
        <v>1907</v>
      </c>
      <c r="D100" s="21">
        <v>869</v>
      </c>
      <c r="E100" s="21">
        <v>1426</v>
      </c>
      <c r="F100" s="21">
        <v>1416</v>
      </c>
      <c r="G100" s="21">
        <v>7216</v>
      </c>
    </row>
    <row r="101" spans="1:7" x14ac:dyDescent="0.3">
      <c r="A101" s="27" t="s">
        <v>5</v>
      </c>
      <c r="B101" s="21">
        <v>900</v>
      </c>
      <c r="C101" s="21">
        <v>1016</v>
      </c>
      <c r="D101" s="21">
        <v>960</v>
      </c>
      <c r="E101" s="21">
        <v>940</v>
      </c>
      <c r="F101" s="21">
        <v>1193</v>
      </c>
      <c r="G101" s="21">
        <v>5009</v>
      </c>
    </row>
    <row r="102" spans="1:7" x14ac:dyDescent="0.3">
      <c r="A102" s="27" t="s">
        <v>18</v>
      </c>
      <c r="B102" s="21">
        <v>900</v>
      </c>
      <c r="C102" s="21">
        <v>1470</v>
      </c>
      <c r="D102" s="21">
        <v>1617</v>
      </c>
      <c r="E102" s="21">
        <v>1314</v>
      </c>
      <c r="F102" s="21">
        <v>941</v>
      </c>
      <c r="G102" s="21">
        <v>6242</v>
      </c>
    </row>
    <row r="103" spans="1:7" x14ac:dyDescent="0.3">
      <c r="A103" s="27" t="s">
        <v>14</v>
      </c>
      <c r="B103" s="21">
        <v>1255</v>
      </c>
      <c r="C103" s="21">
        <v>516</v>
      </c>
      <c r="D103" s="21">
        <v>1874</v>
      </c>
      <c r="E103" s="21">
        <v>1863</v>
      </c>
      <c r="F103" s="21">
        <v>1722</v>
      </c>
      <c r="G103" s="21">
        <v>7230</v>
      </c>
    </row>
    <row r="104" spans="1:7" x14ac:dyDescent="0.3">
      <c r="A104" s="27" t="s">
        <v>19</v>
      </c>
      <c r="B104" s="21">
        <v>1138</v>
      </c>
      <c r="C104" s="21">
        <v>1898</v>
      </c>
      <c r="D104" s="21">
        <v>1482</v>
      </c>
      <c r="E104" s="21">
        <v>846</v>
      </c>
      <c r="F104" s="21">
        <v>1154</v>
      </c>
      <c r="G104" s="21">
        <v>6518</v>
      </c>
    </row>
    <row r="105" spans="1:7" x14ac:dyDescent="0.3">
      <c r="A105" s="25" t="s">
        <v>1000</v>
      </c>
      <c r="B105" s="28"/>
      <c r="C105" s="28"/>
      <c r="D105" s="28"/>
      <c r="E105" s="28"/>
      <c r="F105" s="28"/>
      <c r="G105" s="28"/>
    </row>
    <row r="106" spans="1:7" x14ac:dyDescent="0.3">
      <c r="A106" s="27" t="s">
        <v>17</v>
      </c>
      <c r="B106" s="21">
        <v>1655</v>
      </c>
      <c r="C106" s="21">
        <v>805</v>
      </c>
      <c r="D106" s="21">
        <v>2263</v>
      </c>
      <c r="E106" s="21">
        <v>987</v>
      </c>
      <c r="F106" s="21">
        <v>1075</v>
      </c>
      <c r="G106" s="21">
        <v>6785</v>
      </c>
    </row>
    <row r="107" spans="1:7" x14ac:dyDescent="0.3">
      <c r="A107" s="27" t="s">
        <v>23</v>
      </c>
      <c r="B107" s="21">
        <v>1104</v>
      </c>
      <c r="C107" s="21">
        <v>2280</v>
      </c>
      <c r="D107" s="21">
        <v>1445</v>
      </c>
      <c r="E107" s="21">
        <v>1722</v>
      </c>
      <c r="F107" s="21">
        <v>1196</v>
      </c>
      <c r="G107" s="21">
        <v>7747</v>
      </c>
    </row>
    <row r="108" spans="1:7" x14ac:dyDescent="0.3">
      <c r="A108" s="27" t="s">
        <v>7</v>
      </c>
      <c r="B108" s="21">
        <v>372</v>
      </c>
      <c r="C108" s="21">
        <v>1818</v>
      </c>
      <c r="D108" s="21">
        <v>1346</v>
      </c>
      <c r="E108" s="21">
        <v>1156</v>
      </c>
      <c r="F108" s="21">
        <v>1484</v>
      </c>
      <c r="G108" s="21">
        <v>6176</v>
      </c>
    </row>
    <row r="109" spans="1:7" x14ac:dyDescent="0.3">
      <c r="A109" s="27" t="s">
        <v>22</v>
      </c>
      <c r="B109" s="21">
        <v>1415</v>
      </c>
      <c r="C109" s="21">
        <v>1271</v>
      </c>
      <c r="D109" s="21">
        <v>1214</v>
      </c>
      <c r="E109" s="21">
        <v>1135</v>
      </c>
      <c r="F109" s="21">
        <v>1566</v>
      </c>
      <c r="G109" s="21">
        <v>6601</v>
      </c>
    </row>
    <row r="110" spans="1:7" x14ac:dyDescent="0.3">
      <c r="A110" s="27" t="s">
        <v>21</v>
      </c>
      <c r="B110" s="21">
        <v>1362</v>
      </c>
      <c r="C110" s="21">
        <v>1363</v>
      </c>
      <c r="D110" s="21">
        <v>1152</v>
      </c>
      <c r="E110" s="21">
        <v>777</v>
      </c>
      <c r="F110" s="21">
        <v>750</v>
      </c>
      <c r="G110" s="21">
        <v>5404</v>
      </c>
    </row>
  </sheetData>
  <pageMargins left="0.7" right="0.7" top="0.75" bottom="0.75" header="0.3" footer="0.3"/>
  <pageSetup paperSize="9"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K4" zoomScale="115" zoomScaleNormal="115" workbookViewId="0">
      <selection activeCell="C9" sqref="C9"/>
    </sheetView>
  </sheetViews>
  <sheetFormatPr defaultRowHeight="14.5" x14ac:dyDescent="0.3"/>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6" width="7.5" customWidth="1"/>
    <col min="17" max="17" width="14.58203125" customWidth="1"/>
    <col min="20" max="20" width="10.58203125" customWidth="1"/>
  </cols>
  <sheetData>
    <row r="1" spans="2:20" s="4" customFormat="1" ht="48" customHeight="1" x14ac:dyDescent="0.3">
      <c r="B1" s="5" t="s">
        <v>1003</v>
      </c>
    </row>
    <row r="2" spans="2:20" ht="14" x14ac:dyDescent="0.3">
      <c r="R2" s="1"/>
    </row>
    <row r="3" spans="2:20" ht="14"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ht="14"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ht="14"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ht="14"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ht="14"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ht="14"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ht="14"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ht="14"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ht="14"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ht="14"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ht="14"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ht="14"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ht="14"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ht="14"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ht="14"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ht="14"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ht="14"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ht="14"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ht="14"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ht="14"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ht="14"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ht="14"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ht="14"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ht="14"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ht="14"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ht="14"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ht="14"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ht="14"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ht="14"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ht="14"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ht="14"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ht="14"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ht="14"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ht="14"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ht="14"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ht="14"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ht="14"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ht="14"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ht="14"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ht="14"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ht="14"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ht="14"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ht="14"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ht="14"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ht="14"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ht="14"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ht="14"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ht="14"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ht="14"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ht="14"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ht="14"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ht="14"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ht="14"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ht="14"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ht="14"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ht="14"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ht="14"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ht="14"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ht="14"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ht="14"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ht="14"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ht="14"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ht="14"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ht="14"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ht="14"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ht="14"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ht="14"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ht="14"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ht="14"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ht="14"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ht="14"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ht="14"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ht="14"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ht="14"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ht="14"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ht="14"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ht="14"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ht="14"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ht="14"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ht="14"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ht="14"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ht="14"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ht="14"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ht="14"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ht="14"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ht="14"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ht="14"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ht="14"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ht="14"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ht="14"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ht="14"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ht="14"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ht="14"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ht="14"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ht="14"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ht="14"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ht="14"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ht="14"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ht="14"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ht="14"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ht="14"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ht="14"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ht="14"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ht="14"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ht="14"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ht="14"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ht="14"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ht="14"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ht="14"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ht="14"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ht="14"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ht="14"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ht="14"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ht="14"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ht="14"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ht="14"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ht="14"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ht="14"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ht="14"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ht="14"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ht="14"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ht="14"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ht="14"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ht="14"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ht="14"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ht="14"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ht="14"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ht="14"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ht="14"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ht="14"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ht="14"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ht="14"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ht="14"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ht="14"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ht="14"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ht="14"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ht="14"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ht="14"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ht="14"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ht="14"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ht="14"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ht="14"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ht="14"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ht="14"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ht="14"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ht="14"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ht="14"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ht="14"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ht="14"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ht="14"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ht="14"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ht="14"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ht="14"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ht="14"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ht="14"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ht="14"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ht="14"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ht="14"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ht="14"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ht="14"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ht="14"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ht="14"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ht="14"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ht="14"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ht="14"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ht="14"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ht="14"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ht="14"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ht="14"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ht="14"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ht="14"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ht="14"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ht="14"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ht="14"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ht="14"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ht="14"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ht="14"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ht="14"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ht="14"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ht="14"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ht="14"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ht="14"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ht="14"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ht="14"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ht="14"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ht="14"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ht="14"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ht="14"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ht="14"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ht="14"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ht="14"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ht="14"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ht="14"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ht="14"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ht="14"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ht="14"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ht="14"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ht="14"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ht="14"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ht="14"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ht="14"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ht="14"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ht="14"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ht="14"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ht="14"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ht="14"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ht="14"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ht="14"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ht="14"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ht="14"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ht="14"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ht="14"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ht="14"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ht="14"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ht="14"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ht="14"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ht="14"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ht="14"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ht="14"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ht="14"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ht="14"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ht="14"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ht="14"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ht="14"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ht="14"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ht="14"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ht="14"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ht="14"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ht="14"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ht="14"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ht="14"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ht="14"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ht="14"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ht="14"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ht="14"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ht="14"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ht="14"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ht="14"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ht="14"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ht="14"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ht="14"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ht="14"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ht="14"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ht="14"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ht="14"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ht="14"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ht="14"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ht="14"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ht="14"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ht="14"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ht="14"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ht="14"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ht="14"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ht="14"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ht="14"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ht="14"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ht="14"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ht="14"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ht="14"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ht="14"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ht="14"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ht="14"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ht="14"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ht="14"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ht="14"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ht="14"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ht="14"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ht="14"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ht="14"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ht="14"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ht="14"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ht="14"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ht="14"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ht="14"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ht="14"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ht="14"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ht="14"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ht="14"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ht="14"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ht="14"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ht="14"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ht="14"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ht="14"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ht="14"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ht="14"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ht="14"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ht="14"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ht="14"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ht="14"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ht="14"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ht="14"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ht="14"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ht="14"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ht="14"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ht="14"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ht="14"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ht="14"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ht="14"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ht="14"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ht="14"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ht="14"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ht="14"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ht="14"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ht="14"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ht="14"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ht="14"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ht="14"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ht="14"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ht="14"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ht="14"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ht="14"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ht="14"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ht="14"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ht="14"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ht="14"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ht="14"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ht="14"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ht="14"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ht="14"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ht="14"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ht="14"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ht="14"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ht="14"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ht="14"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ht="14"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ht="14"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ht="14"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ht="14"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ht="14"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ht="14"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ht="14"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ht="14"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ht="14"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ht="14"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ht="14"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ht="14"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ht="14"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ht="14"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ht="14"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ht="14"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ht="14"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ht="14"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ht="14"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ht="14"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ht="14"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ht="14"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ht="14"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ht="14"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ht="14"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ht="14"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ht="14"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ht="14"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ht="14"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ht="14"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ht="14"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ht="14"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ht="14"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ht="14"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ht="14"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ht="14"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ht="14"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ht="14"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ht="14"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ht="14"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ht="14"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ht="14"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ht="14"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ht="14"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ht="14"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ht="14"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ht="14"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ht="14"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ht="14"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ht="14"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ht="14"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ht="14"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ht="14"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ht="14"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ht="14"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ht="14"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ht="14"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ht="14"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ht="14"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ht="14"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ht="14"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ht="14"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ht="14"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ht="14"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ht="14"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ht="14"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ht="14"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ht="14"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ht="14"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ht="14"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ht="14"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ht="14"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ht="14"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ht="14"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ht="14"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ht="14"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ht="14"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ht="14"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ht="14"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ht="14"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ht="14"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ht="14"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ht="14"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ht="14"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ht="14"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ht="14"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ht="14"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ht="14"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ht="14"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ht="14"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ht="14"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ht="14"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ht="14"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ht="14"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ht="14"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ht="14"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ht="14"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ht="14"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ht="14"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ht="14"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ht="14"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ht="14"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ht="14"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ht="14"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ht="14"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ht="14"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ht="14"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ht="14"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ht="14"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ht="14"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ht="14"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ht="14"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ht="14"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ht="14"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ht="14"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ht="14"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ht="14"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ht="14"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ht="14"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ht="14"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ht="14"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ht="14"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ht="14"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ht="14"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ht="14"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ht="14"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ht="14"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ht="14"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ht="14"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ht="14"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ht="14"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ht="14"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ht="14"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ht="14"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ht="14"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ht="14"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ht="14"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ht="14"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ht="14"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ht="14"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ht="14"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ht="14"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ht="14"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ht="14"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ht="14"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ht="14"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ht="14"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ht="14"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ht="14"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ht="14"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ht="14"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ht="14"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ht="14"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ht="14"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ht="14"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ht="14"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ht="14"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ht="14"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ht="14"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ht="14"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ht="14"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ht="14"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ht="14"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ht="14"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ht="14"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ht="14"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ht="14"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ht="14"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ht="14"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ht="14"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ht="14"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ht="14"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ht="14"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ht="14"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ht="14"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ht="14"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ht="14"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ht="14"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ht="14"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ht="14"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ht="14"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ht="14"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ht="14"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ht="14"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ht="14"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ht="14"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ht="14"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ht="14"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ht="14"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ht="14"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ht="14"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ht="14"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ht="14"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ht="14"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ht="14"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ht="14"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ht="14"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ht="14"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ht="14"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ht="14"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ht="14"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ht="14"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ht="14"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ht="14"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ht="14"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ht="14"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ht="14"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ht="14"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ht="14"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ht="14"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ht="14"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ht="14"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ht="14"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ht="14"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ht="14"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ht="14"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ht="14"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ht="14"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ht="14"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ht="14"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ht="14"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ht="14"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ht="14"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ht="14"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ht="14"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ht="14"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ht="14"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ht="14"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ht="14"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ht="14"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ht="14"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ht="14"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ht="14"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ht="14"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ht="14"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ht="14"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ht="14"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ht="14"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ht="14"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ht="14"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ht="14"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ht="14"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ht="14"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ht="14"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ht="14"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ht="14"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ht="14"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ht="14"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ht="14"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ht="14"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ht="14"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ht="14"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ht="14"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ht="14"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ht="14"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ht="14"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ht="14"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ht="14"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ht="14"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ht="14"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ht="14"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ht="14"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ht="14"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ht="14"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ht="14"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ht="14"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ht="14"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ht="14"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ht="14"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ht="14"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ht="14"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ht="14"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ht="14"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ht="14"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ht="14"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ht="14"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ht="14"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ht="14"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ht="14"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ht="14"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ht="14"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ht="14"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ht="14"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ht="14"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ht="14"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ht="14"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ht="14"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ht="14"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ht="14"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ht="14"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ht="14"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ht="14"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ht="14"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ht="14"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ht="14"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ht="14"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ht="14"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ht="14"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ht="14"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ht="14"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ht="14"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ht="14"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ht="14"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ht="14"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ht="14"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ht="14"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ht="14"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ht="14"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ht="14"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ht="14"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ht="14"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ht="14"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ht="14"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ht="14"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ht="14"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ht="14"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ht="14"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ht="14"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ht="14"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ht="14"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ht="14"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ht="14"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ht="14"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ht="14"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ht="14"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ht="14"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ht="14"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ht="14"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ht="14"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ht="14"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ht="14"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ht="14"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ht="14"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ht="14"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ht="14"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ht="14"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ht="14"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ht="14"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ht="14"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ht="14"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ht="14"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ht="14"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ht="14"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ht="14"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ht="14"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ht="14"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ht="14"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ht="14"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ht="14"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ht="14"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ht="14"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ht="14"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ht="14"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ht="14"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ht="14"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ht="14"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ht="14"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ht="14"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ht="14"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ht="14"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ht="14"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ht="14"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ht="14"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ht="14"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ht="14"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ht="14"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ht="14"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ht="14"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ht="14"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ht="14"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ht="14"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ht="14"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ht="14"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ht="14"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ht="14"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ht="14"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ht="14"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ht="14"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ht="14"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ht="14"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ht="14"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ht="14"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ht="14"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ht="14"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ht="14"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ht="14"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ht="14"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ht="14"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ht="14"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ht="14"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ht="14"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ht="14"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ht="14"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ht="14"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ht="14"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ht="14"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ht="14"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ht="14"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ht="14"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ht="14"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ht="14"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ht="14"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ht="14"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ht="14"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ht="14"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ht="14"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ht="14"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ht="14"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ht="14"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ht="14"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ht="14"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ht="14"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ht="14"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ht="14"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ht="14"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ht="14"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ht="14"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ht="14"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ht="14"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ht="14"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ht="14"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ht="14"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ht="14"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ht="14"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ht="14"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ht="14"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ht="14"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ht="14"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ht="14"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ht="14"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ht="14"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ht="14"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ht="14"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ht="14"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ht="14"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ht="14"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ht="14"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ht="14"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ht="14"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ht="14"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ht="14"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ht="14"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ht="14"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ht="14"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ht="14"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ht="14"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ht="14"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ht="14"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ht="14"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ht="14"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ht="14"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ht="14"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ht="14"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ht="14"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ht="14"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ht="14"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ht="14"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ht="14"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ht="14"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ht="14"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ht="14"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ht="14"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ht="14"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ht="14"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ht="14"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ht="14"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ht="14"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ht="14"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ht="14"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ht="14"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ht="14"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ht="14"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ht="14"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ht="14"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ht="14"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ht="14"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ht="14"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ht="14"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ht="14"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ht="14"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ht="14"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ht="14"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ht="14"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ht="14"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ht="14"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ht="14"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ht="14"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ht="14"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ht="14"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ht="14"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ht="14"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ht="14"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ht="14"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ht="14"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ht="14"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ht="14"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ht="14"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ht="14"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ht="14"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ht="14"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ht="14"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ht="14"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ht="14"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ht="14"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ht="14"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ht="14"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ht="14"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ht="14"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ht="14"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ht="14"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ht="14"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ht="14"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ht="14"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ht="14"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ht="14"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ht="14"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ht="14"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ht="14"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ht="14"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ht="14"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ht="14"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ht="14"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ht="14"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ht="14"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ht="14"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ht="14"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ht="14"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ht="14"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ht="14"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ht="14"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ht="14"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ht="14"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ht="14"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ht="14"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ht="14"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ht="14"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ht="14"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ht="14"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ht="14"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ht="14"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ht="14"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ht="14"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ht="14"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ht="14"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ht="14"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ht="14"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ht="14"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ht="14"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ht="14"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ht="14"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ht="14"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ht="14"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ht="14"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ht="14"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ht="14"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ht="14"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ht="14"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ht="14"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ht="14"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ht="14"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ht="14"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ht="14"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ht="14"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ht="14"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ht="14"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ht="14"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ht="14"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ht="14"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ht="14"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ht="14"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ht="14"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ht="14"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ht="14"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ht="14"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ht="14"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ht="14"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ht="14"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ht="14"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ht="14"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ht="14"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ht="14"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ht="14"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ht="14"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ht="14"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ht="14"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ht="14"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ht="14"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ht="14"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ht="14"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ht="14"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ht="14"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ht="14"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ht="14"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ht="14"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ht="14"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ht="14"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ht="14"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ht="14"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ht="14"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ht="14"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ht="14"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ht="14"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ht="14"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ht="14"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ht="14"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ht="14"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ht="14"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ht="14"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ht="14"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ht="14"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ht="14"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ht="14"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ht="14"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ht="14"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ht="14"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ht="14"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ht="14"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ht="14"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ht="14"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ht="14"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ht="14"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ht="14"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ht="14"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ht="14"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ht="14"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ht="14"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ht="14"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ht="14"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ht="14"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ht="14"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ht="14"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ht="14"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ht="14"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ht="14"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ht="14"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ht="14"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ht="14"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ht="14"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ht="14"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ht="14"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ht="14"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ht="14"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ht="14"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ht="14"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ht="14"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ht="14"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ht="14"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ht="14"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ht="14"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ht="14"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ht="14"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ht="14"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ht="14"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ht="14"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ht="14"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ht="14"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ht="14"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ht="14"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ht="14"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ht="14"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ht="14"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ht="14"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ht="14"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ht="14"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ht="14"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ht="14"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ht="14"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ht="14"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ht="14"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ht="14"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ht="14"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ht="14"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ht="14"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ht="14"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ht="14"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ht="14"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ht="14"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AE886-7E53-49F6-925F-3E6DB08A5E06}">
  <dimension ref="A1:W67"/>
  <sheetViews>
    <sheetView tabSelected="1" workbookViewId="0">
      <selection activeCell="Q2" sqref="Q2"/>
    </sheetView>
  </sheetViews>
  <sheetFormatPr defaultRowHeight="14" x14ac:dyDescent="0.3"/>
  <cols>
    <col min="1" max="1" width="1.33203125" customWidth="1"/>
    <col min="2" max="2" width="1.9140625" customWidth="1"/>
    <col min="17" max="21" width="9.25" bestFit="1" customWidth="1"/>
  </cols>
  <sheetData>
    <row r="1" spans="1:23" x14ac:dyDescent="0.3">
      <c r="A1" s="24"/>
      <c r="B1" s="24"/>
      <c r="C1" s="24"/>
      <c r="D1" s="24"/>
      <c r="E1" s="24"/>
      <c r="F1" s="24"/>
      <c r="G1" s="24"/>
      <c r="H1" s="24"/>
      <c r="I1" s="24"/>
      <c r="J1" s="24"/>
      <c r="K1" s="24"/>
      <c r="L1" s="24"/>
      <c r="M1" s="24"/>
      <c r="N1" s="24"/>
      <c r="O1" s="24"/>
      <c r="P1" s="24"/>
      <c r="Q1" s="24"/>
      <c r="R1" s="24"/>
      <c r="S1" s="24"/>
      <c r="T1" s="24"/>
      <c r="U1" s="24"/>
      <c r="V1" s="24"/>
      <c r="W1" s="24"/>
    </row>
    <row r="2" spans="1:23" ht="46" customHeight="1" x14ac:dyDescent="1.1000000000000001">
      <c r="A2" s="24"/>
      <c r="B2" s="24"/>
      <c r="C2" s="48" t="s">
        <v>1082</v>
      </c>
      <c r="D2" s="46"/>
      <c r="E2" s="46"/>
      <c r="F2" s="46"/>
      <c r="G2" s="46"/>
      <c r="H2" s="46"/>
      <c r="I2" s="46"/>
      <c r="J2" s="46"/>
      <c r="K2" s="24"/>
      <c r="L2" s="24"/>
      <c r="M2" s="24"/>
      <c r="N2" s="24"/>
      <c r="O2" s="24"/>
      <c r="P2" s="24"/>
      <c r="Q2" s="24"/>
      <c r="R2" s="24"/>
      <c r="S2" s="24"/>
      <c r="T2" s="24"/>
      <c r="U2" s="24"/>
      <c r="V2" s="24"/>
      <c r="W2" s="24"/>
    </row>
    <row r="3" spans="1:23" x14ac:dyDescent="0.3">
      <c r="A3" s="24"/>
      <c r="B3" s="24"/>
      <c r="C3" s="24"/>
      <c r="D3" s="24"/>
      <c r="E3" s="24"/>
      <c r="F3" s="24"/>
      <c r="G3" s="24"/>
      <c r="H3" s="24"/>
      <c r="I3" s="24"/>
      <c r="J3" s="24"/>
      <c r="K3" s="24"/>
      <c r="L3" s="24"/>
      <c r="M3" s="24"/>
      <c r="N3" s="24"/>
      <c r="O3" s="24"/>
      <c r="P3" s="24"/>
      <c r="Q3" s="24"/>
      <c r="R3" s="24"/>
      <c r="S3" s="24"/>
      <c r="T3" s="24"/>
      <c r="U3" s="24"/>
      <c r="V3" s="24"/>
      <c r="W3" s="24"/>
    </row>
    <row r="4" spans="1:23" x14ac:dyDescent="0.3">
      <c r="A4" s="24"/>
      <c r="B4" s="24"/>
      <c r="C4" s="24"/>
      <c r="D4" s="24"/>
      <c r="E4" s="24"/>
      <c r="F4" s="24"/>
      <c r="G4" s="24"/>
      <c r="H4" s="24"/>
      <c r="I4" s="24"/>
      <c r="J4" s="24"/>
      <c r="K4" s="24"/>
      <c r="L4" s="24"/>
      <c r="M4" s="24"/>
      <c r="N4" s="24"/>
      <c r="O4" s="24"/>
      <c r="P4" s="24"/>
      <c r="Q4" s="24"/>
      <c r="R4" s="24"/>
      <c r="S4" s="24"/>
      <c r="T4" s="24"/>
      <c r="U4" s="24"/>
      <c r="V4" s="24"/>
      <c r="W4" s="24"/>
    </row>
    <row r="5" spans="1:23" x14ac:dyDescent="0.3">
      <c r="A5" s="24"/>
      <c r="B5" s="24"/>
      <c r="C5" s="24"/>
      <c r="D5" s="24"/>
      <c r="E5" s="24"/>
      <c r="F5" s="24"/>
      <c r="G5" s="24"/>
      <c r="H5" s="24"/>
      <c r="I5" s="24"/>
      <c r="J5" s="24"/>
      <c r="K5" s="24"/>
      <c r="L5" s="24"/>
      <c r="M5" s="24"/>
      <c r="N5" s="24"/>
      <c r="O5" s="24"/>
      <c r="P5" s="24"/>
      <c r="Q5" s="24"/>
      <c r="R5" s="24"/>
      <c r="S5" s="24"/>
      <c r="T5" s="24"/>
      <c r="U5" s="24"/>
      <c r="V5" s="24"/>
      <c r="W5" s="24"/>
    </row>
    <row r="6" spans="1:23" x14ac:dyDescent="0.3">
      <c r="A6" s="24"/>
      <c r="B6" s="24"/>
      <c r="C6" s="24"/>
      <c r="D6" s="24"/>
      <c r="E6" s="24"/>
      <c r="F6" s="24"/>
      <c r="G6" s="24"/>
      <c r="H6" s="24"/>
      <c r="I6" s="24"/>
      <c r="J6" s="24"/>
      <c r="K6" s="24"/>
      <c r="L6" s="24"/>
      <c r="M6" s="24"/>
      <c r="N6" s="24"/>
      <c r="O6" s="24"/>
      <c r="P6" s="24"/>
      <c r="Q6" s="24"/>
      <c r="R6" s="24"/>
      <c r="S6" s="24"/>
      <c r="T6" s="24"/>
      <c r="U6" s="24"/>
      <c r="V6" s="24"/>
      <c r="W6" s="24"/>
    </row>
    <row r="7" spans="1:23" x14ac:dyDescent="0.3">
      <c r="A7" s="24"/>
      <c r="B7" s="24"/>
      <c r="C7" s="24"/>
      <c r="D7" s="24"/>
      <c r="E7" s="24"/>
      <c r="F7" s="24"/>
      <c r="G7" s="24"/>
      <c r="H7" s="24"/>
      <c r="I7" s="24"/>
      <c r="J7" s="24"/>
      <c r="K7" s="24"/>
      <c r="L7" s="24"/>
      <c r="M7" s="24"/>
      <c r="N7" s="24"/>
      <c r="O7" s="24"/>
      <c r="P7" s="24"/>
      <c r="Q7" s="24"/>
      <c r="R7" s="24"/>
      <c r="S7" s="24"/>
      <c r="T7" s="24"/>
      <c r="U7" s="24"/>
      <c r="V7" s="24"/>
      <c r="W7" s="24"/>
    </row>
    <row r="8" spans="1:23" x14ac:dyDescent="0.3">
      <c r="A8" s="24"/>
      <c r="B8" s="24"/>
      <c r="C8" s="24"/>
      <c r="D8" s="24"/>
      <c r="E8" s="24"/>
      <c r="F8" s="24"/>
      <c r="G8" s="24"/>
      <c r="H8" s="24"/>
      <c r="I8" s="24"/>
      <c r="J8" s="24"/>
      <c r="K8" s="24"/>
      <c r="L8" s="24"/>
      <c r="M8" s="24"/>
      <c r="N8" s="24"/>
      <c r="O8" s="24"/>
      <c r="P8" s="24"/>
      <c r="Q8" s="24"/>
      <c r="R8" s="24"/>
      <c r="S8" s="24"/>
      <c r="T8" s="24"/>
      <c r="U8" s="24"/>
      <c r="V8" s="24"/>
      <c r="W8" s="24"/>
    </row>
    <row r="9" spans="1:23" x14ac:dyDescent="0.3">
      <c r="A9" s="24"/>
      <c r="B9" s="24"/>
      <c r="C9" s="24"/>
      <c r="D9" s="24"/>
      <c r="E9" s="24"/>
      <c r="F9" s="24"/>
      <c r="G9" s="24"/>
      <c r="H9" s="24"/>
      <c r="I9" s="24"/>
      <c r="J9" s="24"/>
      <c r="K9" s="24"/>
      <c r="L9" s="24"/>
      <c r="M9" s="24"/>
      <c r="N9" s="24"/>
      <c r="O9" s="24"/>
      <c r="P9" s="24"/>
      <c r="Q9" s="24"/>
      <c r="R9" s="24"/>
      <c r="S9" s="24"/>
      <c r="T9" s="24"/>
      <c r="U9" s="24"/>
      <c r="V9" s="24"/>
      <c r="W9" s="24"/>
    </row>
    <row r="10" spans="1:23" x14ac:dyDescent="0.3">
      <c r="A10" s="24"/>
      <c r="B10" s="24"/>
      <c r="C10" s="24"/>
      <c r="D10" s="24"/>
      <c r="E10" s="24"/>
      <c r="F10" s="24"/>
      <c r="G10" s="24"/>
      <c r="H10" s="24"/>
      <c r="I10" s="24"/>
      <c r="J10" s="24"/>
      <c r="K10" s="24"/>
      <c r="L10" s="24"/>
      <c r="M10" s="24"/>
      <c r="N10" s="24"/>
      <c r="O10" s="24"/>
      <c r="P10" s="24"/>
      <c r="Q10" s="24"/>
      <c r="R10" s="24"/>
      <c r="S10" s="24"/>
      <c r="T10" s="24"/>
      <c r="U10" s="24"/>
      <c r="V10" s="24"/>
      <c r="W10" s="24"/>
    </row>
    <row r="11" spans="1:23" x14ac:dyDescent="0.3">
      <c r="A11" s="24"/>
      <c r="B11" s="24"/>
      <c r="C11" s="24"/>
      <c r="D11" s="24"/>
      <c r="E11" s="24"/>
      <c r="F11" s="24"/>
      <c r="G11" s="24"/>
      <c r="H11" s="24"/>
      <c r="I11" s="24"/>
      <c r="J11" s="24"/>
      <c r="K11" s="24"/>
      <c r="L11" s="24"/>
      <c r="M11" s="24"/>
      <c r="N11" s="24"/>
      <c r="O11" s="24"/>
      <c r="P11" s="24"/>
      <c r="Q11" s="24"/>
      <c r="R11" s="24"/>
      <c r="S11" s="24"/>
      <c r="T11" s="24"/>
      <c r="U11" s="24"/>
      <c r="V11" s="24"/>
      <c r="W11" s="24"/>
    </row>
    <row r="12" spans="1:23" x14ac:dyDescent="0.3">
      <c r="A12" s="24"/>
      <c r="B12" s="24"/>
      <c r="C12" s="24"/>
      <c r="D12" s="24"/>
      <c r="E12" s="24"/>
      <c r="F12" s="24"/>
      <c r="G12" s="24"/>
      <c r="H12" s="24"/>
      <c r="I12" s="24"/>
      <c r="J12" s="24"/>
      <c r="K12" s="24"/>
      <c r="L12" s="24"/>
      <c r="M12" s="24"/>
      <c r="N12" s="24"/>
      <c r="O12" s="24"/>
      <c r="P12" s="24"/>
      <c r="Q12" s="24"/>
      <c r="R12" s="24"/>
      <c r="S12" s="24"/>
      <c r="T12" s="24"/>
      <c r="U12" s="24"/>
      <c r="V12" s="24"/>
      <c r="W12" s="24"/>
    </row>
    <row r="13" spans="1:23" x14ac:dyDescent="0.3">
      <c r="A13" s="24"/>
      <c r="B13" s="24"/>
      <c r="C13" s="24"/>
      <c r="D13" s="24"/>
      <c r="E13" s="24"/>
      <c r="F13" s="24"/>
      <c r="G13" s="24"/>
      <c r="H13" s="24"/>
      <c r="I13" s="24"/>
      <c r="J13" s="24"/>
      <c r="K13" s="24"/>
      <c r="L13" s="24"/>
      <c r="M13" s="24"/>
      <c r="N13" s="24"/>
      <c r="O13" s="24"/>
      <c r="P13" s="24"/>
      <c r="Q13" s="24"/>
      <c r="R13" s="24"/>
      <c r="S13" s="24"/>
      <c r="T13" s="24"/>
      <c r="U13" s="24"/>
      <c r="V13" s="24"/>
      <c r="W13" s="24"/>
    </row>
    <row r="14" spans="1:23" x14ac:dyDescent="0.3">
      <c r="A14" s="24"/>
      <c r="B14" s="24"/>
      <c r="C14" s="24"/>
      <c r="D14" s="24"/>
      <c r="E14" s="24"/>
      <c r="F14" s="24"/>
      <c r="G14" s="24"/>
      <c r="H14" s="24"/>
      <c r="I14" s="24"/>
      <c r="J14" s="24"/>
      <c r="K14" s="24"/>
      <c r="L14" s="24"/>
      <c r="M14" s="24"/>
      <c r="N14" s="24"/>
      <c r="O14" s="24"/>
      <c r="P14" s="24"/>
      <c r="Q14" s="24"/>
      <c r="R14" s="24"/>
      <c r="S14" s="24"/>
      <c r="T14" s="24"/>
      <c r="U14" s="24"/>
      <c r="V14" s="24"/>
      <c r="W14" s="24"/>
    </row>
    <row r="15" spans="1:23" x14ac:dyDescent="0.3">
      <c r="A15" s="24"/>
      <c r="B15" s="24"/>
      <c r="C15" s="24"/>
      <c r="D15" s="24"/>
      <c r="E15" s="24"/>
      <c r="F15" s="24"/>
      <c r="G15" s="24"/>
      <c r="H15" s="24"/>
      <c r="I15" s="24"/>
      <c r="J15" s="24"/>
      <c r="K15" s="24"/>
      <c r="L15" s="24"/>
      <c r="M15" s="24"/>
      <c r="N15" s="24"/>
      <c r="O15" s="24"/>
      <c r="P15" s="24"/>
      <c r="Q15" s="24"/>
      <c r="R15" s="24"/>
      <c r="S15" s="24"/>
      <c r="T15" s="24"/>
      <c r="U15" s="24"/>
      <c r="V15" s="24"/>
      <c r="W15" s="24"/>
    </row>
    <row r="16" spans="1:23" x14ac:dyDescent="0.3">
      <c r="A16" s="24"/>
      <c r="B16" s="24"/>
      <c r="C16" s="24"/>
      <c r="D16" s="24"/>
      <c r="E16" s="24"/>
      <c r="F16" s="24"/>
      <c r="G16" s="24"/>
      <c r="H16" s="24"/>
      <c r="I16" s="24"/>
      <c r="J16" s="24"/>
      <c r="K16" s="24"/>
      <c r="L16" s="24"/>
      <c r="M16" s="24"/>
      <c r="N16" s="24"/>
      <c r="O16" s="24"/>
      <c r="P16" s="24"/>
      <c r="Q16" s="24"/>
      <c r="R16" s="24"/>
      <c r="S16" s="24"/>
      <c r="T16" s="24"/>
      <c r="U16" s="24"/>
      <c r="V16" s="24"/>
      <c r="W16" s="24"/>
    </row>
    <row r="17" spans="1:23" x14ac:dyDescent="0.3">
      <c r="A17" s="24"/>
      <c r="B17" s="24"/>
      <c r="C17" s="24"/>
      <c r="D17" s="24"/>
      <c r="E17" s="24"/>
      <c r="F17" s="24"/>
      <c r="G17" s="24"/>
      <c r="H17" s="24"/>
      <c r="I17" s="24"/>
      <c r="J17" s="24"/>
      <c r="K17" s="24"/>
      <c r="L17" s="24"/>
      <c r="M17" s="24"/>
      <c r="N17" s="24"/>
      <c r="O17" s="24"/>
      <c r="P17" s="24"/>
      <c r="Q17" s="24"/>
      <c r="R17" s="24"/>
      <c r="S17" s="24"/>
      <c r="T17" s="24"/>
      <c r="U17" s="24"/>
      <c r="V17" s="24"/>
      <c r="W17" s="24"/>
    </row>
    <row r="18" spans="1:23" x14ac:dyDescent="0.3">
      <c r="A18" s="24"/>
      <c r="B18" s="24"/>
      <c r="C18" s="24"/>
      <c r="D18" s="24"/>
      <c r="E18" s="24"/>
      <c r="F18" s="24"/>
      <c r="G18" s="24"/>
      <c r="H18" s="24"/>
      <c r="I18" s="24"/>
      <c r="J18" s="24"/>
      <c r="K18" s="24"/>
      <c r="L18" s="24"/>
      <c r="M18" s="24"/>
      <c r="N18" s="24"/>
      <c r="O18" s="24"/>
      <c r="P18" s="24"/>
      <c r="Q18" s="24"/>
      <c r="R18" s="24"/>
      <c r="S18" s="24"/>
      <c r="T18" s="24"/>
      <c r="U18" s="24"/>
      <c r="V18" s="24"/>
      <c r="W18" s="24"/>
    </row>
    <row r="19" spans="1:23" x14ac:dyDescent="0.3">
      <c r="A19" s="24"/>
      <c r="B19" s="24"/>
      <c r="C19" s="24"/>
      <c r="D19" s="24"/>
      <c r="E19" s="24"/>
      <c r="F19" s="24"/>
      <c r="G19" s="24"/>
      <c r="H19" s="24"/>
      <c r="I19" s="24"/>
      <c r="J19" s="24"/>
      <c r="K19" s="24"/>
      <c r="L19" s="24"/>
      <c r="M19" s="24"/>
      <c r="N19" s="24"/>
      <c r="O19" s="24"/>
      <c r="P19" s="24"/>
      <c r="Q19" s="24"/>
      <c r="R19" s="24"/>
      <c r="S19" s="24"/>
      <c r="T19" s="24"/>
      <c r="U19" s="24"/>
      <c r="V19" s="24"/>
      <c r="W19" s="24"/>
    </row>
    <row r="20" spans="1:23" x14ac:dyDescent="0.3">
      <c r="A20" s="24"/>
      <c r="B20" s="24"/>
      <c r="C20" s="24"/>
      <c r="D20" s="24"/>
      <c r="E20" s="24"/>
      <c r="F20" s="24"/>
      <c r="G20" s="24"/>
      <c r="H20" s="24"/>
      <c r="I20" s="24"/>
      <c r="J20" s="24"/>
      <c r="K20" s="24"/>
      <c r="L20" s="24"/>
      <c r="M20" s="24"/>
      <c r="N20" s="24"/>
      <c r="O20" s="24"/>
      <c r="P20" s="24"/>
      <c r="Q20" s="24"/>
      <c r="R20" s="24"/>
      <c r="S20" s="24"/>
      <c r="T20" s="24"/>
      <c r="U20" s="24"/>
      <c r="V20" s="24"/>
      <c r="W20" s="24"/>
    </row>
    <row r="21" spans="1:23" x14ac:dyDescent="0.3">
      <c r="A21" s="24"/>
      <c r="B21" s="24"/>
      <c r="C21" s="24"/>
      <c r="D21" s="24"/>
      <c r="E21" s="24"/>
      <c r="F21" s="24"/>
      <c r="G21" s="24"/>
      <c r="H21" s="24"/>
      <c r="I21" s="24"/>
      <c r="J21" s="24"/>
      <c r="K21" s="24"/>
      <c r="L21" s="24"/>
      <c r="M21" s="24"/>
      <c r="N21" s="24"/>
      <c r="O21" s="24"/>
      <c r="P21" s="32"/>
      <c r="Q21" s="33" t="str" cm="1">
        <f t="array" ref="Q21:U21">Pivot!B92:F92</f>
        <v>R01</v>
      </c>
      <c r="R21" s="33" t="str">
        <v>R02</v>
      </c>
      <c r="S21" s="33" t="str">
        <v>R03</v>
      </c>
      <c r="T21" s="33" t="str">
        <v>R04</v>
      </c>
      <c r="U21" s="33" t="str">
        <v>R05</v>
      </c>
      <c r="V21" s="34" t="s">
        <v>1073</v>
      </c>
      <c r="W21" s="24"/>
    </row>
    <row r="22" spans="1:23" x14ac:dyDescent="0.3">
      <c r="A22" s="24"/>
      <c r="B22" s="24"/>
      <c r="C22" s="24"/>
      <c r="D22" s="24"/>
      <c r="E22" s="24"/>
      <c r="F22" s="24"/>
      <c r="G22" s="24"/>
      <c r="H22" s="24"/>
      <c r="I22" s="24"/>
      <c r="J22" s="24"/>
      <c r="K22" s="24"/>
      <c r="L22" s="24"/>
      <c r="M22" s="24"/>
      <c r="N22" s="24"/>
      <c r="O22" s="24"/>
      <c r="P22" s="35" t="str" cm="1">
        <f t="array" ref="P22:V40">IF(Pivot!A93:G111=0,"",Pivot!A93:G111)</f>
        <v>Cincinnati</v>
      </c>
      <c r="Q22" s="36" t="str">
        <v/>
      </c>
      <c r="R22" s="36" t="str">
        <v/>
      </c>
      <c r="S22" s="36" t="str">
        <v/>
      </c>
      <c r="T22" s="36" t="str">
        <v/>
      </c>
      <c r="U22" s="36" t="str">
        <v/>
      </c>
      <c r="V22" s="37" t="str">
        <v/>
      </c>
      <c r="W22" s="24"/>
    </row>
    <row r="23" spans="1:23" x14ac:dyDescent="0.3">
      <c r="A23" s="24"/>
      <c r="B23" s="24"/>
      <c r="C23" s="24"/>
      <c r="D23" s="24"/>
      <c r="E23" s="24"/>
      <c r="F23" s="24"/>
      <c r="G23" s="24"/>
      <c r="H23" s="24"/>
      <c r="I23" s="24"/>
      <c r="J23" s="24"/>
      <c r="K23" s="24"/>
      <c r="L23" s="24"/>
      <c r="M23" s="24"/>
      <c r="N23" s="24"/>
      <c r="O23" s="24"/>
      <c r="P23" s="38" t="str">
        <v>C0003</v>
      </c>
      <c r="Q23" s="39">
        <v>891</v>
      </c>
      <c r="R23" s="39">
        <v>1332</v>
      </c>
      <c r="S23" s="39">
        <v>1282</v>
      </c>
      <c r="T23" s="39">
        <v>739</v>
      </c>
      <c r="U23" s="39">
        <v>560</v>
      </c>
      <c r="V23" s="40">
        <v>4804</v>
      </c>
      <c r="W23" s="24"/>
    </row>
    <row r="24" spans="1:23" x14ac:dyDescent="0.3">
      <c r="A24" s="24"/>
      <c r="B24" s="24"/>
      <c r="C24" s="24"/>
      <c r="D24" s="24"/>
      <c r="E24" s="24"/>
      <c r="F24" s="24"/>
      <c r="G24" s="24"/>
      <c r="H24" s="24"/>
      <c r="I24" s="24"/>
      <c r="J24" s="24"/>
      <c r="K24" s="24"/>
      <c r="L24" s="24"/>
      <c r="M24" s="24"/>
      <c r="N24" s="24"/>
      <c r="O24" s="24"/>
      <c r="P24" s="38" t="str">
        <v>C0004</v>
      </c>
      <c r="Q24" s="39">
        <v>1991</v>
      </c>
      <c r="R24" s="39">
        <v>1886</v>
      </c>
      <c r="S24" s="39">
        <v>1206</v>
      </c>
      <c r="T24" s="39">
        <v>884</v>
      </c>
      <c r="U24" s="39">
        <v>1722</v>
      </c>
      <c r="V24" s="40">
        <v>7689</v>
      </c>
      <c r="W24" s="24"/>
    </row>
    <row r="25" spans="1:23" x14ac:dyDescent="0.3">
      <c r="A25" s="24"/>
      <c r="B25" s="24"/>
      <c r="C25" s="24"/>
      <c r="D25" s="24"/>
      <c r="E25" s="24"/>
      <c r="F25" s="24"/>
      <c r="G25" s="24"/>
      <c r="H25" s="24"/>
      <c r="I25" s="24"/>
      <c r="J25" s="24"/>
      <c r="K25" s="24"/>
      <c r="L25" s="24"/>
      <c r="M25" s="24"/>
      <c r="N25" s="24"/>
      <c r="O25" s="24"/>
      <c r="P25" s="38" t="str">
        <v>C0011</v>
      </c>
      <c r="Q25" s="39">
        <v>1163</v>
      </c>
      <c r="R25" s="39">
        <v>1180</v>
      </c>
      <c r="S25" s="39">
        <v>1616</v>
      </c>
      <c r="T25" s="39">
        <v>1043</v>
      </c>
      <c r="U25" s="39">
        <v>1747</v>
      </c>
      <c r="V25" s="40">
        <v>6749</v>
      </c>
      <c r="W25" s="24"/>
    </row>
    <row r="26" spans="1:23" x14ac:dyDescent="0.3">
      <c r="A26" s="24"/>
      <c r="B26" s="24"/>
      <c r="C26" s="24"/>
      <c r="D26" s="24"/>
      <c r="E26" s="24"/>
      <c r="F26" s="24"/>
      <c r="G26" s="24"/>
      <c r="H26" s="24"/>
      <c r="I26" s="24"/>
      <c r="J26" s="24"/>
      <c r="K26" s="24"/>
      <c r="L26" s="24"/>
      <c r="M26" s="24"/>
      <c r="N26" s="24"/>
      <c r="O26" s="24"/>
      <c r="P26" s="38" t="str">
        <v>C0012</v>
      </c>
      <c r="Q26" s="39">
        <v>1438</v>
      </c>
      <c r="R26" s="39">
        <v>1616</v>
      </c>
      <c r="S26" s="39">
        <v>866</v>
      </c>
      <c r="T26" s="39">
        <v>829</v>
      </c>
      <c r="U26" s="39">
        <v>2070</v>
      </c>
      <c r="V26" s="40">
        <v>6819</v>
      </c>
      <c r="W26" s="24"/>
    </row>
    <row r="27" spans="1:23" x14ac:dyDescent="0.3">
      <c r="A27" s="24"/>
      <c r="B27" s="24"/>
      <c r="C27" s="24"/>
      <c r="D27" s="24"/>
      <c r="E27" s="24"/>
      <c r="F27" s="24"/>
      <c r="G27" s="24"/>
      <c r="H27" s="24"/>
      <c r="I27" s="24"/>
      <c r="J27" s="24"/>
      <c r="K27" s="24"/>
      <c r="L27" s="24"/>
      <c r="M27" s="24"/>
      <c r="N27" s="24"/>
      <c r="O27" s="24"/>
      <c r="P27" s="35" t="str">
        <v>Cleveland</v>
      </c>
      <c r="Q27" s="39" t="str">
        <v/>
      </c>
      <c r="R27" s="39" t="str">
        <v/>
      </c>
      <c r="S27" s="39" t="str">
        <v/>
      </c>
      <c r="T27" s="39" t="str">
        <v/>
      </c>
      <c r="U27" s="39" t="str">
        <v/>
      </c>
      <c r="V27" s="40" t="str">
        <v/>
      </c>
      <c r="W27" s="24"/>
    </row>
    <row r="28" spans="1:23" x14ac:dyDescent="0.3">
      <c r="A28" s="24"/>
      <c r="B28" s="24"/>
      <c r="C28" s="24"/>
      <c r="D28" s="24"/>
      <c r="E28" s="24"/>
      <c r="F28" s="24"/>
      <c r="G28" s="24"/>
      <c r="H28" s="24"/>
      <c r="I28" s="24"/>
      <c r="J28" s="24"/>
      <c r="K28" s="24"/>
      <c r="L28" s="24"/>
      <c r="M28" s="24"/>
      <c r="N28" s="24"/>
      <c r="O28" s="24"/>
      <c r="P28" s="38" t="str">
        <v>C0002</v>
      </c>
      <c r="Q28" s="39">
        <v>1233</v>
      </c>
      <c r="R28" s="39">
        <v>223</v>
      </c>
      <c r="S28" s="39">
        <v>1680</v>
      </c>
      <c r="T28" s="39">
        <v>990</v>
      </c>
      <c r="U28" s="39">
        <v>1508</v>
      </c>
      <c r="V28" s="40">
        <v>5634</v>
      </c>
      <c r="W28" s="24"/>
    </row>
    <row r="29" spans="1:23" x14ac:dyDescent="0.3">
      <c r="A29" s="24"/>
      <c r="B29" s="24"/>
      <c r="C29" s="24"/>
      <c r="D29" s="24"/>
      <c r="E29" s="24"/>
      <c r="F29" s="24"/>
      <c r="G29" s="24"/>
      <c r="H29" s="24"/>
      <c r="I29" s="24"/>
      <c r="J29" s="24"/>
      <c r="K29" s="24"/>
      <c r="L29" s="24"/>
      <c r="M29" s="24"/>
      <c r="N29" s="24"/>
      <c r="O29" s="24"/>
      <c r="P29" s="38" t="str">
        <v>C0007</v>
      </c>
      <c r="Q29" s="39">
        <v>1598</v>
      </c>
      <c r="R29" s="39">
        <v>1907</v>
      </c>
      <c r="S29" s="39">
        <v>869</v>
      </c>
      <c r="T29" s="39">
        <v>1426</v>
      </c>
      <c r="U29" s="39">
        <v>1416</v>
      </c>
      <c r="V29" s="40">
        <v>7216</v>
      </c>
      <c r="W29" s="24"/>
    </row>
    <row r="30" spans="1:23" x14ac:dyDescent="0.3">
      <c r="A30" s="24"/>
      <c r="B30" s="24"/>
      <c r="C30" s="24"/>
      <c r="D30" s="24"/>
      <c r="E30" s="24"/>
      <c r="F30" s="24"/>
      <c r="G30" s="24"/>
      <c r="H30" s="24"/>
      <c r="I30" s="24"/>
      <c r="J30" s="24"/>
      <c r="K30" s="24"/>
      <c r="L30" s="24"/>
      <c r="M30" s="24"/>
      <c r="N30" s="24"/>
      <c r="O30" s="24"/>
      <c r="P30" s="38" t="str">
        <v>C0008</v>
      </c>
      <c r="Q30" s="39">
        <v>900</v>
      </c>
      <c r="R30" s="39">
        <v>1016</v>
      </c>
      <c r="S30" s="39">
        <v>960</v>
      </c>
      <c r="T30" s="39">
        <v>940</v>
      </c>
      <c r="U30" s="39">
        <v>1193</v>
      </c>
      <c r="V30" s="40">
        <v>5009</v>
      </c>
      <c r="W30" s="24"/>
    </row>
    <row r="31" spans="1:23" x14ac:dyDescent="0.3">
      <c r="A31" s="24"/>
      <c r="B31" s="24"/>
      <c r="C31" s="24"/>
      <c r="D31" s="24"/>
      <c r="E31" s="24"/>
      <c r="F31" s="24"/>
      <c r="G31" s="24"/>
      <c r="H31" s="24"/>
      <c r="I31" s="24"/>
      <c r="J31" s="24"/>
      <c r="K31" s="24"/>
      <c r="L31" s="24"/>
      <c r="M31" s="46" t="e" vm="1">
        <f>Pivot!I81</f>
        <v>#VALUE!</v>
      </c>
      <c r="N31" s="46"/>
      <c r="O31" s="47"/>
      <c r="P31" s="38" t="str">
        <v>C0010</v>
      </c>
      <c r="Q31" s="39">
        <v>900</v>
      </c>
      <c r="R31" s="39">
        <v>1470</v>
      </c>
      <c r="S31" s="39">
        <v>1617</v>
      </c>
      <c r="T31" s="39">
        <v>1314</v>
      </c>
      <c r="U31" s="39">
        <v>941</v>
      </c>
      <c r="V31" s="40">
        <v>6242</v>
      </c>
      <c r="W31" s="24"/>
    </row>
    <row r="32" spans="1:23" x14ac:dyDescent="0.3">
      <c r="A32" s="24"/>
      <c r="B32" s="24"/>
      <c r="C32" s="24"/>
      <c r="D32" s="24"/>
      <c r="E32" s="24"/>
      <c r="F32" s="24"/>
      <c r="G32" s="24"/>
      <c r="H32" s="24"/>
      <c r="I32" s="24"/>
      <c r="J32" s="24"/>
      <c r="K32" s="24"/>
      <c r="L32" s="24"/>
      <c r="M32" s="46"/>
      <c r="N32" s="46"/>
      <c r="O32" s="47"/>
      <c r="P32" s="38" t="str">
        <v>C0013</v>
      </c>
      <c r="Q32" s="39">
        <v>1255</v>
      </c>
      <c r="R32" s="39">
        <v>516</v>
      </c>
      <c r="S32" s="39">
        <v>1874</v>
      </c>
      <c r="T32" s="39">
        <v>1863</v>
      </c>
      <c r="U32" s="39">
        <v>1722</v>
      </c>
      <c r="V32" s="40">
        <v>7230</v>
      </c>
      <c r="W32" s="24"/>
    </row>
    <row r="33" spans="1:23" x14ac:dyDescent="0.3">
      <c r="A33" s="24"/>
      <c r="B33" s="24"/>
      <c r="C33" s="24"/>
      <c r="D33" s="24"/>
      <c r="E33" s="24"/>
      <c r="F33" s="24"/>
      <c r="G33" s="24"/>
      <c r="H33" s="24"/>
      <c r="I33" s="24"/>
      <c r="J33" s="24"/>
      <c r="K33" s="24"/>
      <c r="L33" s="24"/>
      <c r="M33" s="46"/>
      <c r="N33" s="46"/>
      <c r="O33" s="47"/>
      <c r="P33" s="38" t="str">
        <v>C0015</v>
      </c>
      <c r="Q33" s="39">
        <v>1138</v>
      </c>
      <c r="R33" s="39">
        <v>1898</v>
      </c>
      <c r="S33" s="39">
        <v>1482</v>
      </c>
      <c r="T33" s="39">
        <v>846</v>
      </c>
      <c r="U33" s="39">
        <v>1154</v>
      </c>
      <c r="V33" s="40">
        <v>6518</v>
      </c>
      <c r="W33" s="24"/>
    </row>
    <row r="34" spans="1:23" x14ac:dyDescent="0.3">
      <c r="A34" s="24"/>
      <c r="B34" s="24"/>
      <c r="C34" s="24"/>
      <c r="D34" s="24"/>
      <c r="E34" s="24"/>
      <c r="F34" s="24"/>
      <c r="G34" s="24"/>
      <c r="H34" s="24"/>
      <c r="I34" s="24"/>
      <c r="J34" s="24"/>
      <c r="K34" s="24"/>
      <c r="L34" s="24"/>
      <c r="M34" s="24"/>
      <c r="N34" s="29" t="str">
        <f>Pivot!I78</f>
        <v>% of calls : 19%</v>
      </c>
      <c r="O34" s="24"/>
      <c r="P34" s="35" t="str">
        <v>Columbus</v>
      </c>
      <c r="Q34" s="39" t="str">
        <v/>
      </c>
      <c r="R34" s="39" t="str">
        <v/>
      </c>
      <c r="S34" s="39" t="str">
        <v/>
      </c>
      <c r="T34" s="39" t="str">
        <v/>
      </c>
      <c r="U34" s="39" t="str">
        <v/>
      </c>
      <c r="V34" s="40" t="str">
        <v/>
      </c>
      <c r="W34" s="24"/>
    </row>
    <row r="35" spans="1:23" x14ac:dyDescent="0.3">
      <c r="A35" s="24"/>
      <c r="B35" s="24"/>
      <c r="C35" s="24"/>
      <c r="D35" s="24"/>
      <c r="E35" s="24"/>
      <c r="F35" s="24"/>
      <c r="G35" s="24"/>
      <c r="H35" s="24"/>
      <c r="I35" s="24"/>
      <c r="J35" s="24"/>
      <c r="K35" s="24"/>
      <c r="L35" s="24"/>
      <c r="M35" s="24"/>
      <c r="N35" s="29" t="str">
        <f>Pivot!I79</f>
        <v>Call rank : 5</v>
      </c>
      <c r="O35" s="24"/>
      <c r="P35" s="38" t="str">
        <v>C0001</v>
      </c>
      <c r="Q35" s="39">
        <v>1655</v>
      </c>
      <c r="R35" s="39">
        <v>805</v>
      </c>
      <c r="S35" s="39">
        <v>2263</v>
      </c>
      <c r="T35" s="39">
        <v>987</v>
      </c>
      <c r="U35" s="39">
        <v>1075</v>
      </c>
      <c r="V35" s="40">
        <v>6785</v>
      </c>
      <c r="W35" s="24"/>
    </row>
    <row r="36" spans="1:23" x14ac:dyDescent="0.3">
      <c r="A36" s="24"/>
      <c r="B36" s="24"/>
      <c r="C36" s="24"/>
      <c r="D36" s="24"/>
      <c r="E36" s="24"/>
      <c r="F36" s="24"/>
      <c r="G36" s="24"/>
      <c r="H36" s="24"/>
      <c r="I36" s="24"/>
      <c r="J36" s="24"/>
      <c r="K36" s="24"/>
      <c r="L36" s="24"/>
      <c r="M36" s="24"/>
      <c r="N36" s="29" t="str">
        <f>Pivot!I80</f>
        <v>Amount Rank : 5</v>
      </c>
      <c r="O36" s="24"/>
      <c r="P36" s="38" t="str">
        <v>C0005</v>
      </c>
      <c r="Q36" s="39">
        <v>1104</v>
      </c>
      <c r="R36" s="39">
        <v>2280</v>
      </c>
      <c r="S36" s="39">
        <v>1445</v>
      </c>
      <c r="T36" s="39">
        <v>1722</v>
      </c>
      <c r="U36" s="39">
        <v>1196</v>
      </c>
      <c r="V36" s="40">
        <v>7747</v>
      </c>
      <c r="W36" s="24"/>
    </row>
    <row r="37" spans="1:23" x14ac:dyDescent="0.3">
      <c r="A37" s="24"/>
      <c r="B37" s="24"/>
      <c r="C37" s="24"/>
      <c r="D37" s="24"/>
      <c r="E37" s="24"/>
      <c r="F37" s="24"/>
      <c r="G37" s="24"/>
      <c r="H37" s="24"/>
      <c r="I37" s="24"/>
      <c r="J37" s="24"/>
      <c r="K37" s="24"/>
      <c r="L37" s="24"/>
      <c r="M37" s="24"/>
      <c r="N37" s="24"/>
      <c r="O37" s="24"/>
      <c r="P37" s="38" t="str">
        <v>C0006</v>
      </c>
      <c r="Q37" s="39">
        <v>372</v>
      </c>
      <c r="R37" s="39">
        <v>1818</v>
      </c>
      <c r="S37" s="39">
        <v>1346</v>
      </c>
      <c r="T37" s="39">
        <v>1156</v>
      </c>
      <c r="U37" s="39">
        <v>1484</v>
      </c>
      <c r="V37" s="40">
        <v>6176</v>
      </c>
      <c r="W37" s="24"/>
    </row>
    <row r="38" spans="1:23" x14ac:dyDescent="0.3">
      <c r="A38" s="24"/>
      <c r="B38" s="24"/>
      <c r="C38" s="24"/>
      <c r="D38" s="24"/>
      <c r="E38" s="24"/>
      <c r="F38" s="24"/>
      <c r="G38" s="24"/>
      <c r="H38" s="24"/>
      <c r="I38" s="24"/>
      <c r="J38" s="24"/>
      <c r="K38" s="24"/>
      <c r="L38" s="24"/>
      <c r="M38" s="24"/>
      <c r="N38" s="24"/>
      <c r="O38" s="24"/>
      <c r="P38" s="38" t="str">
        <v>C0009</v>
      </c>
      <c r="Q38" s="39">
        <v>1415</v>
      </c>
      <c r="R38" s="39">
        <v>1271</v>
      </c>
      <c r="S38" s="39">
        <v>1214</v>
      </c>
      <c r="T38" s="39">
        <v>1135</v>
      </c>
      <c r="U38" s="39">
        <v>1566</v>
      </c>
      <c r="V38" s="40">
        <v>6601</v>
      </c>
      <c r="W38" s="24"/>
    </row>
    <row r="39" spans="1:23" x14ac:dyDescent="0.3">
      <c r="A39" s="24"/>
      <c r="B39" s="24"/>
      <c r="C39" s="24"/>
      <c r="D39" s="24"/>
      <c r="E39" s="24"/>
      <c r="F39" s="24"/>
      <c r="G39" s="24"/>
      <c r="H39" s="24"/>
      <c r="I39" s="24"/>
      <c r="J39" s="24"/>
      <c r="K39" s="24"/>
      <c r="L39" s="24"/>
      <c r="M39" s="24"/>
      <c r="N39" s="24"/>
      <c r="O39" s="24"/>
      <c r="P39" s="41" t="str">
        <v>C0014</v>
      </c>
      <c r="Q39" s="42">
        <v>1362</v>
      </c>
      <c r="R39" s="42">
        <v>1363</v>
      </c>
      <c r="S39" s="42">
        <v>1152</v>
      </c>
      <c r="T39" s="42">
        <v>777</v>
      </c>
      <c r="U39" s="42">
        <v>750</v>
      </c>
      <c r="V39" s="43">
        <v>5404</v>
      </c>
      <c r="W39" s="24"/>
    </row>
    <row r="40" spans="1:23" x14ac:dyDescent="0.3">
      <c r="A40" s="24"/>
      <c r="B40" s="24"/>
      <c r="C40" s="24"/>
      <c r="D40" s="24"/>
      <c r="E40" s="24"/>
      <c r="F40" s="24"/>
      <c r="G40" s="24"/>
      <c r="H40" s="24"/>
      <c r="I40" s="24"/>
      <c r="J40" s="24"/>
      <c r="K40" s="24"/>
      <c r="L40" s="24"/>
      <c r="M40" s="24"/>
      <c r="N40" s="24"/>
      <c r="O40" s="24"/>
      <c r="P40" s="30" t="str">
        <v/>
      </c>
      <c r="Q40" s="31" t="str">
        <v/>
      </c>
      <c r="R40" s="31" t="str">
        <v/>
      </c>
      <c r="S40" s="31" t="str">
        <v/>
      </c>
      <c r="T40" s="31" t="str">
        <v/>
      </c>
      <c r="U40" s="31" t="str">
        <v/>
      </c>
      <c r="V40" s="31" t="str">
        <v/>
      </c>
      <c r="W40" s="24"/>
    </row>
    <row r="41" spans="1:23" x14ac:dyDescent="0.3">
      <c r="A41" s="24"/>
      <c r="B41" s="24"/>
      <c r="C41" s="24"/>
      <c r="D41" s="24"/>
      <c r="E41" s="24"/>
      <c r="F41" s="24"/>
      <c r="G41" s="24"/>
      <c r="H41" s="24"/>
      <c r="I41" s="24"/>
      <c r="J41" s="24"/>
      <c r="K41" s="24"/>
      <c r="L41" s="24"/>
      <c r="M41" s="24"/>
      <c r="N41" s="24"/>
      <c r="O41" s="24"/>
      <c r="P41" s="24"/>
      <c r="Q41" s="24"/>
      <c r="R41" s="24"/>
      <c r="S41" s="24"/>
      <c r="T41" s="24"/>
      <c r="U41" s="24"/>
      <c r="V41" s="24"/>
      <c r="W41" s="24"/>
    </row>
    <row r="42" spans="1:23" x14ac:dyDescent="0.3">
      <c r="A42" s="24"/>
      <c r="B42" s="24"/>
      <c r="C42" s="24"/>
      <c r="D42" s="24"/>
      <c r="E42" s="24"/>
      <c r="F42" s="24"/>
      <c r="G42" s="24"/>
      <c r="H42" s="24"/>
      <c r="I42" s="24"/>
      <c r="J42" s="24"/>
      <c r="K42" s="24"/>
      <c r="L42" s="24"/>
      <c r="M42" s="24"/>
      <c r="N42" s="24"/>
      <c r="O42" s="24"/>
      <c r="P42" s="24"/>
      <c r="Q42" s="24"/>
      <c r="R42" s="24"/>
      <c r="S42" s="24"/>
      <c r="T42" s="24"/>
      <c r="U42" s="24"/>
      <c r="V42" s="24"/>
      <c r="W42" s="24"/>
    </row>
    <row r="43" spans="1:23" x14ac:dyDescent="0.3">
      <c r="A43" s="24"/>
      <c r="B43" s="24"/>
      <c r="C43" s="24"/>
      <c r="D43" s="24"/>
      <c r="E43" s="24"/>
      <c r="F43" s="24"/>
      <c r="G43" s="24"/>
      <c r="H43" s="24"/>
      <c r="I43" s="24"/>
      <c r="J43" s="24"/>
      <c r="K43" s="24"/>
      <c r="L43" s="24"/>
      <c r="M43" s="24"/>
      <c r="N43" s="24"/>
      <c r="O43" s="24"/>
      <c r="P43" s="24"/>
      <c r="Q43" s="24"/>
      <c r="R43" s="24"/>
      <c r="S43" s="24"/>
      <c r="T43" s="24"/>
      <c r="U43" s="24"/>
      <c r="V43" s="24"/>
      <c r="W43" s="24"/>
    </row>
    <row r="44" spans="1:23" x14ac:dyDescent="0.3">
      <c r="A44" s="24"/>
      <c r="B44" s="24"/>
      <c r="C44" s="24"/>
      <c r="D44" s="24"/>
      <c r="E44" s="24"/>
      <c r="F44" s="24"/>
      <c r="G44" s="24"/>
      <c r="H44" s="24"/>
      <c r="I44" s="24"/>
      <c r="J44" s="24"/>
      <c r="K44" s="24"/>
      <c r="L44" s="24"/>
      <c r="M44" s="24"/>
      <c r="N44" s="24"/>
      <c r="O44" s="24"/>
      <c r="P44" s="24"/>
      <c r="Q44" s="24"/>
      <c r="R44" s="24"/>
      <c r="S44" s="24"/>
      <c r="T44" s="24"/>
      <c r="U44" s="24"/>
      <c r="V44" s="24"/>
      <c r="W44" s="24"/>
    </row>
    <row r="45" spans="1:23" x14ac:dyDescent="0.3">
      <c r="A45" s="24"/>
      <c r="B45" s="24"/>
      <c r="C45" s="24"/>
      <c r="D45" s="24"/>
      <c r="E45" s="24"/>
      <c r="F45" s="24"/>
      <c r="G45" s="24"/>
      <c r="H45" s="24"/>
      <c r="I45" s="24"/>
      <c r="J45" s="24"/>
      <c r="K45" s="24"/>
      <c r="L45" s="24"/>
      <c r="M45" s="24"/>
      <c r="N45" s="24"/>
      <c r="O45" s="24"/>
      <c r="P45" s="24"/>
      <c r="Q45" s="24"/>
      <c r="R45" s="24"/>
      <c r="S45" s="24"/>
      <c r="T45" s="24"/>
      <c r="U45" s="24"/>
      <c r="V45" s="24"/>
      <c r="W45" s="24"/>
    </row>
    <row r="46" spans="1:23" x14ac:dyDescent="0.3">
      <c r="A46" s="24"/>
      <c r="B46" s="24"/>
      <c r="C46" s="24"/>
      <c r="D46" s="24"/>
      <c r="E46" s="24"/>
      <c r="F46" s="24"/>
      <c r="G46" s="24"/>
      <c r="H46" s="24"/>
      <c r="I46" s="24"/>
      <c r="J46" s="24"/>
      <c r="K46" s="24"/>
      <c r="L46" s="24"/>
      <c r="M46" s="24"/>
      <c r="N46" s="24"/>
      <c r="O46" s="24"/>
      <c r="P46" s="24"/>
      <c r="Q46" s="24"/>
      <c r="R46" s="24"/>
      <c r="S46" s="24"/>
      <c r="T46" s="24"/>
      <c r="U46" s="24"/>
      <c r="V46" s="24"/>
      <c r="W46" s="24"/>
    </row>
    <row r="47" spans="1:23" x14ac:dyDescent="0.3">
      <c r="A47" s="24"/>
      <c r="B47" s="24"/>
      <c r="C47" s="24"/>
      <c r="D47" s="24"/>
      <c r="E47" s="24"/>
      <c r="F47" s="24"/>
      <c r="G47" s="24"/>
      <c r="H47" s="24"/>
      <c r="I47" s="24"/>
      <c r="J47" s="24"/>
      <c r="K47" s="24"/>
      <c r="L47" s="24"/>
      <c r="M47" s="24"/>
      <c r="N47" s="24"/>
      <c r="O47" s="24"/>
      <c r="P47" s="24"/>
      <c r="Q47" s="24"/>
      <c r="R47" s="24"/>
      <c r="S47" s="24"/>
      <c r="T47" s="24"/>
      <c r="U47" s="24"/>
      <c r="V47" s="24"/>
      <c r="W47" s="24"/>
    </row>
    <row r="48" spans="1:23" x14ac:dyDescent="0.3">
      <c r="A48" s="24"/>
      <c r="B48" s="24"/>
      <c r="C48" s="24"/>
      <c r="D48" s="24"/>
      <c r="E48" s="24"/>
      <c r="F48" s="24"/>
      <c r="G48" s="24"/>
      <c r="H48" s="24"/>
      <c r="I48" s="24"/>
      <c r="J48" s="24"/>
      <c r="K48" s="24"/>
      <c r="L48" s="24"/>
      <c r="M48" s="24"/>
      <c r="N48" s="24"/>
      <c r="O48" s="24"/>
      <c r="P48" s="24"/>
      <c r="Q48" s="24"/>
      <c r="R48" s="24"/>
      <c r="S48" s="24"/>
      <c r="T48" s="24"/>
      <c r="U48" s="24"/>
      <c r="V48" s="24"/>
      <c r="W48" s="24"/>
    </row>
    <row r="49" spans="1:23" x14ac:dyDescent="0.3">
      <c r="A49" s="24"/>
      <c r="B49" s="24"/>
      <c r="C49" s="24"/>
      <c r="D49" s="24"/>
      <c r="E49" s="24"/>
      <c r="F49" s="24"/>
      <c r="G49" s="24"/>
      <c r="H49" s="24"/>
      <c r="I49" s="24"/>
      <c r="J49" s="24"/>
      <c r="K49" s="24"/>
      <c r="L49" s="24"/>
      <c r="M49" s="24"/>
      <c r="N49" s="24"/>
      <c r="O49" s="24"/>
      <c r="P49" s="24"/>
      <c r="Q49" s="24"/>
      <c r="R49" s="24"/>
      <c r="S49" s="24"/>
      <c r="T49" s="24"/>
      <c r="U49" s="24"/>
      <c r="V49" s="24"/>
      <c r="W49" s="24"/>
    </row>
    <row r="50" spans="1:23" x14ac:dyDescent="0.3">
      <c r="A50" s="24"/>
      <c r="B50" s="24"/>
      <c r="C50" s="24"/>
      <c r="D50" s="24"/>
      <c r="E50" s="24"/>
      <c r="F50" s="24"/>
      <c r="G50" s="24"/>
      <c r="H50" s="24"/>
      <c r="I50" s="24"/>
      <c r="J50" s="24"/>
      <c r="K50" s="24"/>
      <c r="L50" s="24"/>
      <c r="M50" s="24"/>
      <c r="N50" s="24"/>
      <c r="O50" s="24"/>
      <c r="P50" s="24"/>
      <c r="Q50" s="24"/>
      <c r="R50" s="24"/>
      <c r="S50" s="24"/>
      <c r="T50" s="24"/>
      <c r="U50" s="24"/>
      <c r="V50" s="24"/>
      <c r="W50" s="24"/>
    </row>
    <row r="51" spans="1:23" x14ac:dyDescent="0.3">
      <c r="A51" s="24"/>
      <c r="B51" s="24"/>
      <c r="C51" s="24"/>
      <c r="D51" s="24"/>
      <c r="E51" s="24"/>
      <c r="F51" s="24"/>
      <c r="G51" s="24"/>
      <c r="H51" s="24"/>
      <c r="I51" s="24"/>
      <c r="J51" s="24"/>
      <c r="K51" s="24"/>
      <c r="L51" s="24"/>
      <c r="M51" s="24"/>
      <c r="N51" s="24"/>
      <c r="O51" s="24"/>
      <c r="P51" s="24"/>
      <c r="Q51" s="24"/>
      <c r="R51" s="24"/>
      <c r="S51" s="24"/>
      <c r="T51" s="24"/>
      <c r="U51" s="24"/>
      <c r="V51" s="24"/>
      <c r="W51" s="24"/>
    </row>
    <row r="52" spans="1:23" x14ac:dyDescent="0.3">
      <c r="A52" s="24"/>
      <c r="B52" s="24"/>
      <c r="C52" s="24"/>
      <c r="D52" s="24"/>
      <c r="E52" s="24"/>
      <c r="F52" s="24"/>
      <c r="G52" s="24"/>
      <c r="H52" s="24"/>
      <c r="I52" s="24"/>
      <c r="J52" s="24"/>
      <c r="K52" s="24"/>
      <c r="L52" s="24"/>
      <c r="M52" s="24"/>
      <c r="N52" s="24"/>
      <c r="O52" s="24"/>
      <c r="P52" s="24"/>
      <c r="Q52" s="24"/>
      <c r="R52" s="24"/>
      <c r="S52" s="24"/>
      <c r="T52" s="24"/>
      <c r="U52" s="24"/>
      <c r="V52" s="24"/>
      <c r="W52" s="24"/>
    </row>
    <row r="53" spans="1:23" x14ac:dyDescent="0.3">
      <c r="A53" s="24"/>
      <c r="B53" s="24"/>
      <c r="C53" s="24"/>
      <c r="D53" s="24"/>
      <c r="E53" s="24"/>
      <c r="F53" s="24"/>
      <c r="G53" s="24"/>
      <c r="H53" s="24"/>
      <c r="I53" s="24"/>
      <c r="J53" s="24"/>
      <c r="K53" s="24"/>
      <c r="L53" s="24"/>
      <c r="M53" s="24"/>
      <c r="N53" s="24"/>
      <c r="O53" s="24"/>
      <c r="P53" s="24"/>
      <c r="Q53" s="24"/>
      <c r="R53" s="24"/>
      <c r="S53" s="24"/>
      <c r="T53" s="24"/>
      <c r="U53" s="24"/>
      <c r="V53" s="24"/>
      <c r="W53" s="24"/>
    </row>
    <row r="54" spans="1:23" x14ac:dyDescent="0.3">
      <c r="A54" s="24"/>
      <c r="B54" s="24"/>
      <c r="C54" s="24"/>
      <c r="D54" s="24"/>
      <c r="E54" s="24"/>
      <c r="F54" s="24"/>
      <c r="G54" s="24"/>
      <c r="H54" s="24"/>
      <c r="I54" s="24"/>
      <c r="J54" s="24"/>
      <c r="K54" s="24"/>
      <c r="L54" s="24"/>
      <c r="M54" s="24"/>
      <c r="N54" s="24"/>
      <c r="O54" s="24"/>
      <c r="P54" s="24"/>
      <c r="Q54" s="24"/>
      <c r="R54" s="24"/>
      <c r="S54" s="24"/>
      <c r="T54" s="24"/>
      <c r="U54" s="24"/>
      <c r="V54" s="24"/>
      <c r="W54" s="24"/>
    </row>
    <row r="55" spans="1:23" x14ac:dyDescent="0.3">
      <c r="A55" s="24"/>
      <c r="B55" s="24"/>
      <c r="C55" s="24"/>
      <c r="D55" s="24"/>
      <c r="E55" s="24"/>
      <c r="F55" s="24"/>
      <c r="G55" s="24"/>
      <c r="H55" s="24"/>
      <c r="I55" s="24"/>
      <c r="J55" s="24"/>
      <c r="K55" s="24"/>
      <c r="L55" s="24"/>
      <c r="M55" s="24"/>
      <c r="N55" s="24"/>
      <c r="O55" s="24"/>
      <c r="P55" s="24"/>
      <c r="Q55" s="24"/>
      <c r="R55" s="24"/>
      <c r="S55" s="24"/>
      <c r="T55" s="24"/>
      <c r="U55" s="24"/>
      <c r="V55" s="24"/>
      <c r="W55" s="24"/>
    </row>
    <row r="56" spans="1:23" x14ac:dyDescent="0.3">
      <c r="A56" s="24"/>
      <c r="B56" s="24"/>
      <c r="C56" s="24"/>
      <c r="D56" s="24"/>
      <c r="E56" s="24"/>
      <c r="F56" s="24"/>
      <c r="G56" s="24"/>
      <c r="H56" s="24"/>
      <c r="I56" s="24"/>
      <c r="J56" s="24"/>
      <c r="K56" s="24"/>
      <c r="L56" s="24"/>
      <c r="M56" s="24"/>
      <c r="N56" s="24"/>
      <c r="O56" s="24"/>
      <c r="P56" s="24"/>
      <c r="Q56" s="24"/>
      <c r="R56" s="24"/>
      <c r="S56" s="24"/>
      <c r="T56" s="24"/>
      <c r="U56" s="24"/>
      <c r="V56" s="24"/>
      <c r="W56" s="24"/>
    </row>
    <row r="57" spans="1:23" x14ac:dyDescent="0.3">
      <c r="A57" s="24"/>
      <c r="B57" s="24"/>
      <c r="C57" s="24"/>
      <c r="D57" s="24"/>
      <c r="E57" s="24"/>
      <c r="F57" s="24"/>
      <c r="G57" s="24"/>
      <c r="H57" s="24"/>
      <c r="I57" s="24"/>
      <c r="J57" s="24"/>
      <c r="K57" s="24"/>
      <c r="L57" s="24"/>
      <c r="M57" s="24"/>
      <c r="N57" s="24"/>
      <c r="O57" s="24"/>
      <c r="P57" s="24"/>
      <c r="Q57" s="24"/>
      <c r="R57" s="24"/>
      <c r="S57" s="24"/>
      <c r="T57" s="24"/>
      <c r="U57" s="24"/>
      <c r="V57" s="24"/>
      <c r="W57" s="24"/>
    </row>
    <row r="58" spans="1:23" x14ac:dyDescent="0.3">
      <c r="A58" s="24"/>
      <c r="B58" s="24"/>
      <c r="C58" s="24"/>
      <c r="D58" s="24"/>
      <c r="E58" s="24"/>
      <c r="F58" s="24"/>
      <c r="G58" s="24"/>
      <c r="H58" s="24"/>
      <c r="I58" s="24"/>
      <c r="J58" s="24"/>
      <c r="K58" s="24"/>
      <c r="L58" s="24"/>
      <c r="M58" s="24"/>
      <c r="N58" s="24"/>
      <c r="O58" s="24"/>
      <c r="P58" s="24"/>
      <c r="Q58" s="24"/>
      <c r="R58" s="24"/>
      <c r="S58" s="24"/>
      <c r="T58" s="24"/>
      <c r="U58" s="24"/>
      <c r="V58" s="24"/>
      <c r="W58" s="24"/>
    </row>
    <row r="59" spans="1:23" x14ac:dyDescent="0.3">
      <c r="A59" s="24"/>
      <c r="B59" s="24"/>
      <c r="C59" s="24"/>
      <c r="D59" s="24"/>
      <c r="E59" s="24"/>
      <c r="F59" s="24"/>
      <c r="G59" s="24"/>
      <c r="H59" s="24"/>
      <c r="I59" s="24"/>
      <c r="J59" s="24"/>
      <c r="K59" s="24"/>
      <c r="L59" s="24"/>
      <c r="M59" s="24"/>
      <c r="N59" s="24"/>
      <c r="O59" s="24"/>
      <c r="P59" s="24"/>
      <c r="Q59" s="24"/>
      <c r="R59" s="24"/>
      <c r="S59" s="24"/>
      <c r="T59" s="24"/>
      <c r="U59" s="24"/>
      <c r="V59" s="24"/>
      <c r="W59" s="24"/>
    </row>
    <row r="60" spans="1:23" x14ac:dyDescent="0.3">
      <c r="A60" s="24"/>
      <c r="B60" s="24"/>
      <c r="C60" s="24"/>
      <c r="D60" s="24"/>
      <c r="E60" s="24"/>
      <c r="F60" s="24"/>
      <c r="G60" s="24"/>
      <c r="H60" s="24"/>
      <c r="I60" s="24"/>
      <c r="J60" s="24"/>
      <c r="K60" s="24"/>
      <c r="L60" s="24"/>
      <c r="M60" s="24"/>
      <c r="N60" s="24"/>
      <c r="O60" s="24"/>
      <c r="P60" s="24"/>
      <c r="Q60" s="24"/>
      <c r="R60" s="24"/>
      <c r="S60" s="24"/>
      <c r="T60" s="24"/>
      <c r="U60" s="24"/>
      <c r="V60" s="24"/>
      <c r="W60" s="24"/>
    </row>
    <row r="61" spans="1:23" x14ac:dyDescent="0.3">
      <c r="A61" s="24"/>
      <c r="B61" s="24"/>
      <c r="C61" s="24"/>
      <c r="D61" s="24"/>
      <c r="E61" s="24"/>
      <c r="F61" s="24"/>
      <c r="G61" s="24"/>
      <c r="H61" s="24"/>
      <c r="I61" s="24"/>
      <c r="J61" s="24"/>
      <c r="K61" s="24"/>
      <c r="L61" s="24"/>
      <c r="M61" s="24"/>
      <c r="N61" s="24"/>
      <c r="O61" s="24"/>
      <c r="P61" s="24"/>
      <c r="Q61" s="24"/>
      <c r="R61" s="24"/>
      <c r="S61" s="24"/>
      <c r="T61" s="24"/>
      <c r="U61" s="24"/>
      <c r="V61" s="24"/>
      <c r="W61" s="24"/>
    </row>
    <row r="62" spans="1:23" x14ac:dyDescent="0.3">
      <c r="A62" s="24"/>
      <c r="B62" s="24"/>
      <c r="C62" s="24"/>
      <c r="D62" s="24"/>
      <c r="E62" s="24"/>
      <c r="F62" s="24"/>
      <c r="G62" s="24"/>
      <c r="H62" s="24"/>
      <c r="I62" s="24"/>
      <c r="J62" s="24"/>
      <c r="K62" s="24"/>
      <c r="L62" s="24"/>
      <c r="M62" s="24"/>
      <c r="N62" s="24"/>
      <c r="O62" s="24"/>
      <c r="P62" s="24"/>
      <c r="Q62" s="24"/>
      <c r="R62" s="24"/>
      <c r="S62" s="24"/>
      <c r="T62" s="24"/>
      <c r="U62" s="24"/>
      <c r="V62" s="24"/>
      <c r="W62" s="24"/>
    </row>
    <row r="63" spans="1:23" x14ac:dyDescent="0.3">
      <c r="A63" s="24"/>
      <c r="B63" s="24"/>
      <c r="C63" s="24"/>
      <c r="D63" s="24"/>
      <c r="E63" s="24"/>
      <c r="F63" s="24"/>
      <c r="G63" s="24"/>
      <c r="H63" s="24"/>
      <c r="I63" s="24"/>
      <c r="J63" s="24"/>
      <c r="K63" s="24"/>
      <c r="L63" s="24"/>
      <c r="M63" s="24"/>
      <c r="N63" s="24"/>
      <c r="O63" s="24"/>
      <c r="P63" s="24"/>
      <c r="Q63" s="24"/>
      <c r="R63" s="24"/>
      <c r="S63" s="24"/>
      <c r="T63" s="24"/>
      <c r="U63" s="24"/>
      <c r="V63" s="24"/>
      <c r="W63" s="24"/>
    </row>
    <row r="64" spans="1:23" x14ac:dyDescent="0.3">
      <c r="A64" s="24"/>
      <c r="B64" s="24"/>
      <c r="C64" s="24"/>
      <c r="D64" s="24"/>
      <c r="E64" s="24"/>
      <c r="F64" s="24"/>
      <c r="G64" s="24"/>
      <c r="H64" s="24"/>
      <c r="I64" s="24"/>
      <c r="J64" s="24"/>
      <c r="K64" s="24"/>
      <c r="L64" s="24"/>
      <c r="M64" s="24"/>
      <c r="N64" s="24"/>
      <c r="O64" s="24"/>
      <c r="P64" s="24"/>
      <c r="Q64" s="24"/>
      <c r="R64" s="24"/>
      <c r="S64" s="24"/>
      <c r="T64" s="24"/>
      <c r="U64" s="24"/>
      <c r="V64" s="24"/>
      <c r="W64" s="24"/>
    </row>
    <row r="65" spans="1:23" x14ac:dyDescent="0.3">
      <c r="A65" s="24"/>
      <c r="B65" s="24"/>
      <c r="C65" s="24"/>
      <c r="D65" s="24"/>
      <c r="E65" s="24"/>
      <c r="F65" s="24"/>
      <c r="G65" s="24"/>
      <c r="H65" s="24"/>
      <c r="I65" s="24"/>
      <c r="J65" s="24"/>
      <c r="K65" s="24"/>
      <c r="L65" s="24"/>
      <c r="M65" s="24"/>
      <c r="N65" s="24"/>
      <c r="O65" s="24"/>
      <c r="P65" s="24"/>
      <c r="Q65" s="24"/>
      <c r="R65" s="24"/>
      <c r="S65" s="24"/>
      <c r="T65" s="24"/>
      <c r="U65" s="24"/>
      <c r="V65" s="24"/>
      <c r="W65" s="24"/>
    </row>
    <row r="66" spans="1:23" x14ac:dyDescent="0.3">
      <c r="A66" s="24"/>
      <c r="B66" s="24"/>
      <c r="C66" s="24"/>
      <c r="D66" s="24"/>
      <c r="E66" s="24"/>
      <c r="F66" s="24"/>
      <c r="G66" s="24"/>
      <c r="H66" s="24"/>
      <c r="I66" s="24"/>
      <c r="J66" s="24"/>
      <c r="K66" s="24"/>
      <c r="L66" s="24"/>
      <c r="M66" s="24"/>
      <c r="N66" s="24"/>
      <c r="O66" s="24"/>
      <c r="P66" s="24"/>
      <c r="Q66" s="24"/>
      <c r="R66" s="24"/>
      <c r="S66" s="24"/>
      <c r="T66" s="24"/>
      <c r="U66" s="24"/>
      <c r="V66" s="24"/>
      <c r="W66" s="24"/>
    </row>
    <row r="67" spans="1:23" x14ac:dyDescent="0.3">
      <c r="A67" s="24"/>
      <c r="B67" s="24"/>
      <c r="C67" s="24"/>
      <c r="D67" s="24"/>
      <c r="E67" s="24"/>
      <c r="F67" s="24"/>
      <c r="G67" s="24"/>
      <c r="H67" s="24"/>
      <c r="I67" s="24"/>
      <c r="J67" s="24"/>
      <c r="K67" s="24"/>
      <c r="L67" s="24"/>
      <c r="M67" s="24"/>
      <c r="N67" s="24"/>
      <c r="O67" s="24"/>
      <c r="P67" s="24"/>
      <c r="Q67" s="24"/>
      <c r="R67" s="24"/>
      <c r="S67" s="24"/>
      <c r="T67" s="24"/>
      <c r="U67" s="24"/>
      <c r="V67" s="24"/>
      <c r="W67" s="24"/>
    </row>
  </sheetData>
  <mergeCells count="2">
    <mergeCell ref="M31:O33"/>
    <mergeCell ref="C2:J2"/>
  </mergeCells>
  <conditionalFormatting sqref="Q23:U39">
    <cfRule type="dataBar" priority="3">
      <dataBar>
        <cfvo type="num" val="0"/>
        <cfvo type="formula" val="MAX($Q$23:$U$39)*2"/>
        <color rgb="FF002060"/>
      </dataBar>
      <extLst>
        <ext xmlns:x14="http://schemas.microsoft.com/office/spreadsheetml/2009/9/main" uri="{B025F937-C7B1-47D3-B67F-A62EFF666E3E}">
          <x14:id>{1E819FD3-EC4C-442C-82CC-BC78005FC0DA}</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1E819FD3-EC4C-442C-82CC-BC78005FC0DA}">
            <x14:dataBar minLength="0" maxLength="100" gradient="0">
              <x14:cfvo type="num">
                <xm:f>0</xm:f>
              </x14:cfvo>
              <x14:cfvo type="formula">
                <xm:f>MAX($Q$23:$U$39)*2</xm:f>
              </x14:cfvo>
              <x14:negativeFillColor rgb="FFFF0000"/>
              <x14:axisColor rgb="FF000000"/>
            </x14:dataBar>
          </x14:cfRule>
          <xm:sqref>Q23:U39</xm:sqref>
        </x14:conditionalFormatting>
        <x14:conditionalFormatting xmlns:xm="http://schemas.microsoft.com/office/excel/2006/main">
          <x14:cfRule type="expression" priority="1" id="{8E221CD7-20FB-4960-8988-232402179FA2}">
            <xm:f>Q$21=Pivot!$A$66</xm:f>
            <x14:dxf>
              <fill>
                <patternFill>
                  <bgColor theme="8" tint="0.39994506668294322"/>
                </patternFill>
              </fill>
              <border>
                <left style="thin">
                  <color theme="1"/>
                </left>
                <right style="thin">
                  <color theme="1"/>
                </right>
                <vertical/>
                <horizontal/>
              </border>
            </x14:dxf>
          </x14:cfRule>
          <xm:sqref>Q21:U39</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K9" sqref="K9"/>
    </sheetView>
  </sheetViews>
  <sheetFormatPr defaultRowHeight="14" x14ac:dyDescent="0.3"/>
  <cols>
    <col min="5" max="5" width="10.83203125" customWidth="1"/>
    <col min="6" max="6" width="9.83203125" customWidth="1"/>
  </cols>
  <sheetData>
    <row r="2" spans="5:6" x14ac:dyDescent="0.3">
      <c r="E2" t="s">
        <v>1040</v>
      </c>
      <c r="F2" t="s">
        <v>1041</v>
      </c>
    </row>
    <row r="3" spans="5:6" ht="25.5" customHeight="1" x14ac:dyDescent="0.3">
      <c r="E3" t="s">
        <v>11</v>
      </c>
      <c r="F3" t="e" vm="2">
        <v>#VALUE!</v>
      </c>
    </row>
    <row r="4" spans="5:6" ht="25.5" customHeight="1" x14ac:dyDescent="0.3">
      <c r="E4" t="s">
        <v>9</v>
      </c>
      <c r="F4" t="e" vm="3">
        <v>#VALUE!</v>
      </c>
    </row>
    <row r="5" spans="5:6" ht="25.5" customHeight="1" x14ac:dyDescent="0.3">
      <c r="E5" t="s">
        <v>6</v>
      </c>
      <c r="F5" t="e" vm="4">
        <v>#VALUE!</v>
      </c>
    </row>
    <row r="6" spans="5:6" ht="25.5" customHeight="1" x14ac:dyDescent="0.3">
      <c r="E6" t="s">
        <v>13</v>
      </c>
      <c r="F6" t="e" vm="5">
        <v>#VALUE!</v>
      </c>
    </row>
    <row r="7" spans="5:6" ht="25.5" customHeight="1" x14ac:dyDescent="0.3">
      <c r="E7" t="s">
        <v>10</v>
      </c>
      <c r="F7" t="e" vm="6">
        <v>#VALUE!</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AD73F8-DE68-4E91-9580-04DAD96E16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Data</vt:lpstr>
      <vt:lpstr>Customer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Mallesh, Yeddula Siva</cp:lastModifiedBy>
  <dcterms:created xsi:type="dcterms:W3CDTF">2021-03-14T20:21:32Z</dcterms:created>
  <dcterms:modified xsi:type="dcterms:W3CDTF">2025-04-20T11:02:50Z</dcterms:modified>
</cp:coreProperties>
</file>